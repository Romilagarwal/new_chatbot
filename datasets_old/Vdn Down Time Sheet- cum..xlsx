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
    </mc:Choice>
  </mc:AlternateContent>
  <bookViews>
    <workbookView xWindow="0" yWindow="0" windowWidth="20490" windowHeight="8910" tabRatio="346" activeTab="2"/>
  </bookViews>
  <sheets>
    <sheet name="May-Vdn" sheetId="5" r:id="rId1"/>
    <sheet name=" Apr-Vdn" sheetId="4" r:id="rId2"/>
    <sheet name="May-Vdn (2)" sheetId="6" r:id="rId3"/>
  </sheets>
  <definedNames>
    <definedName name="_xlnm.Print_Area" localSheetId="1">' Apr-Vdn'!$A$189:$N$198</definedName>
    <definedName name="_xlnm.Print_Area" localSheetId="2">'May-Vdn (2)'!$A$2:$G$210</definedName>
  </definedNames>
  <calcPr calcId="162913"/>
</workbook>
</file>

<file path=xl/calcChain.xml><?xml version="1.0" encoding="utf-8"?>
<calcChain xmlns="http://schemas.openxmlformats.org/spreadsheetml/2006/main">
  <c r="G197" i="6" l="1"/>
  <c r="G186" i="6" l="1"/>
  <c r="G17" i="6"/>
  <c r="G185" i="5" l="1"/>
  <c r="G16" i="5" l="1"/>
  <c r="N193" i="4" l="1"/>
  <c r="N190" i="4"/>
  <c r="N189" i="4"/>
  <c r="N184" i="4"/>
  <c r="N182" i="4"/>
  <c r="N180" i="4"/>
  <c r="N168" i="4"/>
  <c r="N163" i="4"/>
  <c r="N159" i="4"/>
  <c r="N155" i="4"/>
  <c r="N151" i="4"/>
  <c r="N139" i="4"/>
  <c r="N131" i="4"/>
  <c r="N127" i="4"/>
  <c r="N123" i="4"/>
  <c r="N118" i="4"/>
  <c r="N114" i="4"/>
  <c r="N109" i="4"/>
  <c r="N106" i="4"/>
  <c r="N105" i="4"/>
  <c r="N95" i="4"/>
  <c r="N84" i="4"/>
  <c r="N57" i="4"/>
  <c r="N53" i="4"/>
  <c r="N49" i="4"/>
  <c r="N45" i="4"/>
  <c r="N41" i="4"/>
  <c r="N35" i="4"/>
  <c r="N31" i="4"/>
  <c r="N27" i="4"/>
  <c r="N21" i="4"/>
  <c r="N17" i="4"/>
  <c r="N13" i="4"/>
  <c r="N7" i="4"/>
  <c r="N3" i="4"/>
</calcChain>
</file>

<file path=xl/sharedStrings.xml><?xml version="1.0" encoding="utf-8"?>
<sst xmlns="http://schemas.openxmlformats.org/spreadsheetml/2006/main" count="806" uniqueCount="355">
  <si>
    <t>Date</t>
  </si>
  <si>
    <t>Shift</t>
  </si>
  <si>
    <t>Attended
 By</t>
  </si>
  <si>
    <t>B/D Phenomena</t>
  </si>
  <si>
    <t>Corrective Actions</t>
  </si>
  <si>
    <t>Time Taken
（min）</t>
  </si>
  <si>
    <t>Cum. Time</t>
  </si>
  <si>
    <t>A</t>
  </si>
  <si>
    <t>B</t>
  </si>
  <si>
    <t>c</t>
  </si>
  <si>
    <t xml:space="preserve">Breakdown Log Book </t>
  </si>
  <si>
    <t>Month..-&gt;</t>
  </si>
  <si>
    <t>Plan</t>
  </si>
  <si>
    <t>Actual</t>
  </si>
  <si>
    <t>FAI NG %</t>
  </si>
  <si>
    <t>Dent</t>
  </si>
  <si>
    <t>scratch</t>
  </si>
  <si>
    <t>Drop (Why)</t>
  </si>
  <si>
    <t>Area</t>
  </si>
  <si>
    <t>Manjeet</t>
  </si>
  <si>
    <t>4-1 discharge turntable  Vacuume  not ON</t>
  </si>
  <si>
    <t>set vacuume pressure by controller</t>
  </si>
  <si>
    <r>
      <rPr>
        <sz val="9"/>
        <color theme="1"/>
        <rFont val="等线"/>
        <family val="3"/>
        <charset val="134"/>
      </rPr>
      <t xml:space="preserve">NG robot tray vacuume not on </t>
    </r>
  </si>
  <si>
    <r>
      <rPr>
        <sz val="9"/>
        <color theme="1"/>
        <rFont val="等线"/>
        <family val="3"/>
        <charset val="134"/>
      </rPr>
      <t xml:space="preserve">tray alignment set </t>
    </r>
  </si>
  <si>
    <r>
      <rPr>
        <sz val="9"/>
        <color theme="1"/>
        <rFont val="等线"/>
        <family val="3"/>
        <charset val="134"/>
      </rPr>
      <t>tea time</t>
    </r>
  </si>
  <si>
    <t>MES not work （barcode not print ）</t>
  </si>
  <si>
    <t xml:space="preserve"> shift update in moon line</t>
  </si>
  <si>
    <t>OK discharge battery exicete limit sensor abnormal</t>
  </si>
  <si>
    <t>manually operate and run</t>
  </si>
  <si>
    <t xml:space="preserve">machine emprty 2 time （ Deu to material short ） </t>
  </si>
  <si>
    <t xml:space="preserve">manjeet </t>
  </si>
  <si>
    <t xml:space="preserve">feeding robot 4 vacuume not on </t>
  </si>
  <si>
    <t xml:space="preserve">spange tape mount </t>
  </si>
  <si>
    <t xml:space="preserve">A5 pad broken （ servo not run） </t>
  </si>
  <si>
    <t>drive power off/on and manually operate servo at home position。</t>
  </si>
  <si>
    <t xml:space="preserve"> feed tray vacuume not on</t>
  </si>
  <si>
    <t xml:space="preserve">manually operate and run </t>
  </si>
  <si>
    <t>OK tray limit out of reach 3 time</t>
  </si>
  <si>
    <t>Ok discharge robot &amp; OK battery memory clear and run</t>
  </si>
  <si>
    <t xml:space="preserve">3554 pade printing </t>
  </si>
  <si>
    <r>
      <rPr>
        <sz val="9"/>
        <color theme="1"/>
        <rFont val="Calibri"/>
        <family val="2"/>
      </rPr>
      <t>pressure paper 50 %</t>
    </r>
    <r>
      <rPr>
        <sz val="9"/>
        <color theme="1"/>
        <rFont val="Calibri"/>
        <family val="2"/>
      </rPr>
      <t xml:space="preserve"> complete </t>
    </r>
  </si>
  <si>
    <t xml:space="preserve">tea time &amp; dinner </t>
  </si>
  <si>
    <t>manjeet</t>
  </si>
  <si>
    <r>
      <rPr>
        <sz val="9"/>
        <color theme="1"/>
        <rFont val="Calibri"/>
        <family val="2"/>
      </rPr>
      <t>machine</t>
    </r>
    <r>
      <rPr>
        <sz val="9"/>
        <color theme="1"/>
        <rFont val="Calibri"/>
        <family val="2"/>
      </rPr>
      <t xml:space="preserve"> clear 2 time</t>
    </r>
  </si>
  <si>
    <r>
      <rPr>
        <sz val="9"/>
        <color theme="1"/>
        <rFont val="Calibri"/>
        <family val="2"/>
      </rPr>
      <t>due</t>
    </r>
    <r>
      <rPr>
        <sz val="9"/>
        <color theme="1"/>
        <rFont val="Calibri"/>
        <family val="2"/>
      </rPr>
      <t xml:space="preserve"> to one operator </t>
    </r>
  </si>
  <si>
    <r>
      <rPr>
        <sz val="9"/>
        <color theme="1"/>
        <rFont val="Calibri"/>
        <family val="2"/>
      </rPr>
      <t>work</t>
    </r>
    <r>
      <rPr>
        <sz val="9"/>
        <color theme="1"/>
        <rFont val="Calibri"/>
        <family val="2"/>
      </rPr>
      <t xml:space="preserve"> on 3554 machine with sunil </t>
    </r>
  </si>
  <si>
    <r>
      <rPr>
        <sz val="9"/>
        <color theme="1"/>
        <rFont val="Calibri"/>
        <family val="2"/>
      </rPr>
      <t>pressure paper 3554 80 %</t>
    </r>
    <r>
      <rPr>
        <sz val="9"/>
        <color theme="1"/>
        <rFont val="Calibri"/>
        <family val="2"/>
      </rPr>
      <t xml:space="preserve"> done</t>
    </r>
  </si>
  <si>
    <t xml:space="preserve"> NG discharge robot tray vacuume not </t>
  </si>
  <si>
    <t xml:space="preserve">tray alignment set </t>
  </si>
  <si>
    <t xml:space="preserve">3554 pad printing cosmetic side FAI 60,61 ng  </t>
  </si>
  <si>
    <t xml:space="preserve">stencle pate change and set servo position </t>
  </si>
  <si>
    <t xml:space="preserve">feed platform vacuume 3 not on </t>
  </si>
  <si>
    <t xml:space="preserve">set vacuume pressure by controller </t>
  </si>
  <si>
    <t xml:space="preserve">feed turntable 1-1,1-2 , vacuume not on </t>
  </si>
  <si>
    <t xml:space="preserve">ok block dischsrgre sensor abnormal </t>
  </si>
  <si>
    <t>feed turntable vacuume not on</t>
  </si>
  <si>
    <t>feed platform vacuume not on</t>
  </si>
  <si>
    <t>A1 vacuume not on</t>
  </si>
  <si>
    <t xml:space="preserve">B1flip vacuume not on </t>
  </si>
  <si>
    <t xml:space="preserve">Air pressure low </t>
  </si>
  <si>
    <t>Air pressure cut from utility</t>
  </si>
  <si>
    <t>Aniruddha</t>
  </si>
  <si>
    <t>Feed robot vacuum-1 alarm is not on.</t>
  </si>
  <si>
    <t>Found robot suction pad 1 come out from mounting so part fall dwon and get damage , Suction pad locking is not proper work, so pad fix with LP</t>
  </si>
  <si>
    <t>Feed Turntable pad no. 1_2 position straightness cylinder reed switch alarm</t>
  </si>
  <si>
    <t>part stuck with cylinder straightening block, vacuum is not made on feeding time but sensor is high, so turntable move and part stuck, now pressure sensor setting done and previous inserted tape remove on pad, replace it with cellotape then ok</t>
  </si>
  <si>
    <t>B4 &amp; B5 glue tape is over</t>
  </si>
  <si>
    <t>change glue roll by operator</t>
  </si>
  <si>
    <t>CCD time out error show in HMI, PC hange issue</t>
  </si>
  <si>
    <t>Restart the pc then ok</t>
  </si>
  <si>
    <t>feeding platform tray tild issue so vacuum is not made up during cell picking.</t>
  </si>
  <si>
    <t>Feeding tray alignment done</t>
  </si>
  <si>
    <t>Feed turntable pad 4.1,4.2 vacuum issue</t>
  </si>
  <si>
    <t>Cleaned pad and change pre inserted tape with cellotape then resolved</t>
  </si>
  <si>
    <t>FAI77 issue is coming at higher side</t>
  </si>
  <si>
    <t>For FAI77 we have servo initial&amp; trigger position set in A3 inkjet 1Y servo befor- 287.29 after 288.29 then resolved</t>
  </si>
  <si>
    <t>FAI 66 issue at higher side</t>
  </si>
  <si>
    <t>set the servo initial and trigger position before-4.40, after- 4.80 then ok</t>
  </si>
  <si>
    <t>Feed Turntable vacuum alarms 3.1 &amp; 3.2 pad</t>
  </si>
  <si>
    <t>vacuume pad clean and set from flow control valve</t>
  </si>
  <si>
    <t>FAI 68 issue at higher side</t>
  </si>
  <si>
    <t>Barcode printer head  A side mechnical adjusment .</t>
  </si>
  <si>
    <t>One part  issue</t>
  </si>
  <si>
    <t>Bubble coming on material so bubble burst during printing so part get lealage</t>
  </si>
  <si>
    <t>Casmetic side B4 print NG issue</t>
  </si>
  <si>
    <t>clean pad and running machine(4-time) but printing not being done, change the silicon pad then ok</t>
  </si>
  <si>
    <t>Feed turntable vacuume not on</t>
  </si>
  <si>
    <t>set vacuume by flow regulator</t>
  </si>
  <si>
    <t xml:space="preserve">tea time &amp; dinner time </t>
  </si>
  <si>
    <t xml:space="preserve">A 6 tape empety </t>
  </si>
  <si>
    <t xml:space="preserve">tape roll change </t>
  </si>
  <si>
    <t xml:space="preserve"> X-3554 Line FAI 61,63 NG </t>
  </si>
  <si>
    <t>change the value of correction servo &amp; B5pad printing mobile  servo</t>
  </si>
  <si>
    <t>casmetic side B4 print NG issue</t>
  </si>
  <si>
    <t>Four time cleaned pad and thinner insert in ink but problem not solve then Change the silicon pad</t>
  </si>
  <si>
    <t>Non casmetic A6 side printing ng issue</t>
  </si>
  <si>
    <t>cleaning glue tape breake on cleaning position，reinsert the same</t>
  </si>
  <si>
    <t>FAI68，62，issue</t>
  </si>
  <si>
    <t>Feeding Turntable station-2 part position cylinder found bypass from B shift, still running under observation.</t>
  </si>
  <si>
    <t>Some part printing not being done of all printing station(21 Nos)</t>
  </si>
  <si>
    <t>why not running Need to discuss with KB</t>
  </si>
  <si>
    <t>Non casmetic A5 side printing ng issue</t>
  </si>
  <si>
    <t>Cleane the silicon printing pad and steel plate</t>
  </si>
  <si>
    <t>Akshay</t>
  </si>
  <si>
    <t>A3 inkjet left side printer shows alarm</t>
  </si>
  <si>
    <t>Printer head cleaned.</t>
  </si>
  <si>
    <t>NA</t>
  </si>
  <si>
    <t>work on X 3554 pad printing machine</t>
  </si>
  <si>
    <t xml:space="preserve">VDN line1 connector deformation A side </t>
  </si>
  <si>
    <t>Change robot A1 jog value （ 310.300to 310.260）</t>
  </si>
  <si>
    <t>FAI72 issue come at higher side</t>
  </si>
  <si>
    <t>Adjust Offset of CCD （Befor-6.680 After 6.660）</t>
  </si>
  <si>
    <t>Non casmetic B4 side printing issue on logo</t>
  </si>
  <si>
    <t xml:space="preserve">clean pad and  Steel plate </t>
  </si>
  <si>
    <t xml:space="preserve">A side PC hange </t>
  </si>
  <si>
    <t>Restart the PC then ok</t>
  </si>
  <si>
    <t>Air Leakage from B1 Flip  move clamp-1 pnematic pipe</t>
  </si>
  <si>
    <t>Pnematic pipe connector changed</t>
  </si>
  <si>
    <r>
      <rPr>
        <b/>
        <sz val="9"/>
        <color theme="1"/>
        <rFont val="Calibri"/>
        <family val="2"/>
      </rPr>
      <t xml:space="preserve">Before Infeed the Machine 4 Part fall down by operator due to mishandling in wich 2 part get dent and 2 scratch. Operator Name ： </t>
    </r>
    <r>
      <rPr>
        <b/>
        <sz val="9"/>
        <color rgb="FFC00000"/>
        <rFont val="Calibri"/>
        <family val="2"/>
      </rPr>
      <t>Mahesh</t>
    </r>
  </si>
  <si>
    <t>B2 Flip clamp 1 sensor alarm come again &amp; again.</t>
  </si>
  <si>
    <t>Set the reed s/w then ok</t>
  </si>
  <si>
    <t xml:space="preserve">A5, A6, &amp; B4 Printing NG </t>
  </si>
  <si>
    <t>A5 pad change and B4 &amp; A6 Pad rub then clean all stensil.</t>
  </si>
  <si>
    <t>FQ1HG60012P0000NPL+A+443</t>
  </si>
  <si>
    <t>X3554 Pressure Paper &amp; Tekscan done.</t>
  </si>
  <si>
    <t>But A5 pressure paper impression is not correct, need to take again.</t>
  </si>
  <si>
    <t>FQ1HG60041L0000NPL+A+444</t>
  </si>
  <si>
    <t>All station Lux level check &amp; update.</t>
  </si>
  <si>
    <t>one part found dent .</t>
  </si>
  <si>
    <r>
      <rPr>
        <sz val="9"/>
        <color theme="1"/>
        <rFont val="Calibri"/>
        <family val="2"/>
      </rPr>
      <t>by mfg person</t>
    </r>
    <r>
      <rPr>
        <sz val="9"/>
        <color rgb="FFFF0000"/>
        <rFont val="Calibri"/>
        <family val="2"/>
      </rPr>
      <t xml:space="preserve"> mayank</t>
    </r>
  </si>
  <si>
    <t>set part position</t>
  </si>
  <si>
    <t xml:space="preserve">x3554 A5 Pressure Paper done </t>
  </si>
  <si>
    <t xml:space="preserve">Manoj </t>
  </si>
  <si>
    <t xml:space="preserve">ok Discharge Robot bettery not put tray </t>
  </si>
  <si>
    <t>Taching Robot now ok.</t>
  </si>
  <si>
    <t>currected than run.</t>
  </si>
  <si>
    <t>Printing NG B4</t>
  </si>
  <si>
    <t>Change the pad &amp; add some additive in B4 ink.</t>
  </si>
  <si>
    <r>
      <rPr>
        <sz val="9"/>
        <color theme="1"/>
        <rFont val="等线"/>
        <family val="3"/>
        <charset val="134"/>
      </rPr>
      <t>3 part dent and  by mfg person (</t>
    </r>
    <r>
      <rPr>
        <sz val="9"/>
        <color rgb="FFFF0000"/>
        <rFont val="等线"/>
        <family val="3"/>
        <charset val="134"/>
      </rPr>
      <t xml:space="preserve"> new manpower</t>
    </r>
    <r>
      <rPr>
        <sz val="9"/>
        <color theme="1"/>
        <rFont val="等线"/>
        <family val="3"/>
        <charset val="134"/>
      </rPr>
      <t>)</t>
    </r>
    <r>
      <rPr>
        <sz val="9"/>
        <color theme="1"/>
        <rFont val="等线"/>
        <family val="3"/>
        <charset val="134"/>
      </rPr>
      <t xml:space="preserve"> found LQC .</t>
    </r>
  </si>
  <si>
    <t>barcode not print CCD time out</t>
  </si>
  <si>
    <t xml:space="preserve">both software restart </t>
  </si>
  <si>
    <t xml:space="preserve">work on X 3554 pad printing machine </t>
  </si>
  <si>
    <t>i/p 259   o/p - 237 NG 22</t>
  </si>
  <si>
    <r>
      <rPr>
        <b/>
        <sz val="8"/>
        <color theme="1"/>
        <rFont val="Calibri"/>
        <family val="2"/>
      </rPr>
      <t>A</t>
    </r>
    <r>
      <rPr>
        <b/>
        <sz val="8"/>
        <color theme="1"/>
        <rFont val="Calibri"/>
        <family val="2"/>
      </rPr>
      <t xml:space="preserve">3 ryt side barcode not print </t>
    </r>
  </si>
  <si>
    <r>
      <rPr>
        <b/>
        <sz val="8"/>
        <color theme="1"/>
        <rFont val="Calibri"/>
        <family val="2"/>
      </rPr>
      <t>r</t>
    </r>
    <r>
      <rPr>
        <b/>
        <sz val="8"/>
        <color theme="1"/>
        <rFont val="Calibri"/>
        <family val="2"/>
      </rPr>
      <t xml:space="preserve">estart the software </t>
    </r>
  </si>
  <si>
    <t xml:space="preserve">A5 loading camera communication fail </t>
  </si>
  <si>
    <r>
      <rPr>
        <b/>
        <sz val="8"/>
        <color theme="1"/>
        <rFont val="Calibri"/>
        <family val="2"/>
      </rPr>
      <t>Camera communication unplug and software restart  and taken backup</t>
    </r>
    <r>
      <rPr>
        <b/>
        <sz val="8"/>
        <color theme="1"/>
        <rFont val="Calibri"/>
        <family val="2"/>
      </rPr>
      <t>.</t>
    </r>
  </si>
  <si>
    <t>Ok Discharge robot error (e-08) robot controller.</t>
  </si>
  <si>
    <r>
      <rPr>
        <b/>
        <sz val="8"/>
        <color theme="1"/>
        <rFont val="Calibri"/>
        <family val="2"/>
      </rPr>
      <t>C</t>
    </r>
    <r>
      <rPr>
        <b/>
        <sz val="8"/>
        <color theme="1"/>
        <rFont val="Calibri"/>
        <family val="2"/>
      </rPr>
      <t>ontroller power cable reconnect &amp; reference the robot.</t>
    </r>
  </si>
  <si>
    <t>Barcode grade fail (A Side)</t>
  </si>
  <si>
    <t xml:space="preserve">unblocking nozzle </t>
  </si>
  <si>
    <t xml:space="preserve">akash /manjeet </t>
  </si>
  <si>
    <t xml:space="preserve"> Mini build  run on line of X- 3559  modal </t>
  </si>
  <si>
    <t xml:space="preserve">  Barcode and non cosmetic  side FAI NG </t>
  </si>
  <si>
    <t xml:space="preserve">set the servo position and  given  the offset  in CCD </t>
  </si>
  <si>
    <t>Changeover  from  x3559 to x2821</t>
  </si>
  <si>
    <t>Barcode grade fail bothside</t>
  </si>
  <si>
    <t xml:space="preserve">change printing poisition </t>
  </si>
  <si>
    <r>
      <rPr>
        <b/>
        <sz val="8"/>
        <color theme="1"/>
        <rFont val="Calibri"/>
        <family val="2"/>
      </rPr>
      <t>I</t>
    </r>
    <r>
      <rPr>
        <b/>
        <sz val="8"/>
        <color theme="1"/>
        <rFont val="Calibri"/>
        <family val="2"/>
      </rPr>
      <t>nkj</t>
    </r>
    <r>
      <rPr>
        <b/>
        <sz val="8"/>
        <color theme="1"/>
        <rFont val="Calibri"/>
        <family val="2"/>
      </rPr>
      <t>et</t>
    </r>
    <r>
      <rPr>
        <b/>
        <sz val="8"/>
        <color theme="1"/>
        <rFont val="Calibri"/>
        <family val="2"/>
      </rPr>
      <t xml:space="preserve"> </t>
    </r>
    <r>
      <rPr>
        <b/>
        <sz val="8"/>
        <color theme="1"/>
        <rFont val="Calibri"/>
        <family val="2"/>
      </rPr>
      <t xml:space="preserve">QR </t>
    </r>
    <r>
      <rPr>
        <b/>
        <sz val="8"/>
        <color theme="1"/>
        <rFont val="Calibri"/>
        <family val="2"/>
      </rPr>
      <t xml:space="preserve">time out </t>
    </r>
  </si>
  <si>
    <r>
      <rPr>
        <b/>
        <sz val="8"/>
        <color theme="1"/>
        <rFont val="Calibri"/>
        <family val="2"/>
      </rPr>
      <t>Software re start</t>
    </r>
    <r>
      <rPr>
        <b/>
        <sz val="8"/>
        <color theme="1"/>
        <rFont val="Calibri"/>
        <family val="2"/>
      </rPr>
      <t>.</t>
    </r>
  </si>
  <si>
    <t xml:space="preserve">Fai 77 A side  NG </t>
  </si>
  <si>
    <t xml:space="preserve"> X1 servo postion .24  down side </t>
  </si>
  <si>
    <t>FAI66 issue at higher side</t>
  </si>
  <si>
    <t>Adjusted A3 Inkjet 1X servo position in initial&amp;trigger postion before 4.7 After 4.9mm</t>
  </si>
  <si>
    <t>FAI68 Both side issue at higher side</t>
  </si>
  <si>
    <t>offset adjusted in CCD then ok</t>
  </si>
  <si>
    <t>Printer 1 ink not detected gutter Error,Printer automatic stoped</t>
  </si>
  <si>
    <t>Cleaned Inkjet printer head then ok</t>
  </si>
  <si>
    <t>Barcode barcode printing not being started</t>
  </si>
  <si>
    <t>Remove all loaded part and fress part run then ok</t>
  </si>
  <si>
    <t xml:space="preserve">Manjeet </t>
  </si>
  <si>
    <t>Vdn line 1  unloading robot B pcm  put at wrong place   .</t>
  </si>
  <si>
    <t>set the position of uld B .</t>
  </si>
  <si>
    <t>APP line x- 2821  barcode not print .</t>
  </si>
  <si>
    <t>barcode not print due to work order qty  complete , then clear the machine and change the work order number after that run the line . ( this break down due to production).</t>
  </si>
  <si>
    <t>Feed turntable  1-1,1-2 vacuume not on</t>
  </si>
  <si>
    <t xml:space="preserve">set the part position and run </t>
  </si>
  <si>
    <t xml:space="preserve">B side printer grade NG </t>
  </si>
  <si>
    <r>
      <rPr>
        <b/>
        <sz val="9"/>
        <color theme="1"/>
        <rFont val="Calibri"/>
        <family val="2"/>
      </rPr>
      <t>H</t>
    </r>
    <r>
      <rPr>
        <b/>
        <sz val="9"/>
        <color theme="1"/>
        <rFont val="Calibri"/>
        <family val="2"/>
      </rPr>
      <t>ead clean than run.</t>
    </r>
  </si>
  <si>
    <t>Dischare turn table not a home position.</t>
  </si>
  <si>
    <t xml:space="preserve">tea time &amp; lunch time </t>
  </si>
  <si>
    <t xml:space="preserve">X-3554 B 1  flip vacuume issue </t>
  </si>
  <si>
    <t>set cylinder stoper</t>
  </si>
  <si>
    <t xml:space="preserve">X-3554 B7 Discharge vacuume issue </t>
  </si>
  <si>
    <t xml:space="preserve">alighment set and purging set </t>
  </si>
  <si>
    <t>X-3554 discharge turntable vacuume issue</t>
  </si>
  <si>
    <t>purging level set</t>
  </si>
  <si>
    <t>Fresh Part dent issue &amp; MFG person not available.</t>
  </si>
  <si>
    <t>FAI 68 NG issue on A side</t>
  </si>
  <si>
    <t>Dimension in OMM find correct so compensation done in A side.</t>
  </si>
  <si>
    <t>FAI 60 Lower side due to this Print NG</t>
  </si>
  <si>
    <t>Decrease the value(0.3) in A5 mobile servo(pad reference position).</t>
  </si>
  <si>
    <t>B4 Logo NG issue.</t>
  </si>
  <si>
    <t>Clean the stencil &amp; rub the pad.</t>
  </si>
  <si>
    <t xml:space="preserve">VDN L1 - Unmatting TransArm UpDown 1 reed switch signal not come. </t>
  </si>
  <si>
    <t>Set the position of reed s/w and initial the TransArm.</t>
  </si>
  <si>
    <t>VDN L1 - Arm Trans1 pick carrier with jerk.</t>
  </si>
  <si>
    <t>Correct the alignment of Arm Trans1</t>
  </si>
  <si>
    <t>Lunch time &amp; Tea time.</t>
  </si>
  <si>
    <t xml:space="preserve">MES PC not working </t>
  </si>
  <si>
    <t xml:space="preserve">FAI 75 come </t>
  </si>
  <si>
    <t xml:space="preserve">head position set </t>
  </si>
  <si>
    <t>3 part dent found at LQC stage . Dent in incomming  part</t>
  </si>
  <si>
    <t xml:space="preserve">barcode grade NG ( C,D) </t>
  </si>
  <si>
    <t xml:space="preserve">Both head clean </t>
  </si>
  <si>
    <t>APP</t>
  </si>
  <si>
    <t>Correction NG part issue- Angle issue.</t>
  </si>
  <si>
    <t>Decrese the value (0.06 mm) in both A1 Stepper rotating motors.</t>
  </si>
  <si>
    <t>X3554 Machine readiness done &amp; 108 Part print for pack line trial.</t>
  </si>
  <si>
    <t>VDN</t>
  </si>
  <si>
    <t>Matting LdArm B Grasp not work.</t>
  </si>
  <si>
    <t>PU pipe open due to FCV faulty so change the FCV.</t>
  </si>
  <si>
    <t>Unmatting machine stop during running</t>
  </si>
  <si>
    <t>Initilize the whole Unmatting machine.</t>
  </si>
  <si>
    <t xml:space="preserve">vdn line-1 in  unloading unit arm trance 1 carrier clamping position wrong  </t>
  </si>
  <si>
    <t xml:space="preserve">Arm trance 1 clamp mounting modify  and  run the machine </t>
  </si>
  <si>
    <t xml:space="preserve">Vdn line 1  split arm servo off </t>
  </si>
  <si>
    <t xml:space="preserve">servo power supply off/on then run </t>
  </si>
  <si>
    <t>Drive#13 go in error</t>
  </si>
  <si>
    <t>Reset IT by drive power on/off</t>
  </si>
  <si>
    <t xml:space="preserve">A3 scan code left  NG  </t>
  </si>
  <si>
    <t xml:space="preserve">24 v triggring relay change </t>
  </si>
  <si>
    <r>
      <rPr>
        <b/>
        <sz val="9"/>
        <color theme="1"/>
        <rFont val="Calibri"/>
        <family val="2"/>
        <scheme val="minor"/>
      </rPr>
      <t>A</t>
    </r>
    <r>
      <rPr>
        <b/>
        <sz val="9"/>
        <color theme="1"/>
        <rFont val="Calibri"/>
        <family val="2"/>
        <scheme val="minor"/>
      </rPr>
      <t>PP</t>
    </r>
  </si>
  <si>
    <r>
      <rPr>
        <b/>
        <sz val="9"/>
        <color theme="1"/>
        <rFont val="Calibri"/>
        <family val="2"/>
        <scheme val="minor"/>
      </rPr>
      <t>No P</t>
    </r>
    <r>
      <rPr>
        <b/>
        <sz val="9"/>
        <color theme="1"/>
        <rFont val="Calibri"/>
        <family val="2"/>
        <scheme val="minor"/>
      </rPr>
      <t>lan</t>
    </r>
  </si>
  <si>
    <t>Testing-03 Belt loading clamping  not work.</t>
  </si>
  <si>
    <t>Reed s/w signal not coming due to carrier position not correct so correct the position.</t>
  </si>
  <si>
    <r>
      <rPr>
        <b/>
        <sz val="9"/>
        <color theme="1"/>
        <rFont val="Calibri"/>
        <family val="2"/>
        <scheme val="minor"/>
      </rPr>
      <t>A</t>
    </r>
    <r>
      <rPr>
        <b/>
        <sz val="9"/>
        <color theme="1"/>
        <rFont val="Calibri"/>
        <family val="2"/>
        <scheme val="minor"/>
      </rPr>
      <t>rm Split Servo alarm (20.5)</t>
    </r>
  </si>
  <si>
    <r>
      <rPr>
        <b/>
        <sz val="9"/>
        <color theme="1"/>
        <rFont val="Calibri"/>
        <family val="2"/>
        <scheme val="minor"/>
      </rPr>
      <t>S</t>
    </r>
    <r>
      <rPr>
        <b/>
        <sz val="9"/>
        <color theme="1"/>
        <rFont val="Calibri"/>
        <family val="2"/>
        <scheme val="minor"/>
      </rPr>
      <t>ervo power restart &amp; initial the machine- 3 times</t>
    </r>
  </si>
  <si>
    <t>Arm Split Servo alarm (20.5)</t>
  </si>
  <si>
    <r>
      <rPr>
        <b/>
        <sz val="9"/>
        <color theme="1"/>
        <rFont val="Calibri"/>
        <family val="2"/>
        <scheme val="minor"/>
      </rPr>
      <t>Change</t>
    </r>
    <r>
      <rPr>
        <b/>
        <sz val="8"/>
        <color theme="1"/>
        <rFont val="Calibri"/>
        <family val="2"/>
        <scheme val="minor"/>
      </rPr>
      <t xml:space="preserve"> </t>
    </r>
    <r>
      <rPr>
        <b/>
        <sz val="8"/>
        <color theme="1"/>
        <rFont val="Calibri"/>
        <family val="2"/>
        <scheme val="minor"/>
      </rPr>
      <t>the</t>
    </r>
    <r>
      <rPr>
        <b/>
        <sz val="8"/>
        <color theme="1"/>
        <rFont val="Calibri"/>
        <family val="2"/>
        <scheme val="minor"/>
      </rPr>
      <t xml:space="preserve"> </t>
    </r>
    <r>
      <rPr>
        <b/>
        <sz val="8"/>
        <color theme="1"/>
        <rFont val="Calibri"/>
        <family val="2"/>
        <scheme val="minor"/>
      </rPr>
      <t>servo</t>
    </r>
    <r>
      <rPr>
        <b/>
        <sz val="8"/>
        <color theme="1"/>
        <rFont val="Calibri"/>
        <family val="2"/>
        <scheme val="minor"/>
      </rPr>
      <t xml:space="preserve"> drive with new one &amp; initialize the machine.</t>
    </r>
  </si>
  <si>
    <t xml:space="preserve">Dinner &amp; tea time </t>
  </si>
  <si>
    <t xml:space="preserve">feed tray move vacuume not on </t>
  </si>
  <si>
    <t xml:space="preserve">clear memoey and run </t>
  </si>
  <si>
    <t>Trans Arms graps cyl 1 alarm is coming</t>
  </si>
  <si>
    <t xml:space="preserve">16 carrier cover spring damage so remove carrier </t>
  </si>
  <si>
    <t>5 carrier running counter over</t>
  </si>
  <si>
    <t>reset counter carrier then ok</t>
  </si>
  <si>
    <t>Unmating side A EMS Alarm</t>
  </si>
  <si>
    <t>A side Emergency wire connection loose tighten the same</t>
  </si>
  <si>
    <t>Spit servo drive alarm is comimg</t>
  </si>
  <si>
    <t>Drive power reset through power no/off</t>
  </si>
  <si>
    <t>X-3359 rbt A  part presence optiacl fiber sensor give direct output.</t>
  </si>
  <si>
    <t xml:space="preserve">check sensor connector found loose connector reconnecty . </t>
  </si>
  <si>
    <t>X-3359 rbt b dwn sensor signal not come</t>
  </si>
  <si>
    <t xml:space="preserve">sensor position set </t>
  </si>
  <si>
    <t xml:space="preserve">X-3354 B pre push cly sensor not on </t>
  </si>
  <si>
    <t xml:space="preserve">manually run and ok </t>
  </si>
  <si>
    <t xml:space="preserve">X-3354 A pre push cly sensor not on </t>
  </si>
  <si>
    <t xml:space="preserve">manually run and ok  </t>
  </si>
  <si>
    <t xml:space="preserve">X-3354 unit 1 mcr alarm </t>
  </si>
  <si>
    <t>scannor power off/on and initilize unit then run .</t>
  </si>
  <si>
    <t xml:space="preserve">X-3354 unit 2 mcr alarm </t>
  </si>
  <si>
    <t xml:space="preserve"> initilize unit then run .</t>
  </si>
  <si>
    <t xml:space="preserve">X-3354 loading arm A not response </t>
  </si>
  <si>
    <t xml:space="preserve">check all sensor found ok then arm initilize and run the machine </t>
  </si>
  <si>
    <t>Aniruddha</t>
    <phoneticPr fontId="16" type="noConversion"/>
  </si>
  <si>
    <t>No Any Issue Reported</t>
    <phoneticPr fontId="16" type="noConversion"/>
  </si>
  <si>
    <t>Aniruddha</t>
    <phoneticPr fontId="16" type="noConversion"/>
  </si>
  <si>
    <t>All line plc backup taken and given to akash sir</t>
    <phoneticPr fontId="16" type="noConversion"/>
  </si>
  <si>
    <t>There are Today Vdn-01 No Plan due to PCM end</t>
  </si>
  <si>
    <t>VDN X2821，No Any Problem Reported</t>
  </si>
  <si>
    <t>VDN X3354 ， Trial part running 300 Nos</t>
  </si>
  <si>
    <t>Robot B Jaw Hit on unmating B carrier during picking PCM</t>
    <phoneticPr fontId="16" type="noConversion"/>
  </si>
  <si>
    <t>Found Unmating carrier holding pin was loose so open carrier unmating block and thighen the same</t>
    <phoneticPr fontId="16" type="noConversion"/>
  </si>
  <si>
    <t xml:space="preserve">X-3359 main line  5s </t>
  </si>
  <si>
    <t>X-3354 vdn line</t>
  </si>
  <si>
    <t xml:space="preserve"> mini build 100 part run</t>
  </si>
  <si>
    <t>b pre 2 push cly not on</t>
  </si>
  <si>
    <t xml:space="preserve">unmating machine ok conveyor not run </t>
  </si>
  <si>
    <t>check all sensor found ok and check drive found error 700 , power off/on.</t>
  </si>
  <si>
    <t xml:space="preserve">manjeet /deepak singh </t>
  </si>
  <si>
    <t>A pre 2 push cly not on</t>
  </si>
  <si>
    <t>No Any Issue Reported</t>
  </si>
  <si>
    <t>manoj</t>
  </si>
  <si>
    <t>HYC 1 &amp; 2 Software backup Done.</t>
  </si>
  <si>
    <t>Manjeet</t>
    <phoneticPr fontId="16" type="noConversion"/>
  </si>
  <si>
    <t>MCR alarm in loading machine</t>
    <phoneticPr fontId="16" type="noConversion"/>
  </si>
  <si>
    <t>check carrier presence sensor output , found some time sensor output not come then change the sensor and run the line.( UNDER OBSERBATION )</t>
    <phoneticPr fontId="16" type="noConversion"/>
  </si>
  <si>
    <t xml:space="preserve">uld B  Tray putting position wrong </t>
    <phoneticPr fontId="16" type="noConversion"/>
  </si>
  <si>
    <t xml:space="preserve">Set alignment of tray and run the line </t>
    <phoneticPr fontId="16" type="noConversion"/>
  </si>
  <si>
    <t xml:space="preserve">x3354 linr 5s </t>
    <phoneticPr fontId="16" type="noConversion"/>
  </si>
  <si>
    <t>VDN X2821 mating side MCR abnormal on loding belt</t>
  </si>
  <si>
    <t>Loading belt sensor position take forward, running under observation</t>
  </si>
  <si>
    <t>x3354 line uld b side not initilize</t>
  </si>
  <si>
    <t>all vdn line robot backup has been done and kept in the akash ame ,machine backup, folder</t>
  </si>
  <si>
    <t xml:space="preserve">x2821 line mcr alarm come </t>
  </si>
  <si>
    <t>mcr time out value chage in software ,(after 3pm no one alarm come )</t>
  </si>
  <si>
    <t>becouses servo supply wire loose from connector then change new one thimbole and run the machine .</t>
  </si>
  <si>
    <t>no downtime</t>
  </si>
  <si>
    <t>No downtime</t>
  </si>
  <si>
    <t xml:space="preserve">majeet </t>
  </si>
  <si>
    <t xml:space="preserve">manually operate and run machien </t>
  </si>
  <si>
    <t xml:space="preserve">uld B not initilize  </t>
  </si>
  <si>
    <t xml:space="preserve">then check connection found looser then retight thimble and run </t>
  </si>
  <si>
    <t xml:space="preserve">unit A mcr alarm </t>
  </si>
  <si>
    <t xml:space="preserve">reset andf run </t>
  </si>
  <si>
    <t xml:space="preserve">unmating machine unmating B clamp not open </t>
  </si>
  <si>
    <t xml:space="preserve">cyl air flow set and run </t>
  </si>
  <si>
    <t>Aniruddha</t>
    <phoneticPr fontId="16" type="noConversion"/>
  </si>
  <si>
    <t>Unmating A side not running</t>
  </si>
  <si>
    <t>Initialise the hole machine then ok</t>
  </si>
  <si>
    <t>Mating B ld Robot not load part, machine stop</t>
  </si>
  <si>
    <t>found PCM tray empty, so change the tray then ok</t>
  </si>
  <si>
    <t>Unmating-B robot pick pcm present sensor not coming.</t>
  </si>
  <si>
    <t>Sensor range setting done then run</t>
  </si>
  <si>
    <t xml:space="preserve">Loading-A Robot picking position abnormal </t>
  </si>
  <si>
    <t>Robot position teach .</t>
  </si>
  <si>
    <t>Empty tray base, tray guide block adjust done.</t>
  </si>
  <si>
    <t>Deepak Singh</t>
  </si>
  <si>
    <t>Loading Side -A &amp; B empty tray Placing problem.</t>
  </si>
  <si>
    <t>Loading Side -B Empty tray out position down cyl. Signal error.</t>
  </si>
  <si>
    <t>Cyl. Down reed reed switch was not ON ,reed switch adjust and cylinder air flow set.</t>
  </si>
  <si>
    <t xml:space="preserve">Cyl. air flow set and run </t>
  </si>
  <si>
    <t xml:space="preserve">Unmating machine unmating B clamp not open </t>
  </si>
  <si>
    <t>Carrying &amp; Split axis arm alarm was coming.</t>
  </si>
  <si>
    <t>I/O St. no.12 DA Signal wire was loose so properly thimbeling done &amp; reconnect again.</t>
  </si>
  <si>
    <t>Un-loading side A&amp;B In motor up/dn time abnormal sound through the ball screw.</t>
  </si>
  <si>
    <t>MODEL -X3354 MAIN BUILD</t>
  </si>
  <si>
    <t xml:space="preserve">Loading side A pre push cly sensor not on </t>
  </si>
  <si>
    <t>Manually on &amp; runing.</t>
  </si>
  <si>
    <t>Aniruddha</t>
    <phoneticPr fontId="16" type="noConversion"/>
  </si>
  <si>
    <t>manjeet</t>
    <phoneticPr fontId="16" type="noConversion"/>
  </si>
  <si>
    <t xml:space="preserve">check sensor output in HMI sensor out put come then set alignment of sensor , and set location of sensor with HYC team , handover to b shift . </t>
    <phoneticPr fontId="16" type="noConversion"/>
  </si>
  <si>
    <t xml:space="preserve"> Set sensor location and run</t>
    <phoneticPr fontId="16" type="noConversion"/>
  </si>
  <si>
    <t>LD side B pick up sensor not on ,</t>
  </si>
  <si>
    <t>ULD rbt B has information but no product .</t>
    <phoneticPr fontId="16" type="noConversion"/>
  </si>
  <si>
    <t>manually initilize and run.</t>
    <phoneticPr fontId="16" type="noConversion"/>
  </si>
  <si>
    <t xml:space="preserve">Manjeet </t>
    <phoneticPr fontId="16" type="noConversion"/>
  </si>
  <si>
    <t>VDN X2821 machine take handover in breakdown,mating side Ldarm not pick carrier from loading belt</t>
  </si>
  <si>
    <t>carrier presence sensor change and their alignment done then ok,still running under observation</t>
  </si>
  <si>
    <t>x-2821 line stop with out alarm</t>
    <phoneticPr fontId="16" type="noConversion"/>
  </si>
  <si>
    <t xml:space="preserve"> then check feed conveyor sensor output foundOK， then manually carrier remove from belt  and run。</t>
    <phoneticPr fontId="16" type="noConversion"/>
  </si>
  <si>
    <t xml:space="preserve">x-2821 line unit 2 stop （ not initilize ) </t>
    <phoneticPr fontId="16" type="noConversion"/>
  </si>
  <si>
    <t xml:space="preserve">then check physical  condition of robot and remove all carrier from LD belt , robot and trace cly .then initilize machine and run . </t>
    <phoneticPr fontId="16" type="noConversion"/>
  </si>
  <si>
    <t>uld A side robot not rsepond</t>
  </si>
  <si>
    <t xml:space="preserve">then check physical condition found uld A outtray lift at lower position then initilize uld side A and uld robot A 。then run。 </t>
    <phoneticPr fontId="16" type="noConversion"/>
  </si>
  <si>
    <t>MCR alarm in mating machine</t>
    <phoneticPr fontId="16" type="noConversion"/>
  </si>
  <si>
    <t xml:space="preserve">check sensor output in HMI found all output come  ( under observation ) handover to B shift </t>
  </si>
  <si>
    <t>LD side B pick up sensor malfuntioniong</t>
  </si>
  <si>
    <t>change the senser with new one now ok.</t>
  </si>
  <si>
    <t>Nachi robot teach take on home position by teach pandent and machine initialize then run.</t>
  </si>
  <si>
    <t>X-3359 scanner mount properly and teaching done.</t>
  </si>
  <si>
    <t>Test st.-3 b-side robot pic part on channel 29 but part was not present,channel alredy disable by TE person.</t>
  </si>
  <si>
    <t>X 2821 unloading machine robot B updown cyl 2 not in org alarm</t>
  </si>
  <si>
    <t>Found multicore cable wire get damage , and cyl solenoide valve also , now cable wire direct connect to reed switch wire , running under observation. And handover it to manjeet</t>
  </si>
  <si>
    <t xml:space="preserve">uld a side not respond </t>
  </si>
  <si>
    <t xml:space="preserve">check physical condition and found out tray plate stuck in IN tray hold then manually seperatye and initilize uld b side , then after that teach the PCM  tray position . </t>
  </si>
  <si>
    <t xml:space="preserve">testing unit 3 stop with out alarm </t>
  </si>
  <si>
    <t xml:space="preserve">check testing unit then found carrier position wrong then manually operate and run the mchine </t>
  </si>
  <si>
    <t xml:space="preserve">testing unit 2 ld belt has information but no product </t>
  </si>
  <si>
    <t xml:space="preserve">check all sensor output in HMI and  clean all senmsor found all ok then rest and run </t>
  </si>
  <si>
    <t xml:space="preserve">uld robot B has information but no product </t>
  </si>
  <si>
    <t>check phisical condition , initilize robot ,remove memory bit of robot then run .</t>
  </si>
  <si>
    <t>Aniruddha</t>
    <phoneticPr fontId="18" type="noConversion"/>
  </si>
  <si>
    <t>No Any Issue Reported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</si>
</sst>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
  </numFmts>
  <fonts count="21">
    <font>
      <sz val="11"/>
      <color theme="1"/>
      <name val="Calibri"/>
      <charset val="134"/>
      <scheme val="minor"/>
    </font>
    <font>
      <b/>
      <sz val="9"/>
      <color theme="1"/>
      <name val="Calibri"/>
      <family val="2"/>
      <scheme val="minor"/>
    </font>
    <font>
      <b/>
      <sz val="10"/>
      <color rgb="FF000000"/>
      <name val="Calibri"/>
      <family val="2"/>
    </font>
    <font>
      <sz val="9"/>
      <color theme="1"/>
      <name val="Calibri"/>
      <family val="2"/>
      <scheme val="minor"/>
    </font>
    <font>
      <b/>
      <sz val="8"/>
      <color theme="1"/>
      <name val="Calibri"/>
      <family val="2"/>
      <scheme val="minor"/>
    </font>
    <font>
      <b/>
      <i/>
      <sz val="9"/>
      <color theme="1"/>
      <name val="Calibri"/>
      <family val="2"/>
      <scheme val="minor"/>
    </font>
    <font>
      <b/>
      <sz val="9"/>
      <color theme="1"/>
      <name val="Calibri"/>
      <family val="2"/>
      <scheme val="minor"/>
    </font>
    <font>
      <sz val="9"/>
      <color theme="1"/>
      <name val="Calibri"/>
      <family val="2"/>
      <scheme val="minor"/>
    </font>
    <font>
      <sz val="9"/>
      <color theme="1"/>
      <name val="等线"/>
      <family val="3"/>
      <charset val="134"/>
    </font>
    <font>
      <sz val="9"/>
      <color theme="1"/>
      <name val="Calibri"/>
      <family val="2"/>
    </font>
    <font>
      <b/>
      <sz val="9"/>
      <color theme="1"/>
      <name val="Calibri"/>
      <family val="2"/>
    </font>
    <font>
      <b/>
      <sz val="9"/>
      <color rgb="FFC00000"/>
      <name val="Calibri"/>
      <family val="2"/>
    </font>
    <font>
      <sz val="9"/>
      <color rgb="FFFF0000"/>
      <name val="Calibri"/>
      <family val="2"/>
    </font>
    <font>
      <sz val="9"/>
      <color rgb="FFFF0000"/>
      <name val="等线"/>
      <family val="3"/>
      <charset val="134"/>
    </font>
    <font>
      <b/>
      <sz val="8"/>
      <color theme="1"/>
      <name val="Calibri"/>
      <family val="2"/>
    </font>
    <font>
      <sz val="11"/>
      <color theme="1"/>
      <name val="Calibri"/>
      <family val="2"/>
      <scheme val="minor"/>
    </font>
    <font>
      <sz val="9"/>
      <name val="Calibri"/>
      <family val="2"/>
      <scheme val="minor"/>
    </font>
    <font>
      <b/>
      <sz val="9"/>
      <color rgb="FFFF0000"/>
      <name val="Calibri"/>
      <family val="2"/>
      <scheme val="minor"/>
    </font>
    <font>
      <sz val="9"/>
      <name val="Calibri"/>
      <charset val="134"/>
      <scheme val="minor"/>
    </font>
    <font>
      <b/>
      <sz val="9"/>
      <color theme="1"/>
      <name val="Calibri"/>
      <family val="3"/>
      <charset val="134"/>
      <scheme val="minor"/>
    </font>
    <font>
      <b/>
      <sz val="9"/>
      <color theme="1"/>
      <name val="Arial Unicode MS"/>
      <family val="2"/>
      <charset val="134"/>
    </font>
  </fonts>
  <fills count="13">
    <fill>
      <patternFill patternType="none"/>
    </fill>
    <fill>
      <patternFill patternType="gray125"/>
    </fill>
    <fill>
      <patternFill patternType="solid">
        <fgColor theme="5" tint="0.59999389629810485"/>
        <bgColor indexed="64"/>
      </patternFill>
    </fill>
    <fill>
      <patternFill patternType="solid">
        <fgColor rgb="FF95B3D7"/>
        <bgColor indexed="64"/>
      </patternFill>
    </fill>
    <fill>
      <patternFill patternType="solid">
        <fgColor theme="9" tint="0.59999389629810485"/>
        <bgColor indexed="64"/>
      </patternFill>
    </fill>
    <fill>
      <patternFill patternType="solid">
        <fgColor theme="7" tint="0.7993408001953185"/>
        <bgColor indexed="64"/>
      </patternFill>
    </fill>
    <fill>
      <patternFill patternType="solid">
        <fgColor theme="8" tint="0.59999389629810485"/>
        <bgColor indexed="64"/>
      </patternFill>
    </fill>
    <fill>
      <patternFill patternType="solid">
        <fgColor theme="7" tint="0.79982909634693444"/>
        <bgColor indexed="64"/>
      </patternFill>
    </fill>
    <fill>
      <patternFill patternType="solid">
        <fgColor theme="7" tint="0.79985961485641044"/>
        <bgColor indexed="64"/>
      </patternFill>
    </fill>
    <fill>
      <patternFill patternType="solid">
        <fgColor theme="5" tint="0.39994506668294322"/>
        <bgColor indexed="64"/>
      </patternFill>
    </fill>
    <fill>
      <patternFill patternType="solid">
        <fgColor theme="7" tint="0.79995117038483843"/>
        <bgColor indexed="64"/>
      </patternFill>
    </fill>
    <fill>
      <patternFill patternType="solid">
        <fgColor theme="7" tint="0.79998168889431442"/>
        <bgColor indexed="64"/>
      </patternFill>
    </fill>
    <fill>
      <patternFill patternType="solid">
        <fgColor rgb="FFFFFF00"/>
        <bgColor indexed="64"/>
      </patternFill>
    </fill>
  </fills>
  <borders count="2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top/>
      <bottom style="thin">
        <color auto="1"/>
      </bottom>
      <diagonal/>
    </border>
    <border>
      <left style="thin">
        <color auto="1"/>
      </left>
      <right style="thin">
        <color auto="1"/>
      </right>
      <top style="medium">
        <color auto="1"/>
      </top>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diagonal/>
    </border>
  </borders>
  <cellStyleXfs count="8">
    <xf numFmtId="0" fontId="0" fillId="0" borderId="0">
      <alignment vertical="center"/>
    </xf>
    <xf numFmtId="0" fontId="15" fillId="0" borderId="0"/>
    <xf numFmtId="0" fontId="15" fillId="0" borderId="0">
      <alignment vertical="center"/>
    </xf>
    <xf numFmtId="0" fontId="15" fillId="0" borderId="0">
      <alignment vertical="center"/>
    </xf>
    <xf numFmtId="0" fontId="15" fillId="0" borderId="0">
      <alignment vertical="center"/>
    </xf>
    <xf numFmtId="0" fontId="15" fillId="0" borderId="0"/>
    <xf numFmtId="0" fontId="15" fillId="0" borderId="0">
      <alignment vertical="center"/>
    </xf>
    <xf numFmtId="0" fontId="15" fillId="0" borderId="0">
      <alignment vertical="center"/>
    </xf>
  </cellStyleXfs>
  <cellXfs count="228">
    <xf numFmtId="0" fontId="0" fillId="0" borderId="0" xfId="0" applyAlignment="1"/>
    <xf numFmtId="164" fontId="15" fillId="0" borderId="0" xfId="6" applyNumberFormat="1" applyAlignment="1"/>
    <xf numFmtId="0" fontId="15" fillId="0" borderId="0" xfId="6" applyAlignment="1">
      <alignment wrapText="1"/>
    </xf>
    <xf numFmtId="0" fontId="15" fillId="0" borderId="0" xfId="5" applyAlignment="1">
      <alignment horizontal="center" vertical="center"/>
    </xf>
    <xf numFmtId="164" fontId="2" fillId="3" borderId="3" xfId="1" applyNumberFormat="1" applyFont="1" applyFill="1" applyBorder="1" applyAlignment="1">
      <alignment horizontal="center" vertical="center" wrapText="1" readingOrder="1"/>
    </xf>
    <xf numFmtId="0" fontId="2" fillId="3" borderId="4" xfId="1" applyFont="1" applyFill="1" applyBorder="1" applyAlignment="1">
      <alignment horizontal="center" vertical="center" wrapText="1" readingOrder="1"/>
    </xf>
    <xf numFmtId="0" fontId="1" fillId="4" borderId="5" xfId="1" applyFont="1" applyFill="1" applyBorder="1" applyAlignment="1">
      <alignment horizontal="center" vertical="center" wrapText="1"/>
    </xf>
    <xf numFmtId="0" fontId="1" fillId="4" borderId="6" xfId="1" applyFont="1" applyFill="1" applyBorder="1" applyAlignment="1">
      <alignment horizontal="center" vertical="center" wrapText="1"/>
    </xf>
    <xf numFmtId="0" fontId="1" fillId="5" borderId="6" xfId="1" applyFont="1" applyFill="1" applyBorder="1" applyAlignment="1">
      <alignment horizontal="center" vertical="center" wrapText="1"/>
    </xf>
    <xf numFmtId="0" fontId="1" fillId="6" borderId="6" xfId="1" applyFont="1" applyFill="1" applyBorder="1" applyAlignment="1">
      <alignment horizontal="center" vertical="center" wrapText="1"/>
    </xf>
    <xf numFmtId="0" fontId="1" fillId="2" borderId="2" xfId="2" applyFont="1" applyFill="1" applyBorder="1" applyAlignment="1">
      <alignment horizontal="center" vertical="center"/>
    </xf>
    <xf numFmtId="0" fontId="1" fillId="2" borderId="9" xfId="2" applyFont="1" applyFill="1" applyBorder="1" applyAlignment="1"/>
    <xf numFmtId="0" fontId="2" fillId="3" borderId="4" xfId="1" applyFont="1" applyFill="1" applyBorder="1" applyAlignment="1">
      <alignment horizontal="left" vertical="center" wrapText="1"/>
    </xf>
    <xf numFmtId="0" fontId="2" fillId="3" borderId="10" xfId="1" applyFont="1" applyFill="1" applyBorder="1" applyAlignment="1">
      <alignment horizontal="center" vertical="center" wrapText="1" readingOrder="1"/>
    </xf>
    <xf numFmtId="0" fontId="1" fillId="4" borderId="5" xfId="1" applyFont="1" applyFill="1" applyBorder="1" applyAlignment="1">
      <alignment horizontal="center" vertical="center"/>
    </xf>
    <xf numFmtId="0" fontId="1" fillId="4" borderId="5" xfId="1" applyFont="1" applyFill="1" applyBorder="1" applyAlignment="1">
      <alignment horizontal="left" wrapText="1"/>
    </xf>
    <xf numFmtId="0" fontId="1" fillId="4" borderId="5" xfId="1" applyFont="1" applyFill="1" applyBorder="1" applyAlignment="1">
      <alignment horizontal="left" vertical="center" wrapText="1"/>
    </xf>
    <xf numFmtId="0" fontId="1" fillId="4" borderId="8" xfId="1" applyFont="1" applyFill="1" applyBorder="1" applyAlignment="1">
      <alignment horizontal="center" vertical="center" wrapText="1"/>
    </xf>
    <xf numFmtId="0" fontId="1" fillId="4" borderId="6" xfId="1" applyFont="1" applyFill="1" applyBorder="1" applyAlignment="1">
      <alignment horizontal="left" wrapText="1"/>
    </xf>
    <xf numFmtId="0" fontId="1" fillId="4" borderId="6" xfId="1" applyFont="1" applyFill="1" applyBorder="1" applyAlignment="1">
      <alignment horizontal="left" vertical="center" wrapText="1"/>
    </xf>
    <xf numFmtId="0" fontId="3" fillId="7" borderId="6" xfId="5" applyFont="1" applyFill="1" applyBorder="1" applyAlignment="1">
      <alignment wrapText="1"/>
    </xf>
    <xf numFmtId="0" fontId="3" fillId="7" borderId="6" xfId="5" applyFont="1" applyFill="1" applyBorder="1" applyAlignment="1">
      <alignment horizontal="left" wrapText="1"/>
    </xf>
    <xf numFmtId="0" fontId="3" fillId="7" borderId="6" xfId="5" applyFont="1" applyFill="1" applyBorder="1" applyAlignment="1">
      <alignment horizontal="center" vertical="center"/>
    </xf>
    <xf numFmtId="0" fontId="3" fillId="7" borderId="5" xfId="5" applyFont="1" applyFill="1" applyBorder="1" applyAlignment="1">
      <alignment horizontal="center" vertical="center"/>
    </xf>
    <xf numFmtId="14" fontId="1" fillId="6" borderId="6" xfId="1" applyNumberFormat="1" applyFont="1" applyFill="1" applyBorder="1" applyAlignment="1">
      <alignment horizontal="left" vertical="center" wrapText="1"/>
    </xf>
    <xf numFmtId="14" fontId="1" fillId="6" borderId="6" xfId="1" applyNumberFormat="1" applyFont="1" applyFill="1" applyBorder="1" applyAlignment="1">
      <alignment horizontal="center" vertical="center"/>
    </xf>
    <xf numFmtId="0" fontId="1" fillId="6" borderId="7" xfId="1" applyNumberFormat="1" applyFont="1" applyFill="1" applyBorder="1" applyAlignment="1">
      <alignment vertical="center"/>
    </xf>
    <xf numFmtId="0" fontId="1" fillId="6" borderId="8" xfId="1" applyNumberFormat="1" applyFont="1" applyFill="1" applyBorder="1" applyAlignment="1">
      <alignment vertical="center"/>
    </xf>
    <xf numFmtId="0" fontId="1" fillId="6" borderId="6" xfId="1" applyFont="1" applyFill="1" applyBorder="1" applyAlignment="1">
      <alignment horizontal="left" vertical="center" wrapText="1"/>
    </xf>
    <xf numFmtId="0" fontId="1" fillId="6" borderId="5" xfId="1" applyNumberFormat="1" applyFont="1" applyFill="1" applyBorder="1" applyAlignment="1">
      <alignment vertical="center"/>
    </xf>
    <xf numFmtId="0" fontId="1" fillId="6" borderId="8" xfId="1" applyNumberFormat="1" applyFont="1" applyFill="1" applyBorder="1" applyAlignment="1">
      <alignment horizontal="center" vertical="center"/>
    </xf>
    <xf numFmtId="0" fontId="3" fillId="4" borderId="5" xfId="1" applyFont="1" applyFill="1" applyBorder="1" applyAlignment="1">
      <alignment horizontal="center" vertical="center" wrapText="1"/>
    </xf>
    <xf numFmtId="0" fontId="3" fillId="4" borderId="6" xfId="1" applyFont="1" applyFill="1" applyBorder="1" applyAlignment="1">
      <alignment horizontal="center" vertical="center" wrapText="1"/>
    </xf>
    <xf numFmtId="0" fontId="3" fillId="5" borderId="6" xfId="1" applyFont="1" applyFill="1" applyBorder="1" applyAlignment="1">
      <alignment horizontal="center" vertical="center" wrapText="1"/>
    </xf>
    <xf numFmtId="0" fontId="3" fillId="6" borderId="6" xfId="1" applyFont="1" applyFill="1" applyBorder="1" applyAlignment="1">
      <alignment horizontal="center" vertical="center" wrapText="1"/>
    </xf>
    <xf numFmtId="0" fontId="1" fillId="6" borderId="7" xfId="1" applyFont="1" applyFill="1" applyBorder="1" applyAlignment="1">
      <alignment horizontal="center" vertical="center" wrapText="1"/>
    </xf>
    <xf numFmtId="0" fontId="1" fillId="4" borderId="7" xfId="1" applyFont="1" applyFill="1" applyBorder="1" applyAlignment="1">
      <alignment horizontal="center" vertical="center" wrapText="1"/>
    </xf>
    <xf numFmtId="0" fontId="3" fillId="4" borderId="5" xfId="1" applyFont="1" applyFill="1" applyBorder="1" applyAlignment="1">
      <alignment horizontal="left" wrapText="1"/>
    </xf>
    <xf numFmtId="0" fontId="3" fillId="4" borderId="5" xfId="1" applyFont="1" applyFill="1" applyBorder="1" applyAlignment="1">
      <alignment horizontal="left" vertical="center" wrapText="1"/>
    </xf>
    <xf numFmtId="0" fontId="3" fillId="4" borderId="6" xfId="1" applyFont="1" applyFill="1" applyBorder="1" applyAlignment="1">
      <alignment horizontal="left" wrapText="1"/>
    </xf>
    <xf numFmtId="0" fontId="3" fillId="4" borderId="6" xfId="1" applyFont="1" applyFill="1" applyBorder="1" applyAlignment="1">
      <alignment horizontal="left" vertical="center" wrapText="1"/>
    </xf>
    <xf numFmtId="14" fontId="3" fillId="6" borderId="6" xfId="1" applyNumberFormat="1" applyFont="1" applyFill="1" applyBorder="1" applyAlignment="1">
      <alignment horizontal="left" vertical="center" wrapText="1"/>
    </xf>
    <xf numFmtId="0" fontId="3" fillId="6" borderId="6" xfId="1" applyFont="1" applyFill="1" applyBorder="1" applyAlignment="1">
      <alignment horizontal="left" vertical="center" wrapText="1"/>
    </xf>
    <xf numFmtId="0" fontId="3" fillId="8" borderId="6" xfId="5" applyFont="1" applyFill="1" applyBorder="1" applyAlignment="1">
      <alignment wrapText="1"/>
    </xf>
    <xf numFmtId="0" fontId="3" fillId="8" borderId="6" xfId="5" applyFont="1" applyFill="1" applyBorder="1" applyAlignment="1">
      <alignment horizontal="center" vertical="center"/>
    </xf>
    <xf numFmtId="0" fontId="3" fillId="8" borderId="6" xfId="5" applyFont="1" applyFill="1" applyBorder="1" applyAlignment="1">
      <alignment horizontal="left" wrapText="1"/>
    </xf>
    <xf numFmtId="0" fontId="1" fillId="6" borderId="5" xfId="1" applyFont="1" applyFill="1" applyBorder="1" applyAlignment="1">
      <alignment horizontal="left" vertical="center" wrapText="1"/>
    </xf>
    <xf numFmtId="0" fontId="1" fillId="7" borderId="6" xfId="5" applyFont="1" applyFill="1" applyBorder="1" applyAlignment="1">
      <alignment wrapText="1"/>
    </xf>
    <xf numFmtId="0" fontId="1" fillId="4" borderId="2" xfId="1" applyFont="1" applyFill="1" applyBorder="1" applyAlignment="1">
      <alignment horizontal="center" vertical="center" wrapText="1"/>
    </xf>
    <xf numFmtId="14" fontId="4" fillId="6" borderId="6" xfId="1" applyNumberFormat="1" applyFont="1" applyFill="1" applyBorder="1" applyAlignment="1">
      <alignment horizontal="left" vertical="center" wrapText="1"/>
    </xf>
    <xf numFmtId="14" fontId="4" fillId="6" borderId="6" xfId="1" applyNumberFormat="1" applyFont="1" applyFill="1" applyBorder="1" applyAlignment="1">
      <alignment horizontal="left" vertical="top"/>
    </xf>
    <xf numFmtId="0" fontId="1" fillId="6" borderId="6" xfId="1" applyNumberFormat="1" applyFont="1" applyFill="1" applyBorder="1" applyAlignment="1">
      <alignment horizontal="center" vertical="center"/>
    </xf>
    <xf numFmtId="0" fontId="4" fillId="6" borderId="6" xfId="1" applyFont="1" applyFill="1" applyBorder="1" applyAlignment="1">
      <alignment horizontal="left" vertical="center" readingOrder="1"/>
    </xf>
    <xf numFmtId="0" fontId="4" fillId="6" borderId="6" xfId="1" applyFont="1" applyFill="1" applyBorder="1" applyAlignment="1">
      <alignment horizontal="left" vertical="center" wrapText="1"/>
    </xf>
    <xf numFmtId="14" fontId="4" fillId="6" borderId="6" xfId="1" applyNumberFormat="1" applyFont="1" applyFill="1" applyBorder="1" applyAlignment="1">
      <alignment horizontal="left" vertical="center" wrapText="1" readingOrder="1"/>
    </xf>
    <xf numFmtId="0" fontId="5" fillId="6" borderId="6" xfId="1" applyFont="1" applyFill="1" applyBorder="1" applyAlignment="1">
      <alignment horizontal="left" vertical="center" wrapText="1"/>
    </xf>
    <xf numFmtId="0" fontId="3" fillId="4" borderId="6" xfId="5" applyFont="1" applyFill="1" applyBorder="1" applyAlignment="1">
      <alignment horizontal="center" vertical="center"/>
    </xf>
    <xf numFmtId="0" fontId="4" fillId="6" borderId="6" xfId="1" applyFont="1" applyFill="1" applyBorder="1" applyAlignment="1">
      <alignment horizontal="left" readingOrder="1"/>
    </xf>
    <xf numFmtId="0" fontId="3" fillId="7" borderId="6" xfId="5" applyFont="1" applyFill="1" applyBorder="1" applyAlignment="1">
      <alignment vertical="center" wrapText="1"/>
    </xf>
    <xf numFmtId="0" fontId="1" fillId="4" borderId="7" xfId="1" applyFont="1" applyFill="1" applyBorder="1" applyAlignment="1">
      <alignment horizontal="left" vertical="center" wrapText="1"/>
    </xf>
    <xf numFmtId="0" fontId="1" fillId="4" borderId="0" xfId="1" applyFont="1" applyFill="1" applyBorder="1" applyAlignment="1">
      <alignment horizontal="center" vertical="center" wrapText="1"/>
    </xf>
    <xf numFmtId="0" fontId="3" fillId="4" borderId="6" xfId="5" applyFont="1" applyFill="1" applyBorder="1" applyAlignment="1">
      <alignment horizontal="left" vertical="center"/>
    </xf>
    <xf numFmtId="0" fontId="15" fillId="4" borderId="6" xfId="5" applyFill="1" applyBorder="1" applyAlignment="1">
      <alignment horizontal="center" vertical="center"/>
    </xf>
    <xf numFmtId="0" fontId="1" fillId="7" borderId="6" xfId="5" applyFont="1" applyFill="1" applyBorder="1" applyAlignment="1">
      <alignment horizontal="center" vertical="center"/>
    </xf>
    <xf numFmtId="0" fontId="1" fillId="7" borderId="6" xfId="5" applyFont="1" applyFill="1" applyBorder="1" applyAlignment="1">
      <alignment horizontal="left" vertical="center" wrapText="1"/>
    </xf>
    <xf numFmtId="0" fontId="3" fillId="6" borderId="6" xfId="5" applyFont="1" applyFill="1" applyBorder="1" applyAlignment="1">
      <alignment wrapText="1"/>
    </xf>
    <xf numFmtId="0" fontId="3" fillId="6" borderId="6" xfId="5" applyFont="1" applyFill="1" applyBorder="1" applyAlignment="1">
      <alignment horizontal="left" wrapText="1"/>
    </xf>
    <xf numFmtId="0" fontId="1" fillId="6" borderId="6" xfId="1" applyFont="1" applyFill="1" applyBorder="1" applyAlignment="1">
      <alignment horizontal="left" vertical="center" readingOrder="1"/>
    </xf>
    <xf numFmtId="0" fontId="1" fillId="6" borderId="6" xfId="1" applyFont="1" applyFill="1" applyBorder="1" applyAlignment="1">
      <alignment horizontal="left" vertical="top" wrapText="1"/>
    </xf>
    <xf numFmtId="0" fontId="1" fillId="6" borderId="7" xfId="1" applyFont="1" applyFill="1" applyBorder="1" applyAlignment="1">
      <alignment horizontal="left" vertical="center" readingOrder="1"/>
    </xf>
    <xf numFmtId="0" fontId="1" fillId="6" borderId="7" xfId="1" applyFont="1" applyFill="1" applyBorder="1" applyAlignment="1">
      <alignment horizontal="left" vertical="top" wrapText="1"/>
    </xf>
    <xf numFmtId="0" fontId="1" fillId="6" borderId="7" xfId="1" applyFont="1" applyFill="1" applyBorder="1" applyAlignment="1">
      <alignment horizontal="left" vertical="top"/>
    </xf>
    <xf numFmtId="0" fontId="1" fillId="4" borderId="2" xfId="1" applyFont="1" applyFill="1" applyBorder="1" applyAlignment="1">
      <alignment horizontal="left" vertical="center" wrapText="1"/>
    </xf>
    <xf numFmtId="0" fontId="1" fillId="2" borderId="6" xfId="1" applyFont="1" applyFill="1" applyBorder="1" applyAlignment="1">
      <alignment horizontal="left" vertical="center" wrapText="1"/>
    </xf>
    <xf numFmtId="0" fontId="1" fillId="2" borderId="6" xfId="1" applyFont="1" applyFill="1" applyBorder="1" applyAlignment="1">
      <alignment horizontal="center" vertical="center" wrapText="1"/>
    </xf>
    <xf numFmtId="0" fontId="1" fillId="2" borderId="4" xfId="1" applyFont="1" applyFill="1" applyBorder="1" applyAlignment="1">
      <alignment horizontal="left" vertical="center" wrapText="1"/>
    </xf>
    <xf numFmtId="0" fontId="1" fillId="2" borderId="4" xfId="1" applyFont="1" applyFill="1" applyBorder="1" applyAlignment="1">
      <alignment horizontal="center" vertical="center" wrapText="1"/>
    </xf>
    <xf numFmtId="0" fontId="3" fillId="7" borderId="5" xfId="5" applyFont="1" applyFill="1" applyBorder="1" applyAlignment="1">
      <alignment wrapText="1"/>
    </xf>
    <xf numFmtId="0" fontId="7" fillId="7" borderId="6" xfId="5" applyFont="1" applyFill="1" applyBorder="1" applyAlignment="1">
      <alignment wrapText="1"/>
    </xf>
    <xf numFmtId="14" fontId="4" fillId="6" borderId="7" xfId="1" applyNumberFormat="1" applyFont="1" applyFill="1" applyBorder="1" applyAlignment="1">
      <alignment horizontal="left" vertical="center" wrapText="1"/>
    </xf>
    <xf numFmtId="14" fontId="4" fillId="6" borderId="7" xfId="1" applyNumberFormat="1" applyFont="1" applyFill="1" applyBorder="1" applyAlignment="1">
      <alignment horizontal="left" vertical="center" readingOrder="1"/>
    </xf>
    <xf numFmtId="0" fontId="6" fillId="4" borderId="2" xfId="1" applyFont="1" applyFill="1" applyBorder="1" applyAlignment="1">
      <alignment horizontal="center" vertical="center"/>
    </xf>
    <xf numFmtId="0" fontId="1" fillId="4" borderId="24" xfId="1" applyFont="1" applyFill="1" applyBorder="1" applyAlignment="1">
      <alignment horizontal="center" vertical="center" wrapText="1"/>
    </xf>
    <xf numFmtId="0" fontId="6" fillId="9" borderId="6" xfId="1" applyFont="1" applyFill="1" applyBorder="1" applyAlignment="1">
      <alignment horizontal="left" vertical="center" wrapText="1"/>
    </xf>
    <xf numFmtId="0" fontId="6" fillId="9" borderId="17" xfId="1" applyFont="1" applyFill="1" applyBorder="1" applyAlignment="1">
      <alignment horizontal="left" vertical="center" wrapText="1"/>
    </xf>
    <xf numFmtId="0" fontId="1" fillId="9" borderId="6" xfId="1" applyFont="1" applyFill="1" applyBorder="1" applyAlignment="1">
      <alignment horizontal="center" vertical="center" wrapText="1"/>
    </xf>
    <xf numFmtId="14" fontId="6" fillId="9" borderId="6" xfId="1" applyNumberFormat="1" applyFont="1" applyFill="1" applyBorder="1" applyAlignment="1">
      <alignment horizontal="left" vertical="center" wrapText="1"/>
    </xf>
    <xf numFmtId="0" fontId="1" fillId="9" borderId="6" xfId="1" applyNumberFormat="1" applyFont="1" applyFill="1" applyBorder="1" applyAlignment="1">
      <alignment horizontal="center" vertical="center"/>
    </xf>
    <xf numFmtId="0" fontId="6" fillId="9" borderId="4" xfId="1" applyFont="1" applyFill="1" applyBorder="1" applyAlignment="1">
      <alignment horizontal="left" vertical="center" wrapText="1"/>
    </xf>
    <xf numFmtId="14" fontId="6" fillId="9" borderId="4" xfId="1" applyNumberFormat="1" applyFont="1" applyFill="1" applyBorder="1" applyAlignment="1">
      <alignment horizontal="left" vertical="center" wrapText="1"/>
    </xf>
    <xf numFmtId="0" fontId="1" fillId="9" borderId="4" xfId="1" applyFont="1" applyFill="1" applyBorder="1" applyAlignment="1">
      <alignment horizontal="center" vertical="center" wrapText="1"/>
    </xf>
    <xf numFmtId="14" fontId="4" fillId="10" borderId="5" xfId="1" applyNumberFormat="1" applyFont="1" applyFill="1" applyBorder="1" applyAlignment="1">
      <alignment horizontal="left" vertical="center" wrapText="1"/>
    </xf>
    <xf numFmtId="14" fontId="4" fillId="10" borderId="5" xfId="1" applyNumberFormat="1" applyFont="1" applyFill="1" applyBorder="1" applyAlignment="1">
      <alignment horizontal="left" vertical="center" readingOrder="1"/>
    </xf>
    <xf numFmtId="0" fontId="1" fillId="10" borderId="5" xfId="1" applyFont="1" applyFill="1" applyBorder="1" applyAlignment="1">
      <alignment horizontal="center" vertical="center" wrapText="1"/>
    </xf>
    <xf numFmtId="0" fontId="2" fillId="3" borderId="4" xfId="1" applyFont="1" applyFill="1" applyBorder="1" applyAlignment="1">
      <alignment horizontal="center" vertical="center" readingOrder="1"/>
    </xf>
    <xf numFmtId="0" fontId="2" fillId="3" borderId="10" xfId="1" applyFont="1" applyFill="1" applyBorder="1" applyAlignment="1">
      <alignment horizontal="center" vertical="center" readingOrder="1"/>
    </xf>
    <xf numFmtId="0" fontId="15" fillId="4" borderId="7" xfId="5" applyFill="1" applyBorder="1" applyAlignment="1">
      <alignment horizontal="center" vertical="center" readingOrder="1"/>
    </xf>
    <xf numFmtId="0" fontId="1" fillId="4" borderId="6" xfId="1" applyFont="1" applyFill="1" applyBorder="1" applyAlignment="1">
      <alignment horizontal="center" vertical="center" wrapText="1" readingOrder="1"/>
    </xf>
    <xf numFmtId="0" fontId="15" fillId="4" borderId="0" xfId="5" applyFill="1" applyAlignment="1">
      <alignment horizontal="center" vertical="center" readingOrder="1"/>
    </xf>
    <xf numFmtId="0" fontId="3" fillId="7" borderId="6" xfId="5" applyFont="1" applyFill="1" applyBorder="1" applyAlignment="1">
      <alignment horizontal="center" vertical="center" readingOrder="1"/>
    </xf>
    <xf numFmtId="0" fontId="1" fillId="6" borderId="6" xfId="1" applyNumberFormat="1" applyFont="1" applyFill="1" applyBorder="1" applyAlignment="1">
      <alignment horizontal="center" vertical="center" readingOrder="1"/>
    </xf>
    <xf numFmtId="0" fontId="1" fillId="6" borderId="6" xfId="1" applyFont="1" applyFill="1" applyBorder="1" applyAlignment="1">
      <alignment horizontal="center" vertical="center" wrapText="1" readingOrder="1"/>
    </xf>
    <xf numFmtId="0" fontId="15" fillId="4" borderId="6" xfId="5" applyFill="1" applyBorder="1" applyAlignment="1">
      <alignment horizontal="center" vertical="center" readingOrder="1"/>
    </xf>
    <xf numFmtId="0" fontId="15" fillId="4" borderId="5" xfId="5" applyFill="1" applyBorder="1" applyAlignment="1">
      <alignment horizontal="center" vertical="center" readingOrder="1"/>
    </xf>
    <xf numFmtId="0" fontId="0" fillId="0" borderId="0" xfId="0" applyAlignment="1">
      <alignment horizontal="center" readingOrder="1"/>
    </xf>
    <xf numFmtId="0" fontId="1" fillId="4" borderId="8" xfId="1" applyFont="1" applyFill="1" applyBorder="1" applyAlignment="1">
      <alignment horizontal="center" vertical="center" wrapText="1"/>
    </xf>
    <xf numFmtId="0" fontId="1" fillId="4" borderId="6" xfId="1" applyFont="1" applyFill="1" applyBorder="1" applyAlignment="1">
      <alignment horizontal="center" vertical="center" wrapText="1"/>
    </xf>
    <xf numFmtId="0" fontId="1" fillId="4" borderId="6" xfId="1" applyFont="1" applyFill="1" applyBorder="1" applyAlignment="1">
      <alignment horizontal="center" vertical="center"/>
    </xf>
    <xf numFmtId="0" fontId="1" fillId="6" borderId="6" xfId="1" applyFont="1" applyFill="1" applyBorder="1" applyAlignment="1">
      <alignment vertical="center" wrapText="1"/>
    </xf>
    <xf numFmtId="0" fontId="1" fillId="11" borderId="6" xfId="1" applyFont="1" applyFill="1" applyBorder="1" applyAlignment="1">
      <alignment horizontal="left" wrapText="1"/>
    </xf>
    <xf numFmtId="0" fontId="1" fillId="7" borderId="6" xfId="5" applyFont="1" applyFill="1" applyBorder="1" applyAlignment="1">
      <alignment horizontal="center" vertical="center" readingOrder="1"/>
    </xf>
    <xf numFmtId="0" fontId="1" fillId="11" borderId="6" xfId="5" applyFont="1" applyFill="1" applyBorder="1" applyAlignment="1">
      <alignment horizontal="left" vertical="center"/>
    </xf>
    <xf numFmtId="0" fontId="1" fillId="7" borderId="6" xfId="5" applyFont="1" applyFill="1" applyBorder="1" applyAlignment="1">
      <alignment horizontal="left" wrapText="1"/>
    </xf>
    <xf numFmtId="0" fontId="1" fillId="7" borderId="8" xfId="5" applyFont="1" applyFill="1" applyBorder="1" applyAlignment="1">
      <alignment horizontal="center"/>
    </xf>
    <xf numFmtId="0" fontId="1" fillId="6" borderId="6" xfId="1" applyNumberFormat="1" applyFont="1" applyFill="1" applyBorder="1" applyAlignment="1">
      <alignment horizontal="left" vertical="center" wrapText="1" readingOrder="1"/>
    </xf>
    <xf numFmtId="0" fontId="1" fillId="4" borderId="8" xfId="1" applyFont="1" applyFill="1" applyBorder="1" applyAlignment="1">
      <alignment horizontal="center" vertical="center" wrapText="1"/>
    </xf>
    <xf numFmtId="0" fontId="1" fillId="4" borderId="6" xfId="1" applyFont="1" applyFill="1" applyBorder="1" applyAlignment="1">
      <alignment horizontal="center" vertical="center" wrapText="1"/>
    </xf>
    <xf numFmtId="0" fontId="1" fillId="4" borderId="6" xfId="1" applyFont="1" applyFill="1" applyBorder="1" applyAlignment="1">
      <alignment horizontal="center" vertical="center"/>
    </xf>
    <xf numFmtId="0" fontId="1" fillId="7" borderId="8" xfId="5" applyFont="1" applyFill="1" applyBorder="1" applyAlignment="1">
      <alignment horizontal="center"/>
    </xf>
    <xf numFmtId="0" fontId="3" fillId="7" borderId="6" xfId="5" applyFont="1" applyFill="1" applyBorder="1" applyAlignment="1"/>
    <xf numFmtId="0" fontId="1" fillId="4" borderId="13" xfId="5" applyFont="1" applyFill="1" applyBorder="1" applyAlignment="1">
      <alignment vertical="center"/>
    </xf>
    <xf numFmtId="0" fontId="1" fillId="4" borderId="6" xfId="5" applyFont="1" applyFill="1" applyBorder="1" applyAlignment="1">
      <alignment horizontal="center" vertical="center"/>
    </xf>
    <xf numFmtId="0" fontId="1" fillId="4" borderId="13" xfId="1" applyFont="1" applyFill="1" applyBorder="1" applyAlignment="1">
      <alignment horizontal="left" wrapText="1"/>
    </xf>
    <xf numFmtId="0" fontId="1" fillId="4" borderId="17" xfId="1" applyFont="1" applyFill="1" applyBorder="1" applyAlignment="1">
      <alignment horizontal="left" wrapText="1"/>
    </xf>
    <xf numFmtId="0" fontId="1" fillId="4" borderId="7" xfId="1" applyFont="1" applyFill="1" applyBorder="1" applyAlignment="1">
      <alignment horizontal="center" vertical="center" wrapText="1"/>
    </xf>
    <xf numFmtId="0" fontId="1" fillId="4" borderId="5" xfId="1" applyFont="1" applyFill="1" applyBorder="1" applyAlignment="1">
      <alignment horizontal="center" vertical="center" wrapText="1"/>
    </xf>
    <xf numFmtId="0" fontId="1" fillId="4" borderId="7" xfId="1" applyFont="1" applyFill="1" applyBorder="1" applyAlignment="1">
      <alignment horizontal="center" vertical="center" wrapText="1" readingOrder="1"/>
    </xf>
    <xf numFmtId="0" fontId="1" fillId="4" borderId="5" xfId="1" applyFont="1" applyFill="1" applyBorder="1" applyAlignment="1">
      <alignment horizontal="center" vertical="center" wrapText="1" readingOrder="1"/>
    </xf>
    <xf numFmtId="0" fontId="1" fillId="4" borderId="8" xfId="1" applyFont="1" applyFill="1" applyBorder="1" applyAlignment="1">
      <alignment horizontal="center" vertical="center" wrapText="1"/>
    </xf>
    <xf numFmtId="0" fontId="3" fillId="7" borderId="7" xfId="5" applyFont="1" applyFill="1" applyBorder="1" applyAlignment="1">
      <alignment horizontal="center"/>
    </xf>
    <xf numFmtId="0" fontId="3" fillId="7" borderId="8" xfId="5" applyFont="1" applyFill="1" applyBorder="1" applyAlignment="1">
      <alignment horizontal="center"/>
    </xf>
    <xf numFmtId="0" fontId="3" fillId="7" borderId="5" xfId="5" applyFont="1" applyFill="1" applyBorder="1" applyAlignment="1">
      <alignment horizontal="center"/>
    </xf>
    <xf numFmtId="0" fontId="1" fillId="6" borderId="7" xfId="1" applyNumberFormat="1" applyFont="1" applyFill="1" applyBorder="1" applyAlignment="1">
      <alignment horizontal="center" vertical="center"/>
    </xf>
    <xf numFmtId="0" fontId="1" fillId="6" borderId="8" xfId="1" applyNumberFormat="1" applyFont="1" applyFill="1" applyBorder="1" applyAlignment="1">
      <alignment horizontal="center" vertical="center"/>
    </xf>
    <xf numFmtId="0" fontId="1" fillId="6" borderId="5" xfId="1" applyNumberFormat="1" applyFont="1" applyFill="1" applyBorder="1" applyAlignment="1">
      <alignment horizontal="center" vertical="center"/>
    </xf>
    <xf numFmtId="0" fontId="17" fillId="12" borderId="13" xfId="1" applyFont="1" applyFill="1" applyBorder="1" applyAlignment="1">
      <alignment horizontal="center" wrapText="1"/>
    </xf>
    <xf numFmtId="0" fontId="17" fillId="12" borderId="18" xfId="1" applyFont="1" applyFill="1" applyBorder="1" applyAlignment="1">
      <alignment horizontal="center" wrapText="1"/>
    </xf>
    <xf numFmtId="0" fontId="17" fillId="12" borderId="17" xfId="1" applyFont="1" applyFill="1" applyBorder="1" applyAlignment="1">
      <alignment horizontal="center" wrapText="1"/>
    </xf>
    <xf numFmtId="0" fontId="1" fillId="7" borderId="7" xfId="5" applyFont="1" applyFill="1" applyBorder="1" applyAlignment="1">
      <alignment horizontal="center"/>
    </xf>
    <xf numFmtId="0" fontId="1" fillId="7" borderId="8" xfId="5" applyFont="1" applyFill="1" applyBorder="1" applyAlignment="1">
      <alignment horizontal="center"/>
    </xf>
    <xf numFmtId="0" fontId="1" fillId="7" borderId="5" xfId="5" applyFont="1" applyFill="1" applyBorder="1" applyAlignment="1">
      <alignment horizontal="center"/>
    </xf>
    <xf numFmtId="0" fontId="1" fillId="4" borderId="5" xfId="1" applyFont="1" applyFill="1" applyBorder="1" applyAlignment="1">
      <alignment horizontal="center" vertical="center"/>
    </xf>
    <xf numFmtId="0" fontId="1" fillId="4" borderId="6" xfId="1" applyFont="1" applyFill="1" applyBorder="1" applyAlignment="1">
      <alignment horizontal="center" vertical="center"/>
    </xf>
    <xf numFmtId="0" fontId="1" fillId="5" borderId="6" xfId="1" applyFont="1" applyFill="1" applyBorder="1" applyAlignment="1">
      <alignment horizontal="center" vertical="center" wrapText="1"/>
    </xf>
    <xf numFmtId="0" fontId="1" fillId="6" borderId="6" xfId="1" applyFont="1" applyFill="1" applyBorder="1" applyAlignment="1">
      <alignment horizontal="center" vertical="center" wrapText="1"/>
    </xf>
    <xf numFmtId="0" fontId="1" fillId="4" borderId="6" xfId="1" applyFont="1" applyFill="1" applyBorder="1" applyAlignment="1">
      <alignment horizontal="center" vertical="center" wrapText="1"/>
    </xf>
    <xf numFmtId="164" fontId="1" fillId="0" borderId="5" xfId="1" applyNumberFormat="1" applyFont="1" applyBorder="1" applyAlignment="1">
      <alignment horizontal="center" vertical="center"/>
    </xf>
    <xf numFmtId="164" fontId="1" fillId="0" borderId="6" xfId="1" applyNumberFormat="1" applyFont="1" applyBorder="1" applyAlignment="1">
      <alignment horizontal="center" vertical="center"/>
    </xf>
    <xf numFmtId="164" fontId="1" fillId="0" borderId="6" xfId="1" applyNumberFormat="1" applyFont="1" applyFill="1" applyBorder="1" applyAlignment="1">
      <alignment horizontal="center" vertical="center"/>
    </xf>
    <xf numFmtId="0" fontId="1" fillId="6" borderId="7" xfId="1" applyFont="1" applyFill="1" applyBorder="1" applyAlignment="1">
      <alignment horizontal="center" vertical="center" wrapText="1"/>
    </xf>
    <xf numFmtId="0" fontId="1" fillId="6" borderId="8" xfId="1" applyFont="1" applyFill="1" applyBorder="1" applyAlignment="1">
      <alignment horizontal="center" vertical="center" wrapText="1"/>
    </xf>
    <xf numFmtId="0" fontId="1" fillId="6" borderId="5" xfId="1" applyFont="1" applyFill="1" applyBorder="1" applyAlignment="1">
      <alignment horizontal="center" vertical="center" wrapText="1"/>
    </xf>
    <xf numFmtId="0" fontId="1" fillId="5" borderId="7" xfId="1" applyFont="1" applyFill="1" applyBorder="1" applyAlignment="1">
      <alignment horizontal="center" vertical="center" wrapText="1"/>
    </xf>
    <xf numFmtId="0" fontId="1" fillId="5" borderId="8" xfId="1" applyFont="1" applyFill="1" applyBorder="1" applyAlignment="1">
      <alignment horizontal="center" vertical="center" wrapText="1"/>
    </xf>
    <xf numFmtId="0" fontId="1" fillId="5" borderId="5" xfId="1" applyFont="1" applyFill="1" applyBorder="1" applyAlignment="1">
      <alignment horizontal="center" vertical="center" wrapText="1"/>
    </xf>
    <xf numFmtId="0" fontId="5" fillId="6" borderId="7" xfId="1" applyFont="1" applyFill="1" applyBorder="1" applyAlignment="1">
      <alignment horizontal="center" vertical="center" wrapText="1"/>
    </xf>
    <xf numFmtId="0" fontId="5" fillId="6" borderId="8" xfId="1" applyFont="1" applyFill="1" applyBorder="1" applyAlignment="1">
      <alignment horizontal="center" vertical="center" wrapText="1"/>
    </xf>
    <xf numFmtId="0" fontId="5" fillId="6" borderId="5" xfId="1" applyFont="1" applyFill="1" applyBorder="1" applyAlignment="1">
      <alignment horizontal="center" vertical="center" wrapText="1"/>
    </xf>
    <xf numFmtId="0" fontId="1" fillId="4" borderId="8" xfId="1" applyFont="1" applyFill="1" applyBorder="1" applyAlignment="1">
      <alignment horizontal="center" vertical="center" wrapText="1" readingOrder="1"/>
    </xf>
    <xf numFmtId="0" fontId="3" fillId="7" borderId="7" xfId="5" applyFont="1" applyFill="1" applyBorder="1" applyAlignment="1">
      <alignment horizontal="center" vertical="center" wrapText="1"/>
    </xf>
    <xf numFmtId="0" fontId="3" fillId="7" borderId="8" xfId="5" applyFont="1" applyFill="1" applyBorder="1" applyAlignment="1">
      <alignment horizontal="center" vertical="center" wrapText="1"/>
    </xf>
    <xf numFmtId="0" fontId="3" fillId="7" borderId="5" xfId="5" applyFont="1" applyFill="1" applyBorder="1" applyAlignment="1">
      <alignment horizontal="center" vertical="center" wrapText="1"/>
    </xf>
    <xf numFmtId="0" fontId="1" fillId="4" borderId="9" xfId="1" applyFont="1" applyFill="1" applyBorder="1" applyAlignment="1">
      <alignment horizontal="center" vertical="center" wrapText="1"/>
    </xf>
    <xf numFmtId="0" fontId="1" fillId="4" borderId="19" xfId="1" applyFont="1" applyFill="1" applyBorder="1" applyAlignment="1">
      <alignment horizontal="center" vertical="center" wrapText="1"/>
    </xf>
    <xf numFmtId="0" fontId="1" fillId="2" borderId="20" xfId="1" applyFont="1" applyFill="1" applyBorder="1" applyAlignment="1">
      <alignment horizontal="center" vertical="center" wrapText="1"/>
    </xf>
    <xf numFmtId="0" fontId="1" fillId="2" borderId="21" xfId="1" applyFont="1" applyFill="1" applyBorder="1" applyAlignment="1">
      <alignment horizontal="center" vertical="center" wrapText="1"/>
    </xf>
    <xf numFmtId="0" fontId="1" fillId="9" borderId="19" xfId="1" applyFont="1" applyFill="1" applyBorder="1" applyAlignment="1">
      <alignment horizontal="center" vertical="center" wrapText="1"/>
    </xf>
    <xf numFmtId="0" fontId="1" fillId="9" borderId="10" xfId="1" applyFont="1" applyFill="1" applyBorder="1" applyAlignment="1">
      <alignment horizontal="center" vertical="center" wrapText="1"/>
    </xf>
    <xf numFmtId="0" fontId="3" fillId="7" borderId="7" xfId="5" applyFont="1" applyFill="1" applyBorder="1" applyAlignment="1">
      <alignment horizontal="center" vertical="center"/>
    </xf>
    <xf numFmtId="0" fontId="3" fillId="7" borderId="8" xfId="5" applyFont="1" applyFill="1" applyBorder="1" applyAlignment="1">
      <alignment horizontal="center" vertical="center"/>
    </xf>
    <xf numFmtId="0" fontId="1" fillId="7" borderId="7" xfId="5" applyFont="1" applyFill="1" applyBorder="1" applyAlignment="1">
      <alignment horizontal="center" vertical="center"/>
    </xf>
    <xf numFmtId="0" fontId="1" fillId="7" borderId="8" xfId="5" applyFont="1" applyFill="1" applyBorder="1" applyAlignment="1">
      <alignment horizontal="center" vertical="center"/>
    </xf>
    <xf numFmtId="0" fontId="1" fillId="7" borderId="5" xfId="5" applyFont="1" applyFill="1" applyBorder="1" applyAlignment="1">
      <alignment horizontal="center" vertical="center"/>
    </xf>
    <xf numFmtId="0" fontId="3" fillId="8" borderId="7" xfId="5" applyFont="1" applyFill="1" applyBorder="1" applyAlignment="1">
      <alignment horizontal="center" vertical="center"/>
    </xf>
    <xf numFmtId="0" fontId="3" fillId="8" borderId="8" xfId="5" applyFont="1" applyFill="1" applyBorder="1" applyAlignment="1">
      <alignment horizontal="center" vertical="center"/>
    </xf>
    <xf numFmtId="0" fontId="3" fillId="7" borderId="5" xfId="5" applyFont="1" applyFill="1" applyBorder="1" applyAlignment="1">
      <alignment horizontal="center" vertical="center"/>
    </xf>
    <xf numFmtId="0" fontId="6" fillId="2" borderId="8" xfId="1" applyFont="1" applyFill="1" applyBorder="1" applyAlignment="1">
      <alignment horizontal="center" vertical="center"/>
    </xf>
    <xf numFmtId="0" fontId="1" fillId="2" borderId="15" xfId="1" applyFont="1" applyFill="1" applyBorder="1" applyAlignment="1">
      <alignment horizontal="center" vertical="center"/>
    </xf>
    <xf numFmtId="0" fontId="6" fillId="9" borderId="7" xfId="1" applyFont="1" applyFill="1" applyBorder="1" applyAlignment="1">
      <alignment horizontal="center" vertical="center"/>
    </xf>
    <xf numFmtId="0" fontId="6" fillId="9" borderId="8" xfId="1" applyFont="1" applyFill="1" applyBorder="1" applyAlignment="1">
      <alignment horizontal="center" vertical="center"/>
    </xf>
    <xf numFmtId="0" fontId="6" fillId="9" borderId="15" xfId="1" applyFont="1" applyFill="1" applyBorder="1" applyAlignment="1">
      <alignment horizontal="center" vertical="center"/>
    </xf>
    <xf numFmtId="0" fontId="1" fillId="4" borderId="2" xfId="1" applyFont="1" applyFill="1" applyBorder="1" applyAlignment="1">
      <alignment horizontal="center" vertical="center"/>
    </xf>
    <xf numFmtId="0" fontId="1" fillId="4" borderId="4" xfId="1" applyFont="1" applyFill="1" applyBorder="1" applyAlignment="1">
      <alignment horizontal="center" vertical="center"/>
    </xf>
    <xf numFmtId="0" fontId="3" fillId="4" borderId="5" xfId="1" applyFont="1" applyFill="1" applyBorder="1" applyAlignment="1">
      <alignment horizontal="center" vertical="center"/>
    </xf>
    <xf numFmtId="0" fontId="3" fillId="4" borderId="6" xfId="1" applyFont="1" applyFill="1" applyBorder="1" applyAlignment="1">
      <alignment horizontal="center" vertical="center"/>
    </xf>
    <xf numFmtId="0" fontId="3" fillId="5" borderId="6" xfId="1" applyFont="1" applyFill="1" applyBorder="1" applyAlignment="1">
      <alignment horizontal="center" vertical="center" wrapText="1"/>
    </xf>
    <xf numFmtId="0" fontId="3" fillId="6" borderId="6" xfId="1" applyFont="1" applyFill="1" applyBorder="1" applyAlignment="1">
      <alignment horizontal="center" vertical="center" wrapText="1"/>
    </xf>
    <xf numFmtId="0" fontId="1" fillId="4" borderId="12" xfId="1" applyFont="1" applyFill="1" applyBorder="1" applyAlignment="1">
      <alignment horizontal="center" vertical="center" wrapText="1"/>
    </xf>
    <xf numFmtId="0" fontId="1" fillId="4" borderId="15" xfId="1" applyFont="1" applyFill="1" applyBorder="1" applyAlignment="1">
      <alignment horizontal="center" vertical="center" wrapText="1"/>
    </xf>
    <xf numFmtId="0" fontId="1" fillId="4" borderId="2" xfId="1" applyFont="1" applyFill="1" applyBorder="1" applyAlignment="1">
      <alignment horizontal="center" vertical="center" wrapText="1"/>
    </xf>
    <xf numFmtId="0" fontId="1" fillId="4" borderId="4" xfId="1" applyFont="1" applyFill="1" applyBorder="1" applyAlignment="1">
      <alignment horizontal="center" vertical="center" wrapText="1"/>
    </xf>
    <xf numFmtId="0" fontId="3" fillId="4" borderId="5" xfId="1" applyFont="1" applyFill="1" applyBorder="1" applyAlignment="1">
      <alignment horizontal="center" vertical="center" wrapText="1"/>
    </xf>
    <xf numFmtId="0" fontId="3" fillId="4" borderId="6" xfId="1" applyFont="1" applyFill="1" applyBorder="1" applyAlignment="1">
      <alignment horizontal="center" vertical="center" wrapText="1"/>
    </xf>
    <xf numFmtId="0" fontId="1" fillId="4" borderId="1" xfId="1" applyFont="1" applyFill="1" applyBorder="1" applyAlignment="1">
      <alignment horizontal="center" vertical="center" wrapText="1"/>
    </xf>
    <xf numFmtId="0" fontId="1" fillId="4" borderId="16" xfId="1" applyFont="1" applyFill="1" applyBorder="1" applyAlignment="1">
      <alignment horizontal="center" vertical="center" wrapText="1"/>
    </xf>
    <xf numFmtId="0" fontId="1" fillId="4" borderId="14" xfId="1" applyFont="1" applyFill="1" applyBorder="1" applyAlignment="1">
      <alignment horizontal="center" vertical="center" wrapText="1"/>
    </xf>
    <xf numFmtId="0" fontId="1" fillId="4" borderId="3" xfId="1" applyFont="1" applyFill="1" applyBorder="1" applyAlignment="1">
      <alignment horizontal="center" vertical="center" wrapText="1"/>
    </xf>
    <xf numFmtId="0" fontId="3" fillId="5" borderId="7" xfId="1" applyFont="1" applyFill="1" applyBorder="1" applyAlignment="1">
      <alignment horizontal="center" vertical="center" wrapText="1"/>
    </xf>
    <xf numFmtId="0" fontId="3" fillId="5" borderId="8" xfId="1" applyFont="1" applyFill="1" applyBorder="1" applyAlignment="1">
      <alignment horizontal="center" vertical="center" wrapText="1"/>
    </xf>
    <xf numFmtId="0" fontId="3" fillId="5" borderId="5" xfId="1" applyFont="1" applyFill="1" applyBorder="1" applyAlignment="1">
      <alignment horizontal="center" vertical="center" wrapText="1"/>
    </xf>
    <xf numFmtId="0" fontId="1" fillId="2" borderId="1" xfId="2" applyFont="1" applyFill="1" applyBorder="1" applyAlignment="1">
      <alignment horizontal="center"/>
    </xf>
    <xf numFmtId="0" fontId="1" fillId="2" borderId="2" xfId="2" applyFont="1" applyFill="1" applyBorder="1" applyAlignment="1">
      <alignment horizontal="center"/>
    </xf>
    <xf numFmtId="0" fontId="1" fillId="7" borderId="13" xfId="5" applyFont="1" applyFill="1" applyBorder="1" applyAlignment="1">
      <alignment horizontal="left" vertical="center" wrapText="1"/>
    </xf>
    <xf numFmtId="0" fontId="1" fillId="7" borderId="17" xfId="5" applyFont="1" applyFill="1" applyBorder="1" applyAlignment="1">
      <alignment horizontal="left" vertical="center" wrapText="1"/>
    </xf>
    <xf numFmtId="0" fontId="1" fillId="7" borderId="13" xfId="5" applyFont="1" applyFill="1" applyBorder="1" applyAlignment="1">
      <alignment horizontal="left" wrapText="1"/>
    </xf>
    <xf numFmtId="0" fontId="1" fillId="7" borderId="17" xfId="5" applyFont="1" applyFill="1" applyBorder="1" applyAlignment="1">
      <alignment horizontal="left" wrapText="1"/>
    </xf>
    <xf numFmtId="0" fontId="1" fillId="4" borderId="18" xfId="1" applyFont="1" applyFill="1" applyBorder="1" applyAlignment="1">
      <alignment horizontal="left" wrapText="1"/>
    </xf>
    <xf numFmtId="0" fontId="6" fillId="4" borderId="22" xfId="1" applyFont="1" applyFill="1" applyBorder="1" applyAlignment="1">
      <alignment horizontal="left" wrapText="1"/>
    </xf>
    <xf numFmtId="0" fontId="6" fillId="4" borderId="23" xfId="1" applyFont="1" applyFill="1" applyBorder="1" applyAlignment="1">
      <alignment horizontal="left" wrapText="1"/>
    </xf>
    <xf numFmtId="164" fontId="3" fillId="0" borderId="5" xfId="1" applyNumberFormat="1" applyFont="1" applyBorder="1" applyAlignment="1">
      <alignment horizontal="center" vertical="center"/>
    </xf>
    <xf numFmtId="164" fontId="3" fillId="0" borderId="6" xfId="1" applyNumberFormat="1" applyFont="1" applyBorder="1" applyAlignment="1">
      <alignment horizontal="center" vertical="center"/>
    </xf>
    <xf numFmtId="164" fontId="3" fillId="0" borderId="6" xfId="1" applyNumberFormat="1" applyFont="1" applyFill="1" applyBorder="1" applyAlignment="1">
      <alignment horizontal="center" vertical="center"/>
    </xf>
    <xf numFmtId="164" fontId="1" fillId="0" borderId="7" xfId="1" applyNumberFormat="1" applyFont="1" applyBorder="1" applyAlignment="1">
      <alignment horizontal="center" vertical="center"/>
    </xf>
    <xf numFmtId="164" fontId="1" fillId="0" borderId="8" xfId="1" applyNumberFormat="1" applyFont="1" applyBorder="1" applyAlignment="1">
      <alignment horizontal="center" vertical="center"/>
    </xf>
    <xf numFmtId="164" fontId="1" fillId="0" borderId="11" xfId="1" applyNumberFormat="1" applyFont="1" applyBorder="1" applyAlignment="1">
      <alignment horizontal="center" vertical="center"/>
    </xf>
    <xf numFmtId="164" fontId="1" fillId="0" borderId="13" xfId="1" applyNumberFormat="1" applyFont="1" applyBorder="1" applyAlignment="1">
      <alignment horizontal="center" vertical="center"/>
    </xf>
    <xf numFmtId="0" fontId="19" fillId="6" borderId="7" xfId="1" applyFont="1" applyFill="1" applyBorder="1" applyAlignment="1">
      <alignment horizontal="center" vertical="center" wrapText="1"/>
    </xf>
    <xf numFmtId="0" fontId="19" fillId="6" borderId="8" xfId="1" applyFont="1" applyFill="1" applyBorder="1" applyAlignment="1">
      <alignment horizontal="center" vertical="center" wrapText="1"/>
    </xf>
    <xf numFmtId="0" fontId="19" fillId="6" borderId="5" xfId="1" applyFont="1" applyFill="1" applyBorder="1" applyAlignment="1">
      <alignment horizontal="center" vertical="center" wrapText="1"/>
    </xf>
    <xf numFmtId="0" fontId="1" fillId="6" borderId="7" xfId="1" applyFont="1" applyFill="1" applyBorder="1" applyAlignment="1">
      <alignment horizontal="left" vertical="center" wrapText="1"/>
    </xf>
    <xf numFmtId="0" fontId="1" fillId="6" borderId="8" xfId="1" applyFont="1" applyFill="1" applyBorder="1" applyAlignment="1">
      <alignment horizontal="left" vertical="center" wrapText="1"/>
    </xf>
    <xf numFmtId="0" fontId="1" fillId="6" borderId="5" xfId="1" applyFont="1" applyFill="1" applyBorder="1" applyAlignment="1">
      <alignment horizontal="left" vertical="center" wrapText="1"/>
    </xf>
    <xf numFmtId="0" fontId="1" fillId="6" borderId="7" xfId="1" applyNumberFormat="1" applyFont="1" applyFill="1" applyBorder="1" applyAlignment="1">
      <alignment horizontal="center" vertical="center" readingOrder="1"/>
    </xf>
    <xf numFmtId="0" fontId="1" fillId="6" borderId="8" xfId="1" applyNumberFormat="1" applyFont="1" applyFill="1" applyBorder="1" applyAlignment="1">
      <alignment horizontal="center" vertical="center" readingOrder="1"/>
    </xf>
    <xf numFmtId="0" fontId="1" fillId="6" borderId="5" xfId="1" applyNumberFormat="1" applyFont="1" applyFill="1" applyBorder="1" applyAlignment="1">
      <alignment horizontal="center" vertical="center" readingOrder="1"/>
    </xf>
    <xf numFmtId="0" fontId="20" fillId="6" borderId="7" xfId="1" applyFont="1" applyFill="1" applyBorder="1" applyAlignment="1">
      <alignment horizontal="center" vertical="center" wrapText="1"/>
    </xf>
    <xf numFmtId="0" fontId="20" fillId="6" borderId="8" xfId="1" applyFont="1" applyFill="1" applyBorder="1" applyAlignment="1">
      <alignment horizontal="center" vertical="center" wrapText="1"/>
    </xf>
    <xf numFmtId="0" fontId="20" fillId="6" borderId="5" xfId="1" applyFont="1" applyFill="1" applyBorder="1" applyAlignment="1">
      <alignment horizontal="center" vertical="center" wrapText="1"/>
    </xf>
  </cellXfs>
  <cellStyles count="8">
    <cellStyle name="Normal" xfId="0" builtinId="0"/>
    <cellStyle name="Normal 2" xfId="5"/>
    <cellStyle name="Normal 3" xfId="6"/>
    <cellStyle name="Normal 4" xfId="7"/>
    <cellStyle name="Normal 42" xfId="1"/>
    <cellStyle name="Normal 44" xfId="2"/>
    <cellStyle name="Normal 68" xfId="4"/>
    <cellStyle name="Normal 73" xfId="3"/>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2"/>
  <sheetViews>
    <sheetView workbookViewId="0">
      <pane xSplit="3" ySplit="1" topLeftCell="E177" activePane="bottomRight" state="frozen"/>
      <selection pane="topRight" activeCell="D1" sqref="D1"/>
      <selection pane="bottomLeft" activeCell="A2" sqref="A2"/>
      <selection pane="bottomRight" activeCell="E179" sqref="E179"/>
    </sheetView>
  </sheetViews>
  <sheetFormatPr defaultColWidth="9" defaultRowHeight="15"/>
  <cols>
    <col min="2" max="2" width="4.28515625" customWidth="1"/>
    <col min="3" max="3" width="12.85546875" customWidth="1"/>
    <col min="4" max="4" width="60.28515625" bestFit="1" customWidth="1"/>
    <col min="5" max="5" width="67.85546875" bestFit="1" customWidth="1"/>
    <col min="6" max="6" width="50.42578125" style="104" customWidth="1"/>
    <col min="7" max="7" width="9.28515625" customWidth="1"/>
  </cols>
  <sheetData>
    <row r="1" spans="1:7" ht="27.6" customHeight="1">
      <c r="A1" s="4" t="s">
        <v>0</v>
      </c>
      <c r="B1" s="5" t="s">
        <v>1</v>
      </c>
      <c r="C1" s="94" t="s">
        <v>2</v>
      </c>
      <c r="D1" s="12" t="s">
        <v>3</v>
      </c>
      <c r="E1" s="12" t="s">
        <v>4</v>
      </c>
      <c r="F1" s="94" t="s">
        <v>5</v>
      </c>
      <c r="G1" s="95" t="s">
        <v>6</v>
      </c>
    </row>
    <row r="2" spans="1:7">
      <c r="A2" s="146">
        <v>45778</v>
      </c>
      <c r="B2" s="125" t="s">
        <v>7</v>
      </c>
      <c r="C2" s="141"/>
      <c r="D2" s="15"/>
      <c r="E2" s="16"/>
      <c r="F2" s="97"/>
      <c r="G2" s="128"/>
    </row>
    <row r="3" spans="1:7">
      <c r="A3" s="147"/>
      <c r="B3" s="145"/>
      <c r="C3" s="142"/>
      <c r="D3" s="18"/>
      <c r="E3" s="19"/>
      <c r="F3" s="97"/>
      <c r="G3" s="128"/>
    </row>
    <row r="4" spans="1:7">
      <c r="A4" s="147"/>
      <c r="B4" s="145"/>
      <c r="C4" s="142"/>
      <c r="D4" s="18"/>
      <c r="E4" s="19"/>
      <c r="F4" s="97"/>
      <c r="G4" s="128"/>
    </row>
    <row r="5" spans="1:7">
      <c r="A5" s="147"/>
      <c r="B5" s="145"/>
      <c r="C5" s="142"/>
      <c r="D5" s="18"/>
      <c r="E5" s="56"/>
      <c r="F5" s="98"/>
      <c r="G5" s="125"/>
    </row>
    <row r="6" spans="1:7">
      <c r="A6" s="147"/>
      <c r="B6" s="143" t="s">
        <v>8</v>
      </c>
      <c r="C6" s="143"/>
      <c r="D6" s="20"/>
      <c r="E6" s="20"/>
      <c r="F6" s="99"/>
      <c r="G6" s="129"/>
    </row>
    <row r="7" spans="1:7">
      <c r="A7" s="147"/>
      <c r="B7" s="143"/>
      <c r="C7" s="143"/>
      <c r="D7" s="20"/>
      <c r="E7" s="20"/>
      <c r="F7" s="99"/>
      <c r="G7" s="130"/>
    </row>
    <row r="8" spans="1:7">
      <c r="A8" s="147"/>
      <c r="B8" s="143"/>
      <c r="C8" s="143"/>
      <c r="D8" s="20"/>
      <c r="E8" s="20"/>
      <c r="F8" s="99"/>
      <c r="G8" s="130"/>
    </row>
    <row r="9" spans="1:7">
      <c r="A9" s="147"/>
      <c r="B9" s="143"/>
      <c r="C9" s="143"/>
      <c r="D9" s="20"/>
      <c r="E9" s="20"/>
      <c r="F9" s="99"/>
      <c r="G9" s="130"/>
    </row>
    <row r="10" spans="1:7">
      <c r="A10" s="147"/>
      <c r="B10" s="143"/>
      <c r="C10" s="143"/>
      <c r="D10" s="20"/>
      <c r="E10" s="20"/>
      <c r="F10" s="99"/>
      <c r="G10" s="130"/>
    </row>
    <row r="11" spans="1:7">
      <c r="A11" s="147"/>
      <c r="B11" s="143"/>
      <c r="C11" s="143"/>
      <c r="D11" s="20"/>
      <c r="E11" s="20"/>
      <c r="F11" s="99"/>
      <c r="G11" s="131"/>
    </row>
    <row r="12" spans="1:7">
      <c r="A12" s="148"/>
      <c r="B12" s="144" t="s">
        <v>9</v>
      </c>
      <c r="C12" s="144"/>
      <c r="D12" s="55"/>
      <c r="E12" s="28"/>
      <c r="F12" s="100"/>
      <c r="G12" s="132"/>
    </row>
    <row r="13" spans="1:7">
      <c r="A13" s="148"/>
      <c r="B13" s="144"/>
      <c r="C13" s="144"/>
      <c r="D13" s="24"/>
      <c r="E13" s="24"/>
      <c r="F13" s="100"/>
      <c r="G13" s="133"/>
    </row>
    <row r="14" spans="1:7">
      <c r="A14" s="148"/>
      <c r="B14" s="144"/>
      <c r="C14" s="144"/>
      <c r="D14" s="52"/>
      <c r="E14" s="53"/>
      <c r="F14" s="101"/>
      <c r="G14" s="133"/>
    </row>
    <row r="15" spans="1:7">
      <c r="A15" s="148"/>
      <c r="B15" s="144"/>
      <c r="C15" s="144"/>
      <c r="D15" s="57"/>
      <c r="E15" s="53"/>
      <c r="F15" s="101"/>
      <c r="G15" s="134"/>
    </row>
    <row r="16" spans="1:7">
      <c r="A16" s="146">
        <v>45779</v>
      </c>
      <c r="B16" s="125" t="s">
        <v>7</v>
      </c>
      <c r="C16" s="141" t="s">
        <v>61</v>
      </c>
      <c r="D16" s="18" t="s">
        <v>233</v>
      </c>
      <c r="E16" s="16" t="s">
        <v>234</v>
      </c>
      <c r="F16" s="97">
        <v>25</v>
      </c>
      <c r="G16" s="128">
        <f>SUM(F16:F19)</f>
        <v>62</v>
      </c>
    </row>
    <row r="17" spans="1:7">
      <c r="A17" s="147"/>
      <c r="B17" s="145"/>
      <c r="C17" s="142"/>
      <c r="D17" s="18" t="s">
        <v>235</v>
      </c>
      <c r="E17" s="19" t="s">
        <v>236</v>
      </c>
      <c r="F17" s="97">
        <v>12</v>
      </c>
      <c r="G17" s="128"/>
    </row>
    <row r="18" spans="1:7">
      <c r="A18" s="147"/>
      <c r="B18" s="145"/>
      <c r="C18" s="142"/>
      <c r="D18" s="18" t="s">
        <v>237</v>
      </c>
      <c r="E18" s="19" t="s">
        <v>238</v>
      </c>
      <c r="F18" s="97">
        <v>11</v>
      </c>
      <c r="G18" s="128"/>
    </row>
    <row r="19" spans="1:7">
      <c r="A19" s="147"/>
      <c r="B19" s="145"/>
      <c r="C19" s="142"/>
      <c r="D19" s="18" t="s">
        <v>239</v>
      </c>
      <c r="E19" s="61" t="s">
        <v>240</v>
      </c>
      <c r="F19" s="98">
        <v>14</v>
      </c>
      <c r="G19" s="125"/>
    </row>
    <row r="20" spans="1:7">
      <c r="A20" s="147"/>
      <c r="B20" s="143" t="s">
        <v>8</v>
      </c>
      <c r="C20" s="143"/>
      <c r="D20" s="20"/>
      <c r="E20" s="20"/>
      <c r="F20" s="99"/>
      <c r="G20" s="129"/>
    </row>
    <row r="21" spans="1:7">
      <c r="A21" s="147"/>
      <c r="B21" s="143"/>
      <c r="C21" s="143"/>
      <c r="D21" s="20"/>
      <c r="E21" s="20"/>
      <c r="F21" s="99"/>
      <c r="G21" s="130"/>
    </row>
    <row r="22" spans="1:7">
      <c r="A22" s="147"/>
      <c r="B22" s="143"/>
      <c r="C22" s="143"/>
      <c r="D22" s="20"/>
      <c r="E22" s="20"/>
      <c r="F22" s="99"/>
      <c r="G22" s="130"/>
    </row>
    <row r="23" spans="1:7">
      <c r="A23" s="147"/>
      <c r="B23" s="143"/>
      <c r="C23" s="143"/>
      <c r="D23" s="20"/>
      <c r="E23" s="20"/>
      <c r="F23" s="99"/>
      <c r="G23" s="130"/>
    </row>
    <row r="24" spans="1:7">
      <c r="A24" s="147"/>
      <c r="B24" s="143"/>
      <c r="C24" s="143"/>
      <c r="D24" s="20"/>
      <c r="E24" s="20"/>
      <c r="F24" s="99"/>
      <c r="G24" s="130"/>
    </row>
    <row r="25" spans="1:7">
      <c r="A25" s="147"/>
      <c r="B25" s="143"/>
      <c r="C25" s="143"/>
      <c r="D25" s="20"/>
      <c r="E25" s="20"/>
      <c r="F25" s="99"/>
      <c r="G25" s="131"/>
    </row>
    <row r="26" spans="1:7">
      <c r="A26" s="148"/>
      <c r="B26" s="144" t="s">
        <v>9</v>
      </c>
      <c r="C26" s="144"/>
      <c r="D26" s="55"/>
      <c r="E26" s="28"/>
      <c r="F26" s="100"/>
      <c r="G26" s="132"/>
    </row>
    <row r="27" spans="1:7">
      <c r="A27" s="148"/>
      <c r="B27" s="144"/>
      <c r="C27" s="144"/>
      <c r="D27" s="24"/>
      <c r="E27" s="24"/>
      <c r="F27" s="100"/>
      <c r="G27" s="133"/>
    </row>
    <row r="28" spans="1:7">
      <c r="A28" s="148"/>
      <c r="B28" s="144"/>
      <c r="C28" s="144"/>
      <c r="D28" s="52"/>
      <c r="E28" s="53"/>
      <c r="F28" s="101"/>
      <c r="G28" s="133"/>
    </row>
    <row r="29" spans="1:7">
      <c r="A29" s="148"/>
      <c r="B29" s="144"/>
      <c r="C29" s="144"/>
      <c r="D29" s="57"/>
      <c r="E29" s="53"/>
      <c r="F29" s="101"/>
      <c r="G29" s="134"/>
    </row>
    <row r="30" spans="1:7">
      <c r="A30" s="146">
        <v>45780</v>
      </c>
      <c r="B30" s="125" t="s">
        <v>7</v>
      </c>
      <c r="C30" s="141" t="s">
        <v>19</v>
      </c>
      <c r="D30" s="15" t="s">
        <v>241</v>
      </c>
      <c r="E30" s="16" t="s">
        <v>242</v>
      </c>
      <c r="F30" s="97">
        <v>10</v>
      </c>
      <c r="G30" s="128"/>
    </row>
    <row r="31" spans="1:7">
      <c r="A31" s="147"/>
      <c r="B31" s="145"/>
      <c r="C31" s="142"/>
      <c r="D31" s="18" t="s">
        <v>243</v>
      </c>
      <c r="E31" s="19" t="s">
        <v>244</v>
      </c>
      <c r="F31" s="97">
        <v>5</v>
      </c>
      <c r="G31" s="128"/>
    </row>
    <row r="32" spans="1:7">
      <c r="A32" s="147"/>
      <c r="B32" s="145"/>
      <c r="C32" s="142"/>
      <c r="D32" s="18" t="s">
        <v>245</v>
      </c>
      <c r="E32" s="19" t="s">
        <v>246</v>
      </c>
      <c r="F32" s="97">
        <v>5</v>
      </c>
      <c r="G32" s="128"/>
    </row>
    <row r="33" spans="1:7">
      <c r="A33" s="147"/>
      <c r="B33" s="145"/>
      <c r="C33" s="142"/>
      <c r="D33" s="18" t="s">
        <v>249</v>
      </c>
      <c r="E33" s="19" t="s">
        <v>250</v>
      </c>
      <c r="F33" s="96">
        <v>5</v>
      </c>
      <c r="G33" s="128"/>
    </row>
    <row r="34" spans="1:7">
      <c r="A34" s="147"/>
      <c r="B34" s="145"/>
      <c r="C34" s="142"/>
      <c r="D34" s="18" t="s">
        <v>251</v>
      </c>
      <c r="E34" s="19" t="s">
        <v>252</v>
      </c>
      <c r="F34" s="102">
        <v>2</v>
      </c>
      <c r="G34" s="128"/>
    </row>
    <row r="35" spans="1:7">
      <c r="A35" s="147"/>
      <c r="B35" s="145"/>
      <c r="C35" s="142"/>
      <c r="D35" s="18" t="s">
        <v>253</v>
      </c>
      <c r="E35" s="19" t="s">
        <v>254</v>
      </c>
      <c r="F35" s="102">
        <v>3</v>
      </c>
      <c r="G35" s="128"/>
    </row>
    <row r="36" spans="1:7">
      <c r="A36" s="147"/>
      <c r="B36" s="145"/>
      <c r="C36" s="142"/>
      <c r="D36" s="18" t="s">
        <v>247</v>
      </c>
      <c r="E36" s="61" t="s">
        <v>248</v>
      </c>
      <c r="F36" s="103">
        <v>5</v>
      </c>
      <c r="G36" s="125"/>
    </row>
    <row r="37" spans="1:7">
      <c r="A37" s="147"/>
      <c r="B37" s="143" t="s">
        <v>8</v>
      </c>
      <c r="C37" s="143" t="s">
        <v>255</v>
      </c>
      <c r="D37" s="159" t="s">
        <v>256</v>
      </c>
      <c r="E37" s="20"/>
      <c r="F37" s="99"/>
      <c r="G37" s="129"/>
    </row>
    <row r="38" spans="1:7">
      <c r="A38" s="147"/>
      <c r="B38" s="143"/>
      <c r="C38" s="143"/>
      <c r="D38" s="160"/>
      <c r="E38" s="58"/>
      <c r="F38" s="99"/>
      <c r="G38" s="130"/>
    </row>
    <row r="39" spans="1:7">
      <c r="A39" s="147"/>
      <c r="B39" s="143"/>
      <c r="C39" s="143"/>
      <c r="D39" s="160"/>
      <c r="E39" s="20"/>
      <c r="F39" s="99"/>
      <c r="G39" s="130"/>
    </row>
    <row r="40" spans="1:7">
      <c r="A40" s="147"/>
      <c r="B40" s="143"/>
      <c r="C40" s="143"/>
      <c r="D40" s="160"/>
      <c r="E40" s="20"/>
      <c r="F40" s="99"/>
      <c r="G40" s="130"/>
    </row>
    <row r="41" spans="1:7">
      <c r="A41" s="147"/>
      <c r="B41" s="143"/>
      <c r="C41" s="143"/>
      <c r="D41" s="160"/>
      <c r="E41" s="20"/>
      <c r="F41" s="99"/>
      <c r="G41" s="130"/>
    </row>
    <row r="42" spans="1:7">
      <c r="A42" s="147"/>
      <c r="B42" s="143"/>
      <c r="C42" s="143"/>
      <c r="D42" s="161"/>
      <c r="E42" s="20"/>
      <c r="F42" s="99"/>
      <c r="G42" s="131"/>
    </row>
    <row r="43" spans="1:7">
      <c r="A43" s="148"/>
      <c r="B43" s="144" t="s">
        <v>9</v>
      </c>
      <c r="C43" s="144"/>
      <c r="D43" s="55"/>
      <c r="E43" s="28"/>
      <c r="F43" s="100"/>
      <c r="G43" s="132"/>
    </row>
    <row r="44" spans="1:7">
      <c r="A44" s="148"/>
      <c r="B44" s="144"/>
      <c r="C44" s="144"/>
      <c r="D44" s="24"/>
      <c r="E44" s="24"/>
      <c r="F44" s="100"/>
      <c r="G44" s="133"/>
    </row>
    <row r="45" spans="1:7">
      <c r="A45" s="148"/>
      <c r="B45" s="144"/>
      <c r="C45" s="144"/>
      <c r="D45" s="52"/>
      <c r="E45" s="53"/>
      <c r="F45" s="101"/>
      <c r="G45" s="133"/>
    </row>
    <row r="46" spans="1:7">
      <c r="A46" s="148"/>
      <c r="B46" s="144"/>
      <c r="C46" s="144"/>
      <c r="D46" s="57"/>
      <c r="E46" s="53"/>
      <c r="F46" s="101"/>
      <c r="G46" s="134"/>
    </row>
    <row r="47" spans="1:7">
      <c r="A47" s="146">
        <v>45781</v>
      </c>
      <c r="B47" s="125" t="s">
        <v>7</v>
      </c>
      <c r="C47" s="141"/>
      <c r="D47" s="15"/>
      <c r="E47" s="16"/>
      <c r="F47" s="97"/>
      <c r="G47" s="128"/>
    </row>
    <row r="48" spans="1:7">
      <c r="A48" s="147"/>
      <c r="B48" s="145"/>
      <c r="C48" s="142"/>
      <c r="D48" s="18"/>
      <c r="E48" s="19"/>
      <c r="F48" s="97"/>
      <c r="G48" s="128"/>
    </row>
    <row r="49" spans="1:7">
      <c r="A49" s="147"/>
      <c r="B49" s="145"/>
      <c r="C49" s="142"/>
      <c r="D49" s="18"/>
      <c r="E49" s="19"/>
      <c r="F49" s="97"/>
      <c r="G49" s="128"/>
    </row>
    <row r="50" spans="1:7">
      <c r="A50" s="147"/>
      <c r="B50" s="145"/>
      <c r="C50" s="142"/>
      <c r="D50" s="18"/>
      <c r="E50" s="56"/>
      <c r="F50" s="98"/>
      <c r="G50" s="125"/>
    </row>
    <row r="51" spans="1:7">
      <c r="A51" s="147"/>
      <c r="B51" s="143" t="s">
        <v>8</v>
      </c>
      <c r="C51" s="143"/>
      <c r="D51" s="20"/>
      <c r="E51" s="20"/>
      <c r="F51" s="99"/>
      <c r="G51" s="129"/>
    </row>
    <row r="52" spans="1:7">
      <c r="A52" s="147"/>
      <c r="B52" s="143"/>
      <c r="C52" s="143"/>
      <c r="D52" s="20"/>
      <c r="E52" s="20"/>
      <c r="F52" s="99"/>
      <c r="G52" s="130"/>
    </row>
    <row r="53" spans="1:7">
      <c r="A53" s="147"/>
      <c r="B53" s="143"/>
      <c r="C53" s="143"/>
      <c r="D53" s="20"/>
      <c r="E53" s="20"/>
      <c r="F53" s="99"/>
      <c r="G53" s="130"/>
    </row>
    <row r="54" spans="1:7">
      <c r="A54" s="147"/>
      <c r="B54" s="143"/>
      <c r="C54" s="143"/>
      <c r="D54" s="20"/>
      <c r="E54" s="20"/>
      <c r="F54" s="99"/>
      <c r="G54" s="130"/>
    </row>
    <row r="55" spans="1:7">
      <c r="A55" s="147"/>
      <c r="B55" s="143"/>
      <c r="C55" s="143"/>
      <c r="D55" s="20"/>
      <c r="E55" s="20"/>
      <c r="F55" s="99"/>
      <c r="G55" s="130"/>
    </row>
    <row r="56" spans="1:7">
      <c r="A56" s="147"/>
      <c r="B56" s="143"/>
      <c r="C56" s="143"/>
      <c r="D56" s="20"/>
      <c r="E56" s="20"/>
      <c r="F56" s="99"/>
      <c r="G56" s="131"/>
    </row>
    <row r="57" spans="1:7">
      <c r="A57" s="148"/>
      <c r="B57" s="144" t="s">
        <v>9</v>
      </c>
      <c r="C57" s="144"/>
      <c r="D57" s="55"/>
      <c r="E57" s="28"/>
      <c r="F57" s="100"/>
      <c r="G57" s="132"/>
    </row>
    <row r="58" spans="1:7">
      <c r="A58" s="148"/>
      <c r="B58" s="144"/>
      <c r="C58" s="144"/>
      <c r="D58" s="24"/>
      <c r="E58" s="24"/>
      <c r="F58" s="100"/>
      <c r="G58" s="133"/>
    </row>
    <row r="59" spans="1:7">
      <c r="A59" s="148"/>
      <c r="B59" s="144"/>
      <c r="C59" s="144"/>
      <c r="D59" s="52"/>
      <c r="E59" s="53"/>
      <c r="F59" s="101"/>
      <c r="G59" s="133"/>
    </row>
    <row r="60" spans="1:7">
      <c r="A60" s="148"/>
      <c r="B60" s="144"/>
      <c r="C60" s="144"/>
      <c r="D60" s="57"/>
      <c r="E60" s="53"/>
      <c r="F60" s="101"/>
      <c r="G60" s="134"/>
    </row>
    <row r="61" spans="1:7">
      <c r="A61" s="146">
        <v>45782</v>
      </c>
      <c r="B61" s="125" t="s">
        <v>7</v>
      </c>
      <c r="C61" s="141" t="s">
        <v>257</v>
      </c>
      <c r="D61" s="124" t="s">
        <v>256</v>
      </c>
      <c r="E61" s="124" t="s">
        <v>258</v>
      </c>
      <c r="F61" s="126">
        <v>65</v>
      </c>
      <c r="G61" s="128">
        <v>65</v>
      </c>
    </row>
    <row r="62" spans="1:7">
      <c r="A62" s="147"/>
      <c r="B62" s="145"/>
      <c r="C62" s="142"/>
      <c r="D62" s="128"/>
      <c r="E62" s="128"/>
      <c r="F62" s="158"/>
      <c r="G62" s="128"/>
    </row>
    <row r="63" spans="1:7">
      <c r="A63" s="147"/>
      <c r="B63" s="145"/>
      <c r="C63" s="142"/>
      <c r="D63" s="128"/>
      <c r="E63" s="128"/>
      <c r="F63" s="158"/>
      <c r="G63" s="128"/>
    </row>
    <row r="64" spans="1:7">
      <c r="A64" s="147"/>
      <c r="B64" s="145"/>
      <c r="C64" s="142"/>
      <c r="D64" s="125"/>
      <c r="E64" s="125"/>
      <c r="F64" s="127"/>
      <c r="G64" s="125"/>
    </row>
    <row r="65" spans="1:7">
      <c r="A65" s="147"/>
      <c r="B65" s="143" t="s">
        <v>8</v>
      </c>
      <c r="C65" s="143"/>
      <c r="D65" s="20"/>
      <c r="E65" s="20"/>
      <c r="F65" s="99"/>
      <c r="G65" s="129"/>
    </row>
    <row r="66" spans="1:7">
      <c r="A66" s="147"/>
      <c r="B66" s="143"/>
      <c r="C66" s="143"/>
      <c r="D66" s="20"/>
      <c r="E66" s="20"/>
      <c r="F66" s="99"/>
      <c r="G66" s="130"/>
    </row>
    <row r="67" spans="1:7">
      <c r="A67" s="147"/>
      <c r="B67" s="143"/>
      <c r="C67" s="143"/>
      <c r="D67" s="20"/>
      <c r="E67" s="20"/>
      <c r="F67" s="99"/>
      <c r="G67" s="130"/>
    </row>
    <row r="68" spans="1:7">
      <c r="A68" s="147"/>
      <c r="B68" s="143"/>
      <c r="C68" s="143"/>
      <c r="D68" s="20"/>
      <c r="E68" s="20"/>
      <c r="F68" s="99"/>
      <c r="G68" s="130"/>
    </row>
    <row r="69" spans="1:7">
      <c r="A69" s="147"/>
      <c r="B69" s="143"/>
      <c r="C69" s="143"/>
      <c r="D69" s="20"/>
      <c r="E69" s="20"/>
      <c r="F69" s="99"/>
      <c r="G69" s="130"/>
    </row>
    <row r="70" spans="1:7">
      <c r="A70" s="147"/>
      <c r="B70" s="143"/>
      <c r="C70" s="143"/>
      <c r="D70" s="20"/>
      <c r="E70" s="20"/>
      <c r="F70" s="99"/>
      <c r="G70" s="131"/>
    </row>
    <row r="71" spans="1:7">
      <c r="A71" s="148"/>
      <c r="B71" s="144" t="s">
        <v>9</v>
      </c>
      <c r="C71" s="144"/>
      <c r="D71" s="55"/>
      <c r="E71" s="28"/>
      <c r="F71" s="100"/>
      <c r="G71" s="132"/>
    </row>
    <row r="72" spans="1:7">
      <c r="A72" s="148"/>
      <c r="B72" s="144"/>
      <c r="C72" s="144"/>
      <c r="D72" s="24"/>
      <c r="E72" s="24"/>
      <c r="F72" s="100"/>
      <c r="G72" s="133"/>
    </row>
    <row r="73" spans="1:7">
      <c r="A73" s="148"/>
      <c r="B73" s="144"/>
      <c r="C73" s="144"/>
      <c r="D73" s="52"/>
      <c r="E73" s="53"/>
      <c r="F73" s="101"/>
      <c r="G73" s="133"/>
    </row>
    <row r="74" spans="1:7">
      <c r="A74" s="148"/>
      <c r="B74" s="144"/>
      <c r="C74" s="144"/>
      <c r="D74" s="57"/>
      <c r="E74" s="53"/>
      <c r="F74" s="101"/>
      <c r="G74" s="134"/>
    </row>
    <row r="75" spans="1:7">
      <c r="A75" s="146">
        <v>45783</v>
      </c>
      <c r="B75" s="125" t="s">
        <v>7</v>
      </c>
      <c r="C75" s="141" t="s">
        <v>255</v>
      </c>
      <c r="D75" s="124" t="s">
        <v>259</v>
      </c>
      <c r="E75" s="124"/>
      <c r="F75" s="126"/>
      <c r="G75" s="128"/>
    </row>
    <row r="76" spans="1:7">
      <c r="A76" s="147"/>
      <c r="B76" s="145"/>
      <c r="C76" s="142"/>
      <c r="D76" s="128"/>
      <c r="E76" s="128"/>
      <c r="F76" s="158"/>
      <c r="G76" s="128"/>
    </row>
    <row r="77" spans="1:7">
      <c r="A77" s="147"/>
      <c r="B77" s="145"/>
      <c r="C77" s="142"/>
      <c r="D77" s="128"/>
      <c r="E77" s="128"/>
      <c r="F77" s="158"/>
      <c r="G77" s="128"/>
    </row>
    <row r="78" spans="1:7">
      <c r="A78" s="147"/>
      <c r="B78" s="145"/>
      <c r="C78" s="142"/>
      <c r="D78" s="125"/>
      <c r="E78" s="125"/>
      <c r="F78" s="127"/>
      <c r="G78" s="125"/>
    </row>
    <row r="79" spans="1:7">
      <c r="A79" s="147"/>
      <c r="B79" s="143" t="s">
        <v>8</v>
      </c>
      <c r="C79" s="143"/>
      <c r="D79" s="20"/>
      <c r="E79" s="20"/>
      <c r="F79" s="99"/>
      <c r="G79" s="129"/>
    </row>
    <row r="80" spans="1:7">
      <c r="A80" s="147"/>
      <c r="B80" s="143"/>
      <c r="C80" s="143"/>
      <c r="D80" s="20"/>
      <c r="E80" s="20"/>
      <c r="F80" s="99"/>
      <c r="G80" s="130"/>
    </row>
    <row r="81" spans="1:7">
      <c r="A81" s="147"/>
      <c r="B81" s="143"/>
      <c r="C81" s="143"/>
      <c r="D81" s="20"/>
      <c r="E81" s="20"/>
      <c r="F81" s="99"/>
      <c r="G81" s="130"/>
    </row>
    <row r="82" spans="1:7">
      <c r="A82" s="147"/>
      <c r="B82" s="143"/>
      <c r="C82" s="143"/>
      <c r="D82" s="20"/>
      <c r="E82" s="20"/>
      <c r="F82" s="99"/>
      <c r="G82" s="130"/>
    </row>
    <row r="83" spans="1:7">
      <c r="A83" s="147"/>
      <c r="B83" s="143"/>
      <c r="C83" s="143"/>
      <c r="D83" s="20"/>
      <c r="E83" s="20"/>
      <c r="F83" s="99"/>
      <c r="G83" s="130"/>
    </row>
    <row r="84" spans="1:7">
      <c r="A84" s="147"/>
      <c r="B84" s="143"/>
      <c r="C84" s="143"/>
      <c r="D84" s="20"/>
      <c r="E84" s="20"/>
      <c r="F84" s="99"/>
      <c r="G84" s="131"/>
    </row>
    <row r="85" spans="1:7">
      <c r="A85" s="148"/>
      <c r="B85" s="144" t="s">
        <v>9</v>
      </c>
      <c r="C85" s="144"/>
      <c r="D85" s="55"/>
      <c r="E85" s="28"/>
      <c r="F85" s="100"/>
      <c r="G85" s="132"/>
    </row>
    <row r="86" spans="1:7">
      <c r="A86" s="148"/>
      <c r="B86" s="144"/>
      <c r="C86" s="144"/>
      <c r="D86" s="24"/>
      <c r="E86" s="24"/>
      <c r="F86" s="100"/>
      <c r="G86" s="133"/>
    </row>
    <row r="87" spans="1:7">
      <c r="A87" s="148"/>
      <c r="B87" s="144"/>
      <c r="C87" s="144"/>
      <c r="D87" s="52"/>
      <c r="E87" s="53"/>
      <c r="F87" s="101"/>
      <c r="G87" s="133"/>
    </row>
    <row r="88" spans="1:7">
      <c r="A88" s="148"/>
      <c r="B88" s="144"/>
      <c r="C88" s="144"/>
      <c r="D88" s="57"/>
      <c r="E88" s="53"/>
      <c r="F88" s="101"/>
      <c r="G88" s="134"/>
    </row>
    <row r="89" spans="1:7">
      <c r="A89" s="146">
        <v>45784</v>
      </c>
      <c r="B89" s="125" t="s">
        <v>7</v>
      </c>
      <c r="C89" s="141" t="s">
        <v>255</v>
      </c>
      <c r="D89" s="124" t="s">
        <v>260</v>
      </c>
      <c r="E89" s="124"/>
      <c r="F89" s="97"/>
      <c r="G89" s="128">
        <v>120</v>
      </c>
    </row>
    <row r="90" spans="1:7">
      <c r="A90" s="147"/>
      <c r="B90" s="145"/>
      <c r="C90" s="142"/>
      <c r="D90" s="125"/>
      <c r="E90" s="125"/>
      <c r="F90" s="97"/>
      <c r="G90" s="128"/>
    </row>
    <row r="91" spans="1:7">
      <c r="A91" s="147"/>
      <c r="B91" s="145"/>
      <c r="C91" s="142"/>
      <c r="D91" s="124" t="s">
        <v>261</v>
      </c>
      <c r="E91" s="124"/>
      <c r="F91" s="126">
        <v>120</v>
      </c>
      <c r="G91" s="128"/>
    </row>
    <row r="92" spans="1:7">
      <c r="A92" s="147"/>
      <c r="B92" s="145"/>
      <c r="C92" s="142"/>
      <c r="D92" s="125"/>
      <c r="E92" s="125"/>
      <c r="F92" s="127"/>
      <c r="G92" s="125"/>
    </row>
    <row r="93" spans="1:7">
      <c r="A93" s="147"/>
      <c r="B93" s="143" t="s">
        <v>8</v>
      </c>
      <c r="C93" s="143"/>
      <c r="D93" s="20"/>
      <c r="E93" s="20"/>
      <c r="F93" s="99"/>
      <c r="G93" s="129"/>
    </row>
    <row r="94" spans="1:7">
      <c r="A94" s="147"/>
      <c r="B94" s="143"/>
      <c r="C94" s="143"/>
      <c r="D94" s="20"/>
      <c r="E94" s="20"/>
      <c r="F94" s="99"/>
      <c r="G94" s="130"/>
    </row>
    <row r="95" spans="1:7">
      <c r="A95" s="147"/>
      <c r="B95" s="143"/>
      <c r="C95" s="143"/>
      <c r="D95" s="20"/>
      <c r="E95" s="20"/>
      <c r="F95" s="99"/>
      <c r="G95" s="130"/>
    </row>
    <row r="96" spans="1:7">
      <c r="A96" s="147"/>
      <c r="B96" s="143"/>
      <c r="C96" s="143"/>
      <c r="D96" s="20"/>
      <c r="E96" s="20"/>
      <c r="F96" s="99"/>
      <c r="G96" s="130"/>
    </row>
    <row r="97" spans="1:7">
      <c r="A97" s="147"/>
      <c r="B97" s="143"/>
      <c r="C97" s="143"/>
      <c r="D97" s="20"/>
      <c r="E97" s="20"/>
      <c r="F97" s="99"/>
      <c r="G97" s="130"/>
    </row>
    <row r="98" spans="1:7">
      <c r="A98" s="147"/>
      <c r="B98" s="143"/>
      <c r="C98" s="143"/>
      <c r="D98" s="20"/>
      <c r="E98" s="20"/>
      <c r="F98" s="99"/>
      <c r="G98" s="131"/>
    </row>
    <row r="99" spans="1:7">
      <c r="A99" s="148"/>
      <c r="B99" s="144" t="s">
        <v>9</v>
      </c>
      <c r="C99" s="144"/>
      <c r="D99" s="55"/>
      <c r="E99" s="28"/>
      <c r="F99" s="100"/>
      <c r="G99" s="132"/>
    </row>
    <row r="100" spans="1:7">
      <c r="A100" s="148"/>
      <c r="B100" s="144"/>
      <c r="C100" s="144"/>
      <c r="D100" s="24"/>
      <c r="E100" s="24"/>
      <c r="F100" s="100"/>
      <c r="G100" s="133"/>
    </row>
    <row r="101" spans="1:7">
      <c r="A101" s="148"/>
      <c r="B101" s="144"/>
      <c r="C101" s="144"/>
      <c r="D101" s="52"/>
      <c r="E101" s="53"/>
      <c r="F101" s="101"/>
      <c r="G101" s="133"/>
    </row>
    <row r="102" spans="1:7">
      <c r="A102" s="148"/>
      <c r="B102" s="144"/>
      <c r="C102" s="144"/>
      <c r="D102" s="57"/>
      <c r="E102" s="53"/>
      <c r="F102" s="101"/>
      <c r="G102" s="134"/>
    </row>
    <row r="103" spans="1:7" ht="24">
      <c r="A103" s="146">
        <v>45785</v>
      </c>
      <c r="B103" s="125" t="s">
        <v>7</v>
      </c>
      <c r="C103" s="141" t="s">
        <v>255</v>
      </c>
      <c r="D103" s="15" t="s">
        <v>262</v>
      </c>
      <c r="E103" s="16" t="s">
        <v>263</v>
      </c>
      <c r="F103" s="97">
        <v>29</v>
      </c>
      <c r="G103" s="128"/>
    </row>
    <row r="104" spans="1:7">
      <c r="A104" s="147"/>
      <c r="B104" s="145"/>
      <c r="C104" s="142"/>
      <c r="D104" s="18"/>
      <c r="E104" s="19"/>
      <c r="F104" s="97"/>
      <c r="G104" s="128"/>
    </row>
    <row r="105" spans="1:7">
      <c r="A105" s="147"/>
      <c r="B105" s="145"/>
      <c r="C105" s="142"/>
      <c r="D105" s="18"/>
      <c r="E105" s="19"/>
      <c r="F105" s="97"/>
      <c r="G105" s="128"/>
    </row>
    <row r="106" spans="1:7">
      <c r="A106" s="147"/>
      <c r="B106" s="145"/>
      <c r="C106" s="142"/>
      <c r="D106" s="18"/>
      <c r="E106" s="56"/>
      <c r="F106" s="98"/>
      <c r="G106" s="125"/>
    </row>
    <row r="107" spans="1:7">
      <c r="A107" s="147"/>
      <c r="B107" s="143" t="s">
        <v>8</v>
      </c>
      <c r="C107" s="143" t="s">
        <v>270</v>
      </c>
      <c r="D107" s="20"/>
      <c r="E107" s="20" t="s">
        <v>264</v>
      </c>
      <c r="F107" s="99"/>
      <c r="G107" s="129"/>
    </row>
    <row r="108" spans="1:7">
      <c r="A108" s="147"/>
      <c r="B108" s="143"/>
      <c r="C108" s="143"/>
      <c r="D108" s="20" t="s">
        <v>265</v>
      </c>
      <c r="E108" s="20" t="s">
        <v>266</v>
      </c>
      <c r="F108" s="99"/>
      <c r="G108" s="130"/>
    </row>
    <row r="109" spans="1:7">
      <c r="A109" s="147"/>
      <c r="B109" s="143"/>
      <c r="C109" s="143"/>
      <c r="D109" s="20" t="s">
        <v>267</v>
      </c>
      <c r="E109" s="20" t="s">
        <v>28</v>
      </c>
      <c r="F109" s="99"/>
      <c r="G109" s="130"/>
    </row>
    <row r="110" spans="1:7">
      <c r="A110" s="147"/>
      <c r="B110" s="143"/>
      <c r="C110" s="143"/>
      <c r="D110" s="20" t="s">
        <v>253</v>
      </c>
      <c r="E110" s="20" t="s">
        <v>254</v>
      </c>
      <c r="F110" s="99"/>
      <c r="G110" s="130"/>
    </row>
    <row r="111" spans="1:7">
      <c r="A111" s="147"/>
      <c r="B111" s="143"/>
      <c r="C111" s="143"/>
      <c r="D111" s="20" t="s">
        <v>210</v>
      </c>
      <c r="E111" s="20" t="s">
        <v>211</v>
      </c>
      <c r="F111" s="99"/>
      <c r="G111" s="130"/>
    </row>
    <row r="112" spans="1:7">
      <c r="A112" s="147"/>
      <c r="B112" s="143"/>
      <c r="C112" s="143"/>
      <c r="D112" s="20" t="s">
        <v>271</v>
      </c>
      <c r="E112" s="20" t="s">
        <v>28</v>
      </c>
      <c r="F112" s="99"/>
      <c r="G112" s="130"/>
    </row>
    <row r="113" spans="1:7">
      <c r="A113" s="147"/>
      <c r="B113" s="143"/>
      <c r="C113" s="143"/>
      <c r="D113" s="20" t="s">
        <v>268</v>
      </c>
      <c r="E113" s="20" t="s">
        <v>269</v>
      </c>
      <c r="F113" s="99"/>
      <c r="G113" s="131"/>
    </row>
    <row r="114" spans="1:7">
      <c r="A114" s="148"/>
      <c r="B114" s="144" t="s">
        <v>9</v>
      </c>
      <c r="C114" s="144" t="s">
        <v>273</v>
      </c>
      <c r="D114" s="55" t="s">
        <v>272</v>
      </c>
      <c r="E114" s="28"/>
      <c r="F114" s="100"/>
      <c r="G114" s="132"/>
    </row>
    <row r="115" spans="1:7">
      <c r="A115" s="148"/>
      <c r="B115" s="144"/>
      <c r="C115" s="144"/>
      <c r="D115" s="24"/>
      <c r="E115" s="24"/>
      <c r="F115" s="100"/>
      <c r="G115" s="133"/>
    </row>
    <row r="116" spans="1:7">
      <c r="A116" s="148"/>
      <c r="B116" s="144"/>
      <c r="C116" s="144"/>
      <c r="D116" s="52"/>
      <c r="E116" s="53"/>
      <c r="F116" s="101"/>
      <c r="G116" s="133"/>
    </row>
    <row r="117" spans="1:7">
      <c r="A117" s="148"/>
      <c r="B117" s="144"/>
      <c r="C117" s="144"/>
      <c r="D117" s="57"/>
      <c r="E117" s="53"/>
      <c r="F117" s="101"/>
      <c r="G117" s="134"/>
    </row>
    <row r="118" spans="1:7">
      <c r="A118" s="146">
        <v>45786</v>
      </c>
      <c r="B118" s="125" t="s">
        <v>7</v>
      </c>
      <c r="C118" s="141" t="s">
        <v>61</v>
      </c>
      <c r="D118" s="15" t="s">
        <v>272</v>
      </c>
      <c r="E118" s="16"/>
      <c r="F118" s="97"/>
      <c r="G118" s="128"/>
    </row>
    <row r="119" spans="1:7">
      <c r="A119" s="147"/>
      <c r="B119" s="145"/>
      <c r="C119" s="142"/>
      <c r="D119" s="122" t="s">
        <v>274</v>
      </c>
      <c r="E119" s="123"/>
      <c r="F119" s="97"/>
      <c r="G119" s="128"/>
    </row>
    <row r="120" spans="1:7">
      <c r="A120" s="147"/>
      <c r="B120" s="145"/>
      <c r="C120" s="142"/>
      <c r="D120" s="18"/>
      <c r="E120" s="19"/>
      <c r="F120" s="97"/>
      <c r="G120" s="128"/>
    </row>
    <row r="121" spans="1:7">
      <c r="A121" s="147"/>
      <c r="B121" s="145"/>
      <c r="C121" s="142"/>
      <c r="D121" s="18"/>
      <c r="E121" s="56"/>
      <c r="F121" s="98"/>
      <c r="G121" s="125"/>
    </row>
    <row r="122" spans="1:7" ht="24.75">
      <c r="A122" s="147"/>
      <c r="B122" s="143" t="s">
        <v>8</v>
      </c>
      <c r="C122" s="143" t="s">
        <v>275</v>
      </c>
      <c r="D122" s="20" t="s">
        <v>276</v>
      </c>
      <c r="E122" s="20" t="s">
        <v>277</v>
      </c>
      <c r="F122" s="99"/>
      <c r="G122" s="129"/>
    </row>
    <row r="123" spans="1:7">
      <c r="A123" s="147"/>
      <c r="B123" s="143"/>
      <c r="C123" s="143"/>
      <c r="D123" s="20" t="s">
        <v>278</v>
      </c>
      <c r="E123" s="20" t="s">
        <v>279</v>
      </c>
      <c r="F123" s="99">
        <v>5</v>
      </c>
      <c r="G123" s="130"/>
    </row>
    <row r="124" spans="1:7">
      <c r="A124" s="147"/>
      <c r="B124" s="143"/>
      <c r="C124" s="143"/>
      <c r="D124" s="20"/>
      <c r="E124" s="20" t="s">
        <v>280</v>
      </c>
      <c r="F124" s="99"/>
      <c r="G124" s="130"/>
    </row>
    <row r="125" spans="1:7">
      <c r="A125" s="148"/>
      <c r="B125" s="144" t="s">
        <v>9</v>
      </c>
      <c r="C125" s="144" t="s">
        <v>273</v>
      </c>
      <c r="D125" s="55" t="s">
        <v>272</v>
      </c>
      <c r="E125" s="28"/>
      <c r="F125" s="100"/>
      <c r="G125" s="132"/>
    </row>
    <row r="126" spans="1:7">
      <c r="A126" s="148"/>
      <c r="B126" s="144"/>
      <c r="C126" s="144"/>
      <c r="D126" s="24"/>
      <c r="E126" s="24"/>
      <c r="F126" s="100"/>
      <c r="G126" s="133"/>
    </row>
    <row r="127" spans="1:7">
      <c r="A127" s="148"/>
      <c r="B127" s="144"/>
      <c r="C127" s="144"/>
      <c r="D127" s="52"/>
      <c r="E127" s="53"/>
      <c r="F127" s="101"/>
      <c r="G127" s="133"/>
    </row>
    <row r="128" spans="1:7">
      <c r="A128" s="148"/>
      <c r="B128" s="144"/>
      <c r="C128" s="144"/>
      <c r="D128" s="57"/>
      <c r="E128" s="53"/>
      <c r="F128" s="101"/>
      <c r="G128" s="134"/>
    </row>
    <row r="129" spans="1:7">
      <c r="A129" s="146">
        <v>45787</v>
      </c>
      <c r="B129" s="125" t="s">
        <v>7</v>
      </c>
      <c r="C129" s="124" t="s">
        <v>61</v>
      </c>
      <c r="D129" s="15" t="s">
        <v>281</v>
      </c>
      <c r="E129" s="16" t="s">
        <v>282</v>
      </c>
      <c r="F129" s="97">
        <v>29</v>
      </c>
      <c r="G129" s="128"/>
    </row>
    <row r="130" spans="1:7">
      <c r="A130" s="147"/>
      <c r="B130" s="145"/>
      <c r="C130" s="128"/>
      <c r="D130" s="18"/>
      <c r="E130" s="19"/>
      <c r="F130" s="97"/>
      <c r="G130" s="128"/>
    </row>
    <row r="131" spans="1:7">
      <c r="A131" s="147"/>
      <c r="B131" s="145"/>
      <c r="C131" s="128"/>
      <c r="D131" s="18"/>
      <c r="E131" s="19"/>
      <c r="F131" s="97"/>
      <c r="G131" s="128"/>
    </row>
    <row r="132" spans="1:7">
      <c r="A132" s="147"/>
      <c r="B132" s="145"/>
      <c r="C132" s="125"/>
      <c r="D132" s="18"/>
      <c r="E132" s="56"/>
      <c r="F132" s="98"/>
      <c r="G132" s="125"/>
    </row>
    <row r="133" spans="1:7" ht="24.75">
      <c r="A133" s="147"/>
      <c r="B133" s="143" t="s">
        <v>8</v>
      </c>
      <c r="C133" s="143" t="s">
        <v>42</v>
      </c>
      <c r="D133" s="58" t="s">
        <v>283</v>
      </c>
      <c r="E133" s="20" t="s">
        <v>287</v>
      </c>
      <c r="F133" s="99"/>
      <c r="G133" s="129"/>
    </row>
    <row r="134" spans="1:7" ht="24.75">
      <c r="A134" s="147"/>
      <c r="B134" s="143"/>
      <c r="C134" s="143"/>
      <c r="D134" s="20"/>
      <c r="E134" s="20" t="s">
        <v>284</v>
      </c>
      <c r="F134" s="99"/>
      <c r="G134" s="130"/>
    </row>
    <row r="135" spans="1:7">
      <c r="A135" s="147"/>
      <c r="B135" s="143"/>
      <c r="C135" s="143"/>
      <c r="D135" s="20" t="s">
        <v>285</v>
      </c>
      <c r="E135" s="20" t="s">
        <v>286</v>
      </c>
      <c r="F135" s="99"/>
      <c r="G135" s="130"/>
    </row>
    <row r="136" spans="1:7">
      <c r="A136" s="148"/>
      <c r="B136" s="144" t="s">
        <v>9</v>
      </c>
      <c r="C136" s="144" t="s">
        <v>132</v>
      </c>
      <c r="D136" s="55" t="s">
        <v>288</v>
      </c>
      <c r="E136" s="28"/>
      <c r="F136" s="100"/>
      <c r="G136" s="132"/>
    </row>
    <row r="137" spans="1:7">
      <c r="A137" s="148"/>
      <c r="B137" s="144"/>
      <c r="C137" s="144"/>
      <c r="D137" s="24"/>
      <c r="E137" s="24"/>
      <c r="F137" s="100"/>
      <c r="G137" s="133"/>
    </row>
    <row r="138" spans="1:7">
      <c r="A138" s="148"/>
      <c r="B138" s="144"/>
      <c r="C138" s="144"/>
      <c r="D138" s="52"/>
      <c r="E138" s="53"/>
      <c r="F138" s="101"/>
      <c r="G138" s="133"/>
    </row>
    <row r="139" spans="1:7">
      <c r="A139" s="148"/>
      <c r="B139" s="144"/>
      <c r="C139" s="144"/>
      <c r="D139" s="57"/>
      <c r="E139" s="53"/>
      <c r="F139" s="101"/>
      <c r="G139" s="134"/>
    </row>
    <row r="140" spans="1:7">
      <c r="A140" s="146">
        <v>45789</v>
      </c>
      <c r="B140" s="125" t="s">
        <v>7</v>
      </c>
      <c r="C140" s="141" t="s">
        <v>290</v>
      </c>
      <c r="D140" s="15" t="s">
        <v>245</v>
      </c>
      <c r="E140" s="16" t="s">
        <v>291</v>
      </c>
      <c r="F140" s="97"/>
      <c r="G140" s="128"/>
    </row>
    <row r="141" spans="1:7">
      <c r="A141" s="147"/>
      <c r="B141" s="145"/>
      <c r="C141" s="142"/>
      <c r="D141" s="18" t="s">
        <v>247</v>
      </c>
      <c r="E141" s="19" t="s">
        <v>291</v>
      </c>
      <c r="F141" s="97"/>
      <c r="G141" s="128"/>
    </row>
    <row r="142" spans="1:7">
      <c r="A142" s="147"/>
      <c r="B142" s="145"/>
      <c r="C142" s="142"/>
      <c r="D142" s="18" t="s">
        <v>292</v>
      </c>
      <c r="E142" s="19" t="s">
        <v>293</v>
      </c>
      <c r="F142" s="97"/>
      <c r="G142" s="128"/>
    </row>
    <row r="143" spans="1:7">
      <c r="A143" s="147"/>
      <c r="B143" s="145"/>
      <c r="C143" s="142"/>
      <c r="D143" s="18" t="s">
        <v>294</v>
      </c>
      <c r="E143" s="56" t="s">
        <v>295</v>
      </c>
      <c r="F143" s="98"/>
      <c r="G143" s="125"/>
    </row>
    <row r="144" spans="1:7">
      <c r="A144" s="147"/>
      <c r="B144" s="106"/>
      <c r="C144" s="107"/>
      <c r="D144" s="18" t="s">
        <v>296</v>
      </c>
      <c r="E144" s="56" t="s">
        <v>297</v>
      </c>
      <c r="F144" s="98"/>
      <c r="G144" s="105"/>
    </row>
    <row r="145" spans="1:7">
      <c r="A145" s="147"/>
      <c r="B145" s="143" t="s">
        <v>8</v>
      </c>
      <c r="C145" s="143"/>
      <c r="D145" s="55" t="s">
        <v>288</v>
      </c>
      <c r="E145" s="20"/>
      <c r="F145" s="99"/>
      <c r="G145" s="129"/>
    </row>
    <row r="146" spans="1:7">
      <c r="A146" s="147"/>
      <c r="B146" s="143"/>
      <c r="C146" s="143"/>
      <c r="D146" s="20"/>
      <c r="E146" s="20"/>
      <c r="F146" s="99"/>
      <c r="G146" s="130"/>
    </row>
    <row r="147" spans="1:7">
      <c r="A147" s="147"/>
      <c r="B147" s="143"/>
      <c r="C147" s="143"/>
      <c r="D147" s="20"/>
      <c r="E147" s="20"/>
      <c r="F147" s="99"/>
      <c r="G147" s="130"/>
    </row>
    <row r="148" spans="1:7">
      <c r="A148" s="147"/>
      <c r="B148" s="143"/>
      <c r="C148" s="143"/>
      <c r="D148" s="20"/>
      <c r="E148" s="20"/>
      <c r="F148" s="99"/>
      <c r="G148" s="130"/>
    </row>
    <row r="149" spans="1:7">
      <c r="A149" s="147"/>
      <c r="B149" s="143"/>
      <c r="C149" s="143"/>
      <c r="D149" s="20"/>
      <c r="E149" s="20"/>
      <c r="F149" s="99"/>
      <c r="G149" s="130"/>
    </row>
    <row r="150" spans="1:7">
      <c r="A150" s="147"/>
      <c r="B150" s="143"/>
      <c r="C150" s="143"/>
      <c r="D150" s="20"/>
      <c r="E150" s="20"/>
      <c r="F150" s="99"/>
      <c r="G150" s="131"/>
    </row>
    <row r="151" spans="1:7">
      <c r="A151" s="148"/>
      <c r="B151" s="144" t="s">
        <v>9</v>
      </c>
      <c r="C151" s="144" t="s">
        <v>298</v>
      </c>
      <c r="D151" s="108" t="s">
        <v>299</v>
      </c>
      <c r="E151" s="28" t="s">
        <v>300</v>
      </c>
      <c r="F151" s="100">
        <v>19</v>
      </c>
      <c r="G151" s="132">
        <v>35</v>
      </c>
    </row>
    <row r="152" spans="1:7">
      <c r="A152" s="148"/>
      <c r="B152" s="144"/>
      <c r="C152" s="144"/>
      <c r="D152" s="108" t="s">
        <v>301</v>
      </c>
      <c r="E152" s="24" t="s">
        <v>302</v>
      </c>
      <c r="F152" s="100">
        <v>16</v>
      </c>
      <c r="G152" s="133"/>
    </row>
    <row r="153" spans="1:7">
      <c r="A153" s="148"/>
      <c r="B153" s="144"/>
      <c r="C153" s="144"/>
      <c r="D153" s="108"/>
      <c r="E153" s="53"/>
      <c r="F153" s="101"/>
      <c r="G153" s="133"/>
    </row>
    <row r="154" spans="1:7">
      <c r="A154" s="148"/>
      <c r="B154" s="144"/>
      <c r="C154" s="144"/>
      <c r="D154" s="108"/>
      <c r="E154" s="53"/>
      <c r="F154" s="101"/>
      <c r="G154" s="134"/>
    </row>
    <row r="155" spans="1:7">
      <c r="A155" s="146">
        <v>45790</v>
      </c>
      <c r="B155" s="125" t="s">
        <v>7</v>
      </c>
      <c r="C155" s="141"/>
      <c r="D155" s="15"/>
      <c r="E155" s="16"/>
      <c r="F155" s="97"/>
      <c r="G155" s="128"/>
    </row>
    <row r="156" spans="1:7">
      <c r="A156" s="147"/>
      <c r="B156" s="145"/>
      <c r="C156" s="142"/>
      <c r="D156" s="18"/>
      <c r="E156" s="19"/>
      <c r="F156" s="97"/>
      <c r="G156" s="128"/>
    </row>
    <row r="157" spans="1:7">
      <c r="A157" s="147"/>
      <c r="B157" s="145"/>
      <c r="C157" s="142"/>
      <c r="D157" s="18"/>
      <c r="E157" s="19"/>
      <c r="F157" s="97"/>
      <c r="G157" s="128"/>
    </row>
    <row r="158" spans="1:7">
      <c r="A158" s="147"/>
      <c r="B158" s="145"/>
      <c r="C158" s="142"/>
      <c r="D158" s="18"/>
      <c r="E158" s="56"/>
      <c r="F158" s="98"/>
      <c r="G158" s="125"/>
    </row>
    <row r="159" spans="1:7">
      <c r="A159" s="147"/>
      <c r="B159" s="152" t="s">
        <v>8</v>
      </c>
      <c r="C159" s="152" t="s">
        <v>308</v>
      </c>
      <c r="D159" s="135" t="s">
        <v>317</v>
      </c>
      <c r="E159" s="136"/>
      <c r="F159" s="137"/>
      <c r="G159" s="138"/>
    </row>
    <row r="160" spans="1:7">
      <c r="A160" s="147"/>
      <c r="B160" s="153"/>
      <c r="C160" s="153"/>
      <c r="D160" s="109" t="s">
        <v>313</v>
      </c>
      <c r="E160" s="111" t="s">
        <v>312</v>
      </c>
      <c r="F160" s="110"/>
      <c r="G160" s="139"/>
    </row>
    <row r="161" spans="1:7">
      <c r="A161" s="147"/>
      <c r="B161" s="153"/>
      <c r="C161" s="153"/>
      <c r="D161" s="47" t="s">
        <v>303</v>
      </c>
      <c r="E161" s="112" t="s">
        <v>304</v>
      </c>
      <c r="F161" s="110"/>
      <c r="G161" s="139"/>
    </row>
    <row r="162" spans="1:7">
      <c r="A162" s="147"/>
      <c r="B162" s="153"/>
      <c r="C162" s="153"/>
      <c r="D162" s="47" t="s">
        <v>305</v>
      </c>
      <c r="E162" s="112" t="s">
        <v>306</v>
      </c>
      <c r="F162" s="110"/>
      <c r="G162" s="139"/>
    </row>
    <row r="163" spans="1:7">
      <c r="A163" s="147"/>
      <c r="B163" s="153"/>
      <c r="C163" s="153"/>
      <c r="D163" s="47" t="s">
        <v>309</v>
      </c>
      <c r="E163" s="112" t="s">
        <v>307</v>
      </c>
      <c r="F163" s="110"/>
      <c r="G163" s="139"/>
    </row>
    <row r="164" spans="1:7">
      <c r="A164" s="147"/>
      <c r="B164" s="153"/>
      <c r="C164" s="153"/>
      <c r="D164" s="47" t="s">
        <v>310</v>
      </c>
      <c r="E164" s="112" t="s">
        <v>311</v>
      </c>
      <c r="F164" s="110"/>
      <c r="G164" s="139"/>
    </row>
    <row r="165" spans="1:7">
      <c r="A165" s="147"/>
      <c r="B165" s="153"/>
      <c r="C165" s="153"/>
      <c r="D165" s="47" t="s">
        <v>318</v>
      </c>
      <c r="E165" s="112" t="s">
        <v>319</v>
      </c>
      <c r="F165" s="110"/>
      <c r="G165" s="139"/>
    </row>
    <row r="166" spans="1:7">
      <c r="A166" s="147"/>
      <c r="B166" s="153"/>
      <c r="C166" s="153"/>
      <c r="D166" s="47" t="s">
        <v>314</v>
      </c>
      <c r="E166" s="47" t="s">
        <v>315</v>
      </c>
      <c r="F166" s="110"/>
      <c r="G166" s="140"/>
    </row>
    <row r="167" spans="1:7">
      <c r="A167" s="147"/>
      <c r="B167" s="154"/>
      <c r="C167" s="154"/>
      <c r="D167" s="47" t="s">
        <v>316</v>
      </c>
      <c r="E167" s="47"/>
      <c r="F167" s="110"/>
      <c r="G167" s="113"/>
    </row>
    <row r="168" spans="1:7">
      <c r="A168" s="148"/>
      <c r="B168" s="144" t="s">
        <v>9</v>
      </c>
      <c r="C168" s="144" t="s">
        <v>320</v>
      </c>
      <c r="D168" s="155"/>
      <c r="E168" s="28"/>
      <c r="F168" s="100"/>
      <c r="G168" s="132"/>
    </row>
    <row r="169" spans="1:7">
      <c r="A169" s="148"/>
      <c r="B169" s="144"/>
      <c r="C169" s="144"/>
      <c r="D169" s="156"/>
      <c r="E169" s="24"/>
      <c r="F169" s="100"/>
      <c r="G169" s="133"/>
    </row>
    <row r="170" spans="1:7">
      <c r="A170" s="148"/>
      <c r="B170" s="144"/>
      <c r="C170" s="144"/>
      <c r="D170" s="157"/>
      <c r="E170" s="53"/>
      <c r="F170" s="101"/>
      <c r="G170" s="133"/>
    </row>
    <row r="171" spans="1:7">
      <c r="A171" s="148"/>
      <c r="B171" s="144"/>
      <c r="C171" s="144"/>
      <c r="D171" s="57"/>
      <c r="E171" s="53"/>
      <c r="F171" s="101"/>
      <c r="G171" s="134"/>
    </row>
    <row r="172" spans="1:7" ht="24">
      <c r="A172" s="146">
        <v>45791</v>
      </c>
      <c r="B172" s="125" t="s">
        <v>7</v>
      </c>
      <c r="C172" s="141" t="s">
        <v>321</v>
      </c>
      <c r="D172" s="15" t="s">
        <v>276</v>
      </c>
      <c r="E172" s="16" t="s">
        <v>322</v>
      </c>
      <c r="F172" s="97"/>
      <c r="G172" s="128"/>
    </row>
    <row r="173" spans="1:7">
      <c r="A173" s="147"/>
      <c r="B173" s="145"/>
      <c r="C173" s="142"/>
      <c r="D173" s="18" t="s">
        <v>324</v>
      </c>
      <c r="E173" s="19" t="s">
        <v>323</v>
      </c>
      <c r="F173" s="97"/>
      <c r="G173" s="128"/>
    </row>
    <row r="174" spans="1:7">
      <c r="A174" s="147"/>
      <c r="B174" s="145"/>
      <c r="C174" s="142"/>
      <c r="D174" s="18" t="s">
        <v>325</v>
      </c>
      <c r="E174" s="19" t="s">
        <v>326</v>
      </c>
      <c r="F174" s="97"/>
      <c r="G174" s="128"/>
    </row>
    <row r="175" spans="1:7">
      <c r="A175" s="147"/>
      <c r="B175" s="143" t="s">
        <v>8</v>
      </c>
      <c r="C175" s="143"/>
      <c r="D175" s="20"/>
      <c r="E175" s="119"/>
      <c r="F175" s="99"/>
      <c r="G175" s="129"/>
    </row>
    <row r="176" spans="1:7">
      <c r="A176" s="147"/>
      <c r="B176" s="143"/>
      <c r="C176" s="143"/>
      <c r="D176" s="20"/>
      <c r="E176" s="20"/>
      <c r="F176" s="99"/>
      <c r="G176" s="130"/>
    </row>
    <row r="177" spans="1:7">
      <c r="A177" s="147"/>
      <c r="B177" s="143"/>
      <c r="C177" s="143"/>
      <c r="D177" s="20"/>
      <c r="E177" s="20"/>
      <c r="F177" s="99"/>
      <c r="G177" s="130"/>
    </row>
    <row r="178" spans="1:7">
      <c r="A178" s="147"/>
      <c r="B178" s="143"/>
      <c r="C178" s="143"/>
      <c r="D178" s="20"/>
      <c r="E178" s="20"/>
      <c r="F178" s="99"/>
      <c r="G178" s="130"/>
    </row>
    <row r="179" spans="1:7">
      <c r="A179" s="147"/>
      <c r="B179" s="143"/>
      <c r="C179" s="143"/>
      <c r="D179" s="20"/>
      <c r="E179" s="20"/>
      <c r="F179" s="99"/>
      <c r="G179" s="130"/>
    </row>
    <row r="180" spans="1:7">
      <c r="A180" s="147"/>
      <c r="B180" s="143"/>
      <c r="C180" s="143"/>
      <c r="D180" s="20"/>
      <c r="E180" s="20"/>
      <c r="F180" s="99"/>
      <c r="G180" s="131"/>
    </row>
    <row r="181" spans="1:7" ht="24">
      <c r="A181" s="148"/>
      <c r="B181" s="149" t="s">
        <v>9</v>
      </c>
      <c r="C181" s="144" t="s">
        <v>61</v>
      </c>
      <c r="D181" s="55" t="s">
        <v>328</v>
      </c>
      <c r="E181" s="28" t="s">
        <v>329</v>
      </c>
      <c r="F181" s="114"/>
      <c r="G181" s="132"/>
    </row>
    <row r="182" spans="1:7">
      <c r="A182" s="148"/>
      <c r="B182" s="150"/>
      <c r="C182" s="144"/>
      <c r="D182" s="24"/>
      <c r="E182" s="24"/>
      <c r="F182" s="100"/>
      <c r="G182" s="133"/>
    </row>
    <row r="183" spans="1:7">
      <c r="A183" s="148"/>
      <c r="B183" s="150"/>
      <c r="C183" s="144"/>
      <c r="D183" s="52"/>
      <c r="E183" s="53"/>
      <c r="F183" s="101"/>
      <c r="G183" s="133"/>
    </row>
    <row r="184" spans="1:7">
      <c r="A184" s="148"/>
      <c r="B184" s="151"/>
      <c r="C184" s="144"/>
      <c r="D184" s="57"/>
      <c r="E184" s="53"/>
      <c r="F184" s="101"/>
      <c r="G184" s="134"/>
    </row>
    <row r="185" spans="1:7" ht="24">
      <c r="A185" s="146">
        <v>45792</v>
      </c>
      <c r="B185" s="125" t="s">
        <v>7</v>
      </c>
      <c r="C185" s="141" t="s">
        <v>327</v>
      </c>
      <c r="D185" s="15" t="s">
        <v>330</v>
      </c>
      <c r="E185" s="16" t="s">
        <v>331</v>
      </c>
      <c r="F185" s="97">
        <v>8</v>
      </c>
      <c r="G185" s="128">
        <f>SUM(F185:F188)</f>
        <v>23</v>
      </c>
    </row>
    <row r="186" spans="1:7" ht="24">
      <c r="A186" s="147"/>
      <c r="B186" s="145"/>
      <c r="C186" s="142"/>
      <c r="D186" s="18" t="s">
        <v>332</v>
      </c>
      <c r="E186" s="19" t="s">
        <v>333</v>
      </c>
      <c r="F186" s="97">
        <v>10</v>
      </c>
      <c r="G186" s="128"/>
    </row>
    <row r="187" spans="1:7" ht="24">
      <c r="A187" s="147"/>
      <c r="B187" s="145"/>
      <c r="C187" s="142"/>
      <c r="D187" s="18" t="s">
        <v>334</v>
      </c>
      <c r="E187" s="19" t="s">
        <v>335</v>
      </c>
      <c r="F187" s="97">
        <v>5</v>
      </c>
      <c r="G187" s="128"/>
    </row>
    <row r="188" spans="1:7" ht="36" customHeight="1">
      <c r="A188" s="147"/>
      <c r="B188" s="145"/>
      <c r="C188" s="142"/>
      <c r="D188" s="18" t="s">
        <v>336</v>
      </c>
      <c r="E188" s="120" t="s">
        <v>337</v>
      </c>
      <c r="F188" s="121"/>
      <c r="G188" s="125"/>
    </row>
    <row r="189" spans="1:7">
      <c r="A189" s="147"/>
      <c r="B189" s="143" t="s">
        <v>8</v>
      </c>
      <c r="C189" s="143"/>
      <c r="D189" s="20"/>
      <c r="E189" s="20"/>
      <c r="F189" s="99"/>
      <c r="G189" s="129"/>
    </row>
    <row r="190" spans="1:7">
      <c r="A190" s="147"/>
      <c r="B190" s="143"/>
      <c r="C190" s="143"/>
      <c r="D190" s="20"/>
      <c r="E190" s="20"/>
      <c r="F190" s="99"/>
      <c r="G190" s="130"/>
    </row>
    <row r="191" spans="1:7">
      <c r="A191" s="147"/>
      <c r="B191" s="143"/>
      <c r="C191" s="143"/>
      <c r="D191" s="20"/>
      <c r="E191" s="20"/>
      <c r="F191" s="99"/>
      <c r="G191" s="130"/>
    </row>
    <row r="192" spans="1:7">
      <c r="A192" s="147"/>
      <c r="B192" s="143"/>
      <c r="C192" s="143"/>
      <c r="D192" s="20"/>
      <c r="E192" s="20"/>
      <c r="F192" s="99"/>
      <c r="G192" s="130"/>
    </row>
    <row r="193" spans="1:7">
      <c r="A193" s="147"/>
      <c r="B193" s="143"/>
      <c r="C193" s="143"/>
      <c r="D193" s="20"/>
      <c r="E193" s="20"/>
      <c r="F193" s="99"/>
      <c r="G193" s="130"/>
    </row>
    <row r="194" spans="1:7">
      <c r="A194" s="147"/>
      <c r="B194" s="143"/>
      <c r="C194" s="143"/>
      <c r="D194" s="20"/>
      <c r="E194" s="20"/>
      <c r="F194" s="99"/>
      <c r="G194" s="131"/>
    </row>
    <row r="195" spans="1:7">
      <c r="A195" s="148"/>
      <c r="B195" s="144" t="s">
        <v>9</v>
      </c>
      <c r="C195" s="144"/>
      <c r="D195" s="55"/>
      <c r="E195" s="28"/>
      <c r="F195" s="100"/>
      <c r="G195" s="132"/>
    </row>
    <row r="196" spans="1:7">
      <c r="A196" s="148"/>
      <c r="B196" s="144"/>
      <c r="C196" s="144"/>
      <c r="D196" s="24"/>
      <c r="E196" s="24"/>
      <c r="F196" s="100"/>
      <c r="G196" s="133"/>
    </row>
    <row r="197" spans="1:7">
      <c r="A197" s="148"/>
      <c r="B197" s="144"/>
      <c r="C197" s="144"/>
      <c r="D197" s="52"/>
      <c r="E197" s="53"/>
      <c r="F197" s="101"/>
      <c r="G197" s="133"/>
    </row>
    <row r="198" spans="1:7">
      <c r="A198" s="148"/>
      <c r="B198" s="144"/>
      <c r="C198" s="144"/>
      <c r="D198" s="57"/>
      <c r="E198" s="53"/>
      <c r="F198" s="101"/>
      <c r="G198" s="134"/>
    </row>
    <row r="199" spans="1:7">
      <c r="A199" s="146">
        <v>45793</v>
      </c>
      <c r="B199" s="125" t="s">
        <v>7</v>
      </c>
      <c r="C199" s="141"/>
      <c r="D199" s="15"/>
      <c r="E199" s="16"/>
      <c r="F199" s="97"/>
      <c r="G199" s="128"/>
    </row>
    <row r="200" spans="1:7">
      <c r="A200" s="147"/>
      <c r="B200" s="145"/>
      <c r="C200" s="142"/>
      <c r="D200" s="18"/>
      <c r="E200" s="19"/>
      <c r="F200" s="97"/>
      <c r="G200" s="128"/>
    </row>
    <row r="201" spans="1:7">
      <c r="A201" s="147"/>
      <c r="B201" s="145"/>
      <c r="C201" s="142"/>
      <c r="D201" s="18"/>
      <c r="E201" s="19"/>
      <c r="F201" s="97"/>
      <c r="G201" s="128"/>
    </row>
    <row r="202" spans="1:7">
      <c r="A202" s="147"/>
      <c r="B202" s="145"/>
      <c r="C202" s="142"/>
      <c r="D202" s="18"/>
      <c r="E202" s="56"/>
      <c r="F202" s="98"/>
      <c r="G202" s="125"/>
    </row>
    <row r="203" spans="1:7">
      <c r="A203" s="147"/>
      <c r="B203" s="143" t="s">
        <v>8</v>
      </c>
      <c r="C203" s="143"/>
      <c r="D203" s="20"/>
      <c r="E203" s="20"/>
      <c r="F203" s="99"/>
      <c r="G203" s="129"/>
    </row>
    <row r="204" spans="1:7">
      <c r="A204" s="147"/>
      <c r="B204" s="143"/>
      <c r="C204" s="143"/>
      <c r="D204" s="20"/>
      <c r="E204" s="20"/>
      <c r="F204" s="99"/>
      <c r="G204" s="130"/>
    </row>
    <row r="205" spans="1:7">
      <c r="A205" s="147"/>
      <c r="B205" s="143"/>
      <c r="C205" s="143"/>
      <c r="D205" s="20"/>
      <c r="E205" s="20"/>
      <c r="F205" s="99"/>
      <c r="G205" s="130"/>
    </row>
    <row r="206" spans="1:7">
      <c r="A206" s="147"/>
      <c r="B206" s="143"/>
      <c r="C206" s="143"/>
      <c r="D206" s="20"/>
      <c r="E206" s="20"/>
      <c r="F206" s="99"/>
      <c r="G206" s="130"/>
    </row>
    <row r="207" spans="1:7">
      <c r="A207" s="147"/>
      <c r="B207" s="143"/>
      <c r="C207" s="143"/>
      <c r="D207" s="20"/>
      <c r="E207" s="20"/>
      <c r="F207" s="99"/>
      <c r="G207" s="130"/>
    </row>
    <row r="208" spans="1:7">
      <c r="A208" s="147"/>
      <c r="B208" s="143"/>
      <c r="C208" s="143"/>
      <c r="D208" s="20"/>
      <c r="E208" s="20"/>
      <c r="F208" s="99"/>
      <c r="G208" s="131"/>
    </row>
    <row r="209" spans="1:7">
      <c r="A209" s="148"/>
      <c r="B209" s="144" t="s">
        <v>9</v>
      </c>
      <c r="C209" s="144"/>
      <c r="D209" s="55"/>
      <c r="E209" s="28"/>
      <c r="F209" s="100"/>
      <c r="G209" s="132"/>
    </row>
    <row r="210" spans="1:7">
      <c r="A210" s="148"/>
      <c r="B210" s="144"/>
      <c r="C210" s="144"/>
      <c r="D210" s="24"/>
      <c r="E210" s="24"/>
      <c r="F210" s="100"/>
      <c r="G210" s="133"/>
    </row>
    <row r="211" spans="1:7">
      <c r="A211" s="148"/>
      <c r="B211" s="144"/>
      <c r="C211" s="144"/>
      <c r="D211" s="52"/>
      <c r="E211" s="53"/>
      <c r="F211" s="101"/>
      <c r="G211" s="133"/>
    </row>
    <row r="212" spans="1:7">
      <c r="A212" s="148"/>
      <c r="B212" s="144"/>
      <c r="C212" s="144"/>
      <c r="D212" s="57"/>
      <c r="E212" s="53"/>
      <c r="F212" s="101"/>
      <c r="G212" s="134"/>
    </row>
    <row r="213" spans="1:7">
      <c r="A213" s="146">
        <v>45794</v>
      </c>
      <c r="B213" s="125" t="s">
        <v>7</v>
      </c>
      <c r="C213" s="141"/>
      <c r="D213" s="15"/>
      <c r="E213" s="16"/>
      <c r="F213" s="97"/>
      <c r="G213" s="128"/>
    </row>
    <row r="214" spans="1:7">
      <c r="A214" s="147"/>
      <c r="B214" s="145"/>
      <c r="C214" s="142"/>
      <c r="D214" s="18"/>
      <c r="E214" s="19"/>
      <c r="F214" s="97"/>
      <c r="G214" s="128"/>
    </row>
    <row r="215" spans="1:7">
      <c r="A215" s="147"/>
      <c r="B215" s="145"/>
      <c r="C215" s="142"/>
      <c r="D215" s="18"/>
      <c r="E215" s="19"/>
      <c r="F215" s="97"/>
      <c r="G215" s="128"/>
    </row>
    <row r="216" spans="1:7">
      <c r="A216" s="147"/>
      <c r="B216" s="145"/>
      <c r="C216" s="142"/>
      <c r="D216" s="18"/>
      <c r="E216" s="56"/>
      <c r="F216" s="98"/>
      <c r="G216" s="125"/>
    </row>
    <row r="217" spans="1:7">
      <c r="A217" s="147"/>
      <c r="B217" s="143" t="s">
        <v>8</v>
      </c>
      <c r="C217" s="143"/>
      <c r="D217" s="20"/>
      <c r="E217" s="20"/>
      <c r="F217" s="99"/>
      <c r="G217" s="129"/>
    </row>
    <row r="218" spans="1:7">
      <c r="A218" s="147"/>
      <c r="B218" s="143"/>
      <c r="C218" s="143"/>
      <c r="D218" s="20"/>
      <c r="E218" s="20"/>
      <c r="F218" s="99"/>
      <c r="G218" s="130"/>
    </row>
    <row r="219" spans="1:7">
      <c r="A219" s="147"/>
      <c r="B219" s="143"/>
      <c r="C219" s="143"/>
      <c r="D219" s="20"/>
      <c r="E219" s="20"/>
      <c r="F219" s="99"/>
      <c r="G219" s="130"/>
    </row>
    <row r="220" spans="1:7">
      <c r="A220" s="147"/>
      <c r="B220" s="143"/>
      <c r="C220" s="143"/>
      <c r="D220" s="20"/>
      <c r="E220" s="20"/>
      <c r="F220" s="99"/>
      <c r="G220" s="130"/>
    </row>
    <row r="221" spans="1:7">
      <c r="A221" s="147"/>
      <c r="B221" s="143"/>
      <c r="C221" s="143"/>
      <c r="D221" s="20"/>
      <c r="E221" s="20"/>
      <c r="F221" s="99"/>
      <c r="G221" s="130"/>
    </row>
    <row r="222" spans="1:7">
      <c r="A222" s="147"/>
      <c r="B222" s="143"/>
      <c r="C222" s="143"/>
      <c r="D222" s="20"/>
      <c r="E222" s="20"/>
      <c r="F222" s="99"/>
      <c r="G222" s="131"/>
    </row>
    <row r="223" spans="1:7">
      <c r="A223" s="148"/>
      <c r="B223" s="144" t="s">
        <v>9</v>
      </c>
      <c r="C223" s="144"/>
      <c r="D223" s="55"/>
      <c r="E223" s="28"/>
      <c r="F223" s="100"/>
      <c r="G223" s="132"/>
    </row>
    <row r="224" spans="1:7">
      <c r="A224" s="148"/>
      <c r="B224" s="144"/>
      <c r="C224" s="144"/>
      <c r="D224" s="24"/>
      <c r="E224" s="24"/>
      <c r="F224" s="100"/>
      <c r="G224" s="133"/>
    </row>
    <row r="225" spans="1:7">
      <c r="A225" s="148"/>
      <c r="B225" s="144"/>
      <c r="C225" s="144"/>
      <c r="D225" s="52"/>
      <c r="E225" s="53"/>
      <c r="F225" s="101"/>
      <c r="G225" s="133"/>
    </row>
    <row r="226" spans="1:7">
      <c r="A226" s="148"/>
      <c r="B226" s="144"/>
      <c r="C226" s="144"/>
      <c r="D226" s="57"/>
      <c r="E226" s="53"/>
      <c r="F226" s="101"/>
      <c r="G226" s="134"/>
    </row>
    <row r="227" spans="1:7">
      <c r="A227" s="146">
        <v>45795</v>
      </c>
      <c r="B227" s="125" t="s">
        <v>7</v>
      </c>
      <c r="C227" s="141"/>
      <c r="D227" s="15"/>
      <c r="E227" s="16"/>
      <c r="F227" s="97"/>
      <c r="G227" s="128"/>
    </row>
    <row r="228" spans="1:7">
      <c r="A228" s="147"/>
      <c r="B228" s="145"/>
      <c r="C228" s="142"/>
      <c r="D228" s="18"/>
      <c r="E228" s="19"/>
      <c r="F228" s="97"/>
      <c r="G228" s="128"/>
    </row>
    <row r="229" spans="1:7">
      <c r="A229" s="147"/>
      <c r="B229" s="145"/>
      <c r="C229" s="142"/>
      <c r="D229" s="18"/>
      <c r="E229" s="19"/>
      <c r="F229" s="97"/>
      <c r="G229" s="128"/>
    </row>
    <row r="230" spans="1:7">
      <c r="A230" s="147"/>
      <c r="B230" s="145"/>
      <c r="C230" s="142"/>
      <c r="D230" s="18"/>
      <c r="E230" s="56"/>
      <c r="F230" s="98"/>
      <c r="G230" s="125"/>
    </row>
    <row r="231" spans="1:7">
      <c r="A231" s="147"/>
      <c r="B231" s="143" t="s">
        <v>8</v>
      </c>
      <c r="C231" s="143"/>
      <c r="D231" s="20"/>
      <c r="E231" s="20"/>
      <c r="F231" s="99"/>
      <c r="G231" s="129"/>
    </row>
    <row r="232" spans="1:7">
      <c r="A232" s="147"/>
      <c r="B232" s="143"/>
      <c r="C232" s="143"/>
      <c r="D232" s="20"/>
      <c r="E232" s="20"/>
      <c r="F232" s="99"/>
      <c r="G232" s="130"/>
    </row>
    <row r="233" spans="1:7">
      <c r="A233" s="147"/>
      <c r="B233" s="143"/>
      <c r="C233" s="143"/>
      <c r="D233" s="20"/>
      <c r="E233" s="20"/>
      <c r="F233" s="99"/>
      <c r="G233" s="130"/>
    </row>
    <row r="234" spans="1:7">
      <c r="A234" s="147"/>
      <c r="B234" s="143"/>
      <c r="C234" s="143"/>
      <c r="D234" s="20"/>
      <c r="E234" s="20"/>
      <c r="F234" s="99"/>
      <c r="G234" s="130"/>
    </row>
    <row r="235" spans="1:7">
      <c r="A235" s="147"/>
      <c r="B235" s="143"/>
      <c r="C235" s="143"/>
      <c r="D235" s="20"/>
      <c r="E235" s="20"/>
      <c r="F235" s="99"/>
      <c r="G235" s="130"/>
    </row>
    <row r="236" spans="1:7">
      <c r="A236" s="147"/>
      <c r="B236" s="143"/>
      <c r="C236" s="143"/>
      <c r="D236" s="20"/>
      <c r="E236" s="20"/>
      <c r="F236" s="99"/>
      <c r="G236" s="131"/>
    </row>
    <row r="237" spans="1:7">
      <c r="A237" s="148"/>
      <c r="B237" s="144" t="s">
        <v>9</v>
      </c>
      <c r="C237" s="144"/>
      <c r="D237" s="55"/>
      <c r="E237" s="28"/>
      <c r="F237" s="100"/>
      <c r="G237" s="132"/>
    </row>
    <row r="238" spans="1:7">
      <c r="A238" s="148"/>
      <c r="B238" s="144"/>
      <c r="C238" s="144"/>
      <c r="D238" s="24"/>
      <c r="E238" s="24"/>
      <c r="F238" s="100"/>
      <c r="G238" s="133"/>
    </row>
    <row r="239" spans="1:7">
      <c r="A239" s="148"/>
      <c r="B239" s="144"/>
      <c r="C239" s="144"/>
      <c r="D239" s="52"/>
      <c r="E239" s="53"/>
      <c r="F239" s="101"/>
      <c r="G239" s="133"/>
    </row>
    <row r="240" spans="1:7">
      <c r="A240" s="148"/>
      <c r="B240" s="144"/>
      <c r="C240" s="144"/>
      <c r="D240" s="57"/>
      <c r="E240" s="53"/>
      <c r="F240" s="101"/>
      <c r="G240" s="134"/>
    </row>
    <row r="241" spans="1:7">
      <c r="A241" s="146">
        <v>45796</v>
      </c>
      <c r="B241" s="125" t="s">
        <v>7</v>
      </c>
      <c r="C241" s="141"/>
      <c r="D241" s="15"/>
      <c r="E241" s="16"/>
      <c r="F241" s="97"/>
      <c r="G241" s="128"/>
    </row>
    <row r="242" spans="1:7">
      <c r="A242" s="147"/>
      <c r="B242" s="145"/>
      <c r="C242" s="142"/>
      <c r="D242" s="18"/>
      <c r="E242" s="19"/>
      <c r="F242" s="97"/>
      <c r="G242" s="128"/>
    </row>
    <row r="243" spans="1:7">
      <c r="A243" s="147"/>
      <c r="B243" s="145"/>
      <c r="C243" s="142"/>
      <c r="D243" s="18"/>
      <c r="E243" s="19"/>
      <c r="F243" s="97"/>
      <c r="G243" s="128"/>
    </row>
    <row r="244" spans="1:7">
      <c r="A244" s="147"/>
      <c r="B244" s="145"/>
      <c r="C244" s="142"/>
      <c r="D244" s="18"/>
      <c r="E244" s="56"/>
      <c r="F244" s="98"/>
      <c r="G244" s="125"/>
    </row>
    <row r="245" spans="1:7">
      <c r="A245" s="147"/>
      <c r="B245" s="143" t="s">
        <v>8</v>
      </c>
      <c r="C245" s="143"/>
      <c r="D245" s="20"/>
      <c r="E245" s="20"/>
      <c r="F245" s="99"/>
      <c r="G245" s="129"/>
    </row>
    <row r="246" spans="1:7">
      <c r="A246" s="147"/>
      <c r="B246" s="143"/>
      <c r="C246" s="143"/>
      <c r="D246" s="20"/>
      <c r="E246" s="20"/>
      <c r="F246" s="99"/>
      <c r="G246" s="130"/>
    </row>
    <row r="247" spans="1:7">
      <c r="A247" s="147"/>
      <c r="B247" s="143"/>
      <c r="C247" s="143"/>
      <c r="D247" s="20"/>
      <c r="E247" s="20"/>
      <c r="F247" s="99"/>
      <c r="G247" s="130"/>
    </row>
    <row r="248" spans="1:7">
      <c r="A248" s="147"/>
      <c r="B248" s="143"/>
      <c r="C248" s="143"/>
      <c r="D248" s="20"/>
      <c r="E248" s="20"/>
      <c r="F248" s="99"/>
      <c r="G248" s="130"/>
    </row>
    <row r="249" spans="1:7">
      <c r="A249" s="147"/>
      <c r="B249" s="143"/>
      <c r="C249" s="143"/>
      <c r="D249" s="20"/>
      <c r="E249" s="20"/>
      <c r="F249" s="99"/>
      <c r="G249" s="130"/>
    </row>
    <row r="250" spans="1:7">
      <c r="A250" s="147"/>
      <c r="B250" s="143"/>
      <c r="C250" s="143"/>
      <c r="D250" s="20"/>
      <c r="E250" s="20"/>
      <c r="F250" s="99"/>
      <c r="G250" s="131"/>
    </row>
    <row r="251" spans="1:7">
      <c r="A251" s="148"/>
      <c r="B251" s="144" t="s">
        <v>9</v>
      </c>
      <c r="C251" s="144"/>
      <c r="D251" s="55"/>
      <c r="E251" s="28"/>
      <c r="F251" s="100"/>
      <c r="G251" s="132"/>
    </row>
    <row r="252" spans="1:7">
      <c r="A252" s="148"/>
      <c r="B252" s="144"/>
      <c r="C252" s="144"/>
      <c r="D252" s="24"/>
      <c r="E252" s="24"/>
      <c r="F252" s="100"/>
      <c r="G252" s="133"/>
    </row>
    <row r="253" spans="1:7">
      <c r="A253" s="148"/>
      <c r="B253" s="144"/>
      <c r="C253" s="144"/>
      <c r="D253" s="52"/>
      <c r="E253" s="53"/>
      <c r="F253" s="101"/>
      <c r="G253" s="133"/>
    </row>
    <row r="254" spans="1:7">
      <c r="A254" s="148"/>
      <c r="B254" s="144"/>
      <c r="C254" s="144"/>
      <c r="D254" s="57"/>
      <c r="E254" s="53"/>
      <c r="F254" s="101"/>
      <c r="G254" s="134"/>
    </row>
    <row r="255" spans="1:7">
      <c r="A255" s="146">
        <v>45797</v>
      </c>
      <c r="B255" s="125" t="s">
        <v>7</v>
      </c>
      <c r="C255" s="141"/>
      <c r="D255" s="15"/>
      <c r="E255" s="16"/>
      <c r="F255" s="97"/>
      <c r="G255" s="128"/>
    </row>
    <row r="256" spans="1:7">
      <c r="A256" s="147"/>
      <c r="B256" s="145"/>
      <c r="C256" s="142"/>
      <c r="D256" s="18"/>
      <c r="E256" s="19"/>
      <c r="F256" s="97"/>
      <c r="G256" s="128"/>
    </row>
    <row r="257" spans="1:7">
      <c r="A257" s="147"/>
      <c r="B257" s="145"/>
      <c r="C257" s="142"/>
      <c r="D257" s="18"/>
      <c r="E257" s="19"/>
      <c r="F257" s="97"/>
      <c r="G257" s="128"/>
    </row>
    <row r="258" spans="1:7">
      <c r="A258" s="147"/>
      <c r="B258" s="145"/>
      <c r="C258" s="142"/>
      <c r="D258" s="18"/>
      <c r="E258" s="56"/>
      <c r="F258" s="98"/>
      <c r="G258" s="125"/>
    </row>
    <row r="259" spans="1:7">
      <c r="A259" s="147"/>
      <c r="B259" s="143" t="s">
        <v>8</v>
      </c>
      <c r="C259" s="143"/>
      <c r="D259" s="20"/>
      <c r="E259" s="20"/>
      <c r="F259" s="99"/>
      <c r="G259" s="129"/>
    </row>
    <row r="260" spans="1:7">
      <c r="A260" s="147"/>
      <c r="B260" s="143"/>
      <c r="C260" s="143"/>
      <c r="D260" s="20"/>
      <c r="E260" s="20"/>
      <c r="F260" s="99"/>
      <c r="G260" s="130"/>
    </row>
    <row r="261" spans="1:7">
      <c r="A261" s="147"/>
      <c r="B261" s="143"/>
      <c r="C261" s="143"/>
      <c r="D261" s="20"/>
      <c r="E261" s="20"/>
      <c r="F261" s="99"/>
      <c r="G261" s="130"/>
    </row>
    <row r="262" spans="1:7">
      <c r="A262" s="147"/>
      <c r="B262" s="143"/>
      <c r="C262" s="143"/>
      <c r="D262" s="20"/>
      <c r="E262" s="20"/>
      <c r="F262" s="99"/>
      <c r="G262" s="130"/>
    </row>
    <row r="263" spans="1:7">
      <c r="A263" s="147"/>
      <c r="B263" s="143"/>
      <c r="C263" s="143"/>
      <c r="D263" s="20"/>
      <c r="E263" s="20"/>
      <c r="F263" s="99"/>
      <c r="G263" s="130"/>
    </row>
    <row r="264" spans="1:7">
      <c r="A264" s="147"/>
      <c r="B264" s="143"/>
      <c r="C264" s="143"/>
      <c r="D264" s="20"/>
      <c r="E264" s="20"/>
      <c r="F264" s="99"/>
      <c r="G264" s="131"/>
    </row>
    <row r="265" spans="1:7">
      <c r="A265" s="148"/>
      <c r="B265" s="144" t="s">
        <v>9</v>
      </c>
      <c r="C265" s="144"/>
      <c r="D265" s="55"/>
      <c r="E265" s="28"/>
      <c r="F265" s="100"/>
      <c r="G265" s="132"/>
    </row>
    <row r="266" spans="1:7">
      <c r="A266" s="148"/>
      <c r="B266" s="144"/>
      <c r="C266" s="144"/>
      <c r="D266" s="24"/>
      <c r="E266" s="24"/>
      <c r="F266" s="100"/>
      <c r="G266" s="133"/>
    </row>
    <row r="267" spans="1:7">
      <c r="A267" s="148"/>
      <c r="B267" s="144"/>
      <c r="C267" s="144"/>
      <c r="D267" s="52"/>
      <c r="E267" s="53"/>
      <c r="F267" s="101"/>
      <c r="G267" s="133"/>
    </row>
    <row r="268" spans="1:7">
      <c r="A268" s="148"/>
      <c r="B268" s="144"/>
      <c r="C268" s="144"/>
      <c r="D268" s="57"/>
      <c r="E268" s="53"/>
      <c r="F268" s="101"/>
      <c r="G268" s="134"/>
    </row>
    <row r="269" spans="1:7">
      <c r="A269" s="146">
        <v>45798</v>
      </c>
      <c r="B269" s="125" t="s">
        <v>7</v>
      </c>
      <c r="C269" s="141"/>
      <c r="D269" s="15"/>
      <c r="E269" s="16"/>
      <c r="F269" s="97"/>
      <c r="G269" s="128"/>
    </row>
    <row r="270" spans="1:7">
      <c r="A270" s="147"/>
      <c r="B270" s="145"/>
      <c r="C270" s="142"/>
      <c r="D270" s="18"/>
      <c r="E270" s="19"/>
      <c r="F270" s="97"/>
      <c r="G270" s="128"/>
    </row>
    <row r="271" spans="1:7">
      <c r="A271" s="147"/>
      <c r="B271" s="145"/>
      <c r="C271" s="142"/>
      <c r="D271" s="18"/>
      <c r="E271" s="19"/>
      <c r="F271" s="97"/>
      <c r="G271" s="128"/>
    </row>
    <row r="272" spans="1:7">
      <c r="A272" s="147"/>
      <c r="B272" s="145"/>
      <c r="C272" s="142"/>
      <c r="D272" s="18"/>
      <c r="E272" s="56"/>
      <c r="F272" s="98"/>
      <c r="G272" s="125"/>
    </row>
    <row r="273" spans="1:7">
      <c r="A273" s="147"/>
      <c r="B273" s="143" t="s">
        <v>8</v>
      </c>
      <c r="C273" s="143"/>
      <c r="D273" s="20"/>
      <c r="E273" s="20"/>
      <c r="F273" s="99"/>
      <c r="G273" s="129"/>
    </row>
    <row r="274" spans="1:7">
      <c r="A274" s="147"/>
      <c r="B274" s="143"/>
      <c r="C274" s="143"/>
      <c r="D274" s="20"/>
      <c r="E274" s="20"/>
      <c r="F274" s="99"/>
      <c r="G274" s="130"/>
    </row>
    <row r="275" spans="1:7">
      <c r="A275" s="147"/>
      <c r="B275" s="143"/>
      <c r="C275" s="143"/>
      <c r="D275" s="20"/>
      <c r="E275" s="20"/>
      <c r="F275" s="99"/>
      <c r="G275" s="130"/>
    </row>
    <row r="276" spans="1:7">
      <c r="A276" s="147"/>
      <c r="B276" s="143"/>
      <c r="C276" s="143"/>
      <c r="D276" s="20"/>
      <c r="E276" s="20"/>
      <c r="F276" s="99"/>
      <c r="G276" s="130"/>
    </row>
    <row r="277" spans="1:7">
      <c r="A277" s="147"/>
      <c r="B277" s="143"/>
      <c r="C277" s="143"/>
      <c r="D277" s="20"/>
      <c r="E277" s="20"/>
      <c r="F277" s="99"/>
      <c r="G277" s="130"/>
    </row>
    <row r="278" spans="1:7">
      <c r="A278" s="147"/>
      <c r="B278" s="143"/>
      <c r="C278" s="143"/>
      <c r="D278" s="20"/>
      <c r="E278" s="20"/>
      <c r="F278" s="99"/>
      <c r="G278" s="131"/>
    </row>
    <row r="279" spans="1:7">
      <c r="A279" s="148"/>
      <c r="B279" s="144" t="s">
        <v>9</v>
      </c>
      <c r="C279" s="144"/>
      <c r="D279" s="55"/>
      <c r="E279" s="28"/>
      <c r="F279" s="100"/>
      <c r="G279" s="132"/>
    </row>
    <row r="280" spans="1:7">
      <c r="A280" s="148"/>
      <c r="B280" s="144"/>
      <c r="C280" s="144"/>
      <c r="D280" s="24"/>
      <c r="E280" s="24"/>
      <c r="F280" s="100"/>
      <c r="G280" s="133"/>
    </row>
    <row r="281" spans="1:7">
      <c r="A281" s="148"/>
      <c r="B281" s="144"/>
      <c r="C281" s="144"/>
      <c r="D281" s="52"/>
      <c r="E281" s="53"/>
      <c r="F281" s="101"/>
      <c r="G281" s="133"/>
    </row>
    <row r="282" spans="1:7">
      <c r="A282" s="148"/>
      <c r="B282" s="144"/>
      <c r="C282" s="144"/>
      <c r="D282" s="57"/>
      <c r="E282" s="53"/>
      <c r="F282" s="101"/>
      <c r="G282" s="134"/>
    </row>
    <row r="283" spans="1:7">
      <c r="A283" s="146">
        <v>45799</v>
      </c>
      <c r="B283" s="125" t="s">
        <v>7</v>
      </c>
      <c r="C283" s="141"/>
      <c r="D283" s="15"/>
      <c r="E283" s="16"/>
      <c r="F283" s="97"/>
      <c r="G283" s="128"/>
    </row>
    <row r="284" spans="1:7">
      <c r="A284" s="147"/>
      <c r="B284" s="145"/>
      <c r="C284" s="142"/>
      <c r="D284" s="18"/>
      <c r="E284" s="19"/>
      <c r="F284" s="97"/>
      <c r="G284" s="128"/>
    </row>
    <row r="285" spans="1:7">
      <c r="A285" s="147"/>
      <c r="B285" s="145"/>
      <c r="C285" s="142"/>
      <c r="D285" s="18"/>
      <c r="E285" s="19"/>
      <c r="F285" s="97"/>
      <c r="G285" s="128"/>
    </row>
    <row r="286" spans="1:7">
      <c r="A286" s="147"/>
      <c r="B286" s="145"/>
      <c r="C286" s="142"/>
      <c r="D286" s="18"/>
      <c r="E286" s="56"/>
      <c r="F286" s="98"/>
      <c r="G286" s="125"/>
    </row>
    <row r="287" spans="1:7">
      <c r="A287" s="147"/>
      <c r="B287" s="143" t="s">
        <v>8</v>
      </c>
      <c r="C287" s="143"/>
      <c r="D287" s="20"/>
      <c r="E287" s="20"/>
      <c r="F287" s="99"/>
      <c r="G287" s="129"/>
    </row>
    <row r="288" spans="1:7">
      <c r="A288" s="147"/>
      <c r="B288" s="143"/>
      <c r="C288" s="143"/>
      <c r="D288" s="20"/>
      <c r="E288" s="20"/>
      <c r="F288" s="99"/>
      <c r="G288" s="130"/>
    </row>
    <row r="289" spans="1:7">
      <c r="A289" s="147"/>
      <c r="B289" s="143"/>
      <c r="C289" s="143"/>
      <c r="D289" s="20"/>
      <c r="E289" s="20"/>
      <c r="F289" s="99"/>
      <c r="G289" s="130"/>
    </row>
    <row r="290" spans="1:7">
      <c r="A290" s="147"/>
      <c r="B290" s="143"/>
      <c r="C290" s="143"/>
      <c r="D290" s="20"/>
      <c r="E290" s="20"/>
      <c r="F290" s="99"/>
      <c r="G290" s="130"/>
    </row>
    <row r="291" spans="1:7">
      <c r="A291" s="147"/>
      <c r="B291" s="143"/>
      <c r="C291" s="143"/>
      <c r="D291" s="20"/>
      <c r="E291" s="20"/>
      <c r="F291" s="99"/>
      <c r="G291" s="130"/>
    </row>
    <row r="292" spans="1:7">
      <c r="A292" s="147"/>
      <c r="B292" s="143"/>
      <c r="C292" s="143"/>
      <c r="D292" s="20"/>
      <c r="E292" s="20"/>
      <c r="F292" s="99"/>
      <c r="G292" s="131"/>
    </row>
    <row r="293" spans="1:7">
      <c r="A293" s="148"/>
      <c r="B293" s="144" t="s">
        <v>9</v>
      </c>
      <c r="C293" s="144"/>
      <c r="D293" s="55"/>
      <c r="E293" s="28"/>
      <c r="F293" s="100"/>
      <c r="G293" s="132"/>
    </row>
    <row r="294" spans="1:7">
      <c r="A294" s="148"/>
      <c r="B294" s="144"/>
      <c r="C294" s="144"/>
      <c r="D294" s="24"/>
      <c r="E294" s="24"/>
      <c r="F294" s="100"/>
      <c r="G294" s="133"/>
    </row>
    <row r="295" spans="1:7">
      <c r="A295" s="148"/>
      <c r="B295" s="144"/>
      <c r="C295" s="144"/>
      <c r="D295" s="52"/>
      <c r="E295" s="53"/>
      <c r="F295" s="101"/>
      <c r="G295" s="133"/>
    </row>
    <row r="296" spans="1:7">
      <c r="A296" s="148"/>
      <c r="B296" s="144"/>
      <c r="C296" s="144"/>
      <c r="D296" s="57"/>
      <c r="E296" s="53"/>
      <c r="F296" s="101"/>
      <c r="G296" s="134"/>
    </row>
    <row r="297" spans="1:7">
      <c r="A297" s="146">
        <v>45800</v>
      </c>
      <c r="B297" s="125" t="s">
        <v>7</v>
      </c>
      <c r="C297" s="141"/>
      <c r="D297" s="15"/>
      <c r="E297" s="16"/>
      <c r="F297" s="97"/>
      <c r="G297" s="128"/>
    </row>
    <row r="298" spans="1:7">
      <c r="A298" s="147"/>
      <c r="B298" s="145"/>
      <c r="C298" s="142"/>
      <c r="D298" s="18"/>
      <c r="E298" s="19"/>
      <c r="F298" s="97"/>
      <c r="G298" s="128"/>
    </row>
    <row r="299" spans="1:7">
      <c r="A299" s="147"/>
      <c r="B299" s="145"/>
      <c r="C299" s="142"/>
      <c r="D299" s="18"/>
      <c r="E299" s="19"/>
      <c r="F299" s="97"/>
      <c r="G299" s="128"/>
    </row>
    <row r="300" spans="1:7">
      <c r="A300" s="147"/>
      <c r="B300" s="145"/>
      <c r="C300" s="142"/>
      <c r="D300" s="18"/>
      <c r="E300" s="56"/>
      <c r="F300" s="98"/>
      <c r="G300" s="125"/>
    </row>
    <row r="301" spans="1:7">
      <c r="A301" s="147"/>
      <c r="B301" s="143" t="s">
        <v>8</v>
      </c>
      <c r="C301" s="143"/>
      <c r="D301" s="20"/>
      <c r="E301" s="20"/>
      <c r="F301" s="99"/>
      <c r="G301" s="129"/>
    </row>
    <row r="302" spans="1:7">
      <c r="A302" s="147"/>
      <c r="B302" s="143"/>
      <c r="C302" s="143"/>
      <c r="D302" s="20"/>
      <c r="E302" s="20"/>
      <c r="F302" s="99"/>
      <c r="G302" s="130"/>
    </row>
    <row r="303" spans="1:7">
      <c r="A303" s="147"/>
      <c r="B303" s="143"/>
      <c r="C303" s="143"/>
      <c r="D303" s="20"/>
      <c r="E303" s="20"/>
      <c r="F303" s="99"/>
      <c r="G303" s="130"/>
    </row>
    <row r="304" spans="1:7">
      <c r="A304" s="147"/>
      <c r="B304" s="143"/>
      <c r="C304" s="143"/>
      <c r="D304" s="20"/>
      <c r="E304" s="20"/>
      <c r="F304" s="99"/>
      <c r="G304" s="130"/>
    </row>
    <row r="305" spans="1:7">
      <c r="A305" s="147"/>
      <c r="B305" s="143"/>
      <c r="C305" s="143"/>
      <c r="D305" s="20"/>
      <c r="E305" s="20"/>
      <c r="F305" s="99"/>
      <c r="G305" s="130"/>
    </row>
    <row r="306" spans="1:7">
      <c r="A306" s="147"/>
      <c r="B306" s="143"/>
      <c r="C306" s="143"/>
      <c r="D306" s="20"/>
      <c r="E306" s="20"/>
      <c r="F306" s="99"/>
      <c r="G306" s="131"/>
    </row>
    <row r="307" spans="1:7">
      <c r="A307" s="148"/>
      <c r="B307" s="144" t="s">
        <v>9</v>
      </c>
      <c r="C307" s="144"/>
      <c r="D307" s="55"/>
      <c r="E307" s="28"/>
      <c r="F307" s="100"/>
      <c r="G307" s="132"/>
    </row>
    <row r="308" spans="1:7">
      <c r="A308" s="148"/>
      <c r="B308" s="144"/>
      <c r="C308" s="144"/>
      <c r="D308" s="24"/>
      <c r="E308" s="24"/>
      <c r="F308" s="100"/>
      <c r="G308" s="133"/>
    </row>
    <row r="309" spans="1:7">
      <c r="A309" s="148"/>
      <c r="B309" s="144"/>
      <c r="C309" s="144"/>
      <c r="D309" s="52"/>
      <c r="E309" s="53"/>
      <c r="F309" s="101"/>
      <c r="G309" s="133"/>
    </row>
    <row r="310" spans="1:7">
      <c r="A310" s="148"/>
      <c r="B310" s="144"/>
      <c r="C310" s="144"/>
      <c r="D310" s="57"/>
      <c r="E310" s="53"/>
      <c r="F310" s="101"/>
      <c r="G310" s="134"/>
    </row>
    <row r="311" spans="1:7">
      <c r="A311" s="146">
        <v>45801</v>
      </c>
      <c r="B311" s="125" t="s">
        <v>7</v>
      </c>
      <c r="C311" s="141"/>
      <c r="D311" s="15"/>
      <c r="E311" s="16"/>
      <c r="F311" s="97"/>
      <c r="G311" s="128"/>
    </row>
    <row r="312" spans="1:7">
      <c r="A312" s="147"/>
      <c r="B312" s="145"/>
      <c r="C312" s="142"/>
      <c r="D312" s="18"/>
      <c r="E312" s="19"/>
      <c r="F312" s="97"/>
      <c r="G312" s="128"/>
    </row>
    <row r="313" spans="1:7">
      <c r="A313" s="147"/>
      <c r="B313" s="145"/>
      <c r="C313" s="142"/>
      <c r="D313" s="18"/>
      <c r="E313" s="19"/>
      <c r="F313" s="97"/>
      <c r="G313" s="128"/>
    </row>
    <row r="314" spans="1:7">
      <c r="A314" s="147"/>
      <c r="B314" s="145"/>
      <c r="C314" s="142"/>
      <c r="D314" s="18"/>
      <c r="E314" s="56"/>
      <c r="F314" s="98"/>
      <c r="G314" s="125"/>
    </row>
    <row r="315" spans="1:7">
      <c r="A315" s="147"/>
      <c r="B315" s="143" t="s">
        <v>8</v>
      </c>
      <c r="C315" s="143"/>
      <c r="D315" s="20"/>
      <c r="E315" s="20"/>
      <c r="F315" s="99"/>
      <c r="G315" s="129"/>
    </row>
    <row r="316" spans="1:7">
      <c r="A316" s="147"/>
      <c r="B316" s="143"/>
      <c r="C316" s="143"/>
      <c r="D316" s="20"/>
      <c r="E316" s="20"/>
      <c r="F316" s="99"/>
      <c r="G316" s="130"/>
    </row>
    <row r="317" spans="1:7">
      <c r="A317" s="147"/>
      <c r="B317" s="143"/>
      <c r="C317" s="143"/>
      <c r="D317" s="20"/>
      <c r="E317" s="20"/>
      <c r="F317" s="99"/>
      <c r="G317" s="130"/>
    </row>
    <row r="318" spans="1:7">
      <c r="A318" s="147"/>
      <c r="B318" s="143"/>
      <c r="C318" s="143"/>
      <c r="D318" s="20"/>
      <c r="E318" s="20"/>
      <c r="F318" s="99"/>
      <c r="G318" s="130"/>
    </row>
    <row r="319" spans="1:7">
      <c r="A319" s="147"/>
      <c r="B319" s="143"/>
      <c r="C319" s="143"/>
      <c r="D319" s="20"/>
      <c r="E319" s="20"/>
      <c r="F319" s="99"/>
      <c r="G319" s="130"/>
    </row>
    <row r="320" spans="1:7">
      <c r="A320" s="147"/>
      <c r="B320" s="143"/>
      <c r="C320" s="143"/>
      <c r="D320" s="20"/>
      <c r="E320" s="20"/>
      <c r="F320" s="99"/>
      <c r="G320" s="131"/>
    </row>
    <row r="321" spans="1:7">
      <c r="A321" s="148"/>
      <c r="B321" s="144" t="s">
        <v>9</v>
      </c>
      <c r="C321" s="144"/>
      <c r="D321" s="55"/>
      <c r="E321" s="28"/>
      <c r="F321" s="100"/>
      <c r="G321" s="132"/>
    </row>
    <row r="322" spans="1:7">
      <c r="A322" s="148"/>
      <c r="B322" s="144"/>
      <c r="C322" s="144"/>
      <c r="D322" s="24"/>
      <c r="E322" s="24"/>
      <c r="F322" s="100"/>
      <c r="G322" s="133"/>
    </row>
    <row r="323" spans="1:7">
      <c r="A323" s="148"/>
      <c r="B323" s="144"/>
      <c r="C323" s="144"/>
      <c r="D323" s="52"/>
      <c r="E323" s="53"/>
      <c r="F323" s="101"/>
      <c r="G323" s="133"/>
    </row>
    <row r="324" spans="1:7">
      <c r="A324" s="148"/>
      <c r="B324" s="144"/>
      <c r="C324" s="144"/>
      <c r="D324" s="57"/>
      <c r="E324" s="53"/>
      <c r="F324" s="101"/>
      <c r="G324" s="134"/>
    </row>
    <row r="325" spans="1:7">
      <c r="A325" s="146">
        <v>45802</v>
      </c>
      <c r="B325" s="125" t="s">
        <v>7</v>
      </c>
      <c r="C325" s="141"/>
      <c r="D325" s="15"/>
      <c r="E325" s="16"/>
      <c r="F325" s="97"/>
      <c r="G325" s="128"/>
    </row>
    <row r="326" spans="1:7">
      <c r="A326" s="147"/>
      <c r="B326" s="145"/>
      <c r="C326" s="142"/>
      <c r="D326" s="18"/>
      <c r="E326" s="19"/>
      <c r="F326" s="97"/>
      <c r="G326" s="128"/>
    </row>
    <row r="327" spans="1:7">
      <c r="A327" s="147"/>
      <c r="B327" s="145"/>
      <c r="C327" s="142"/>
      <c r="D327" s="18"/>
      <c r="E327" s="19"/>
      <c r="F327" s="97"/>
      <c r="G327" s="128"/>
    </row>
    <row r="328" spans="1:7">
      <c r="A328" s="147"/>
      <c r="B328" s="145"/>
      <c r="C328" s="142"/>
      <c r="D328" s="18"/>
      <c r="E328" s="56"/>
      <c r="F328" s="98"/>
      <c r="G328" s="125"/>
    </row>
    <row r="329" spans="1:7">
      <c r="A329" s="147"/>
      <c r="B329" s="143" t="s">
        <v>8</v>
      </c>
      <c r="C329" s="143"/>
      <c r="D329" s="20"/>
      <c r="E329" s="20"/>
      <c r="F329" s="99"/>
      <c r="G329" s="129"/>
    </row>
    <row r="330" spans="1:7">
      <c r="A330" s="147"/>
      <c r="B330" s="143"/>
      <c r="C330" s="143"/>
      <c r="D330" s="20"/>
      <c r="E330" s="20"/>
      <c r="F330" s="99"/>
      <c r="G330" s="130"/>
    </row>
    <row r="331" spans="1:7">
      <c r="A331" s="147"/>
      <c r="B331" s="143"/>
      <c r="C331" s="143"/>
      <c r="D331" s="20"/>
      <c r="E331" s="20"/>
      <c r="F331" s="99"/>
      <c r="G331" s="130"/>
    </row>
    <row r="332" spans="1:7">
      <c r="A332" s="147"/>
      <c r="B332" s="143"/>
      <c r="C332" s="143"/>
      <c r="D332" s="20"/>
      <c r="E332" s="20"/>
      <c r="F332" s="99"/>
      <c r="G332" s="130"/>
    </row>
    <row r="333" spans="1:7">
      <c r="A333" s="147"/>
      <c r="B333" s="143"/>
      <c r="C333" s="143"/>
      <c r="D333" s="20"/>
      <c r="E333" s="20"/>
      <c r="F333" s="99"/>
      <c r="G333" s="130"/>
    </row>
    <row r="334" spans="1:7">
      <c r="A334" s="147"/>
      <c r="B334" s="143"/>
      <c r="C334" s="143"/>
      <c r="D334" s="20"/>
      <c r="E334" s="20"/>
      <c r="F334" s="99"/>
      <c r="G334" s="131"/>
    </row>
    <row r="335" spans="1:7">
      <c r="A335" s="148"/>
      <c r="B335" s="144" t="s">
        <v>9</v>
      </c>
      <c r="C335" s="144"/>
      <c r="D335" s="55"/>
      <c r="E335" s="28"/>
      <c r="F335" s="100"/>
      <c r="G335" s="132"/>
    </row>
    <row r="336" spans="1:7">
      <c r="A336" s="148"/>
      <c r="B336" s="144"/>
      <c r="C336" s="144"/>
      <c r="D336" s="24"/>
      <c r="E336" s="24"/>
      <c r="F336" s="100"/>
      <c r="G336" s="133"/>
    </row>
    <row r="337" spans="1:7">
      <c r="A337" s="148"/>
      <c r="B337" s="144"/>
      <c r="C337" s="144"/>
      <c r="D337" s="52"/>
      <c r="E337" s="53"/>
      <c r="F337" s="101"/>
      <c r="G337" s="133"/>
    </row>
    <row r="338" spans="1:7">
      <c r="A338" s="148"/>
      <c r="B338" s="144"/>
      <c r="C338" s="144"/>
      <c r="D338" s="57"/>
      <c r="E338" s="53"/>
      <c r="F338" s="101"/>
      <c r="G338" s="134"/>
    </row>
    <row r="339" spans="1:7">
      <c r="A339" s="146">
        <v>45803</v>
      </c>
      <c r="B339" s="125" t="s">
        <v>7</v>
      </c>
      <c r="C339" s="141"/>
      <c r="D339" s="15"/>
      <c r="E339" s="16"/>
      <c r="F339" s="97"/>
      <c r="G339" s="128"/>
    </row>
    <row r="340" spans="1:7">
      <c r="A340" s="147"/>
      <c r="B340" s="145"/>
      <c r="C340" s="142"/>
      <c r="D340" s="18"/>
      <c r="E340" s="19"/>
      <c r="F340" s="97"/>
      <c r="G340" s="128"/>
    </row>
    <row r="341" spans="1:7">
      <c r="A341" s="147"/>
      <c r="B341" s="145"/>
      <c r="C341" s="142"/>
      <c r="D341" s="18"/>
      <c r="E341" s="19"/>
      <c r="F341" s="97"/>
      <c r="G341" s="128"/>
    </row>
    <row r="342" spans="1:7">
      <c r="A342" s="147"/>
      <c r="B342" s="145"/>
      <c r="C342" s="142"/>
      <c r="D342" s="18"/>
      <c r="E342" s="56"/>
      <c r="F342" s="98"/>
      <c r="G342" s="125"/>
    </row>
    <row r="343" spans="1:7">
      <c r="A343" s="147"/>
      <c r="B343" s="143" t="s">
        <v>8</v>
      </c>
      <c r="C343" s="143"/>
      <c r="D343" s="20"/>
      <c r="E343" s="20"/>
      <c r="F343" s="99"/>
      <c r="G343" s="129"/>
    </row>
    <row r="344" spans="1:7">
      <c r="A344" s="147"/>
      <c r="B344" s="143"/>
      <c r="C344" s="143"/>
      <c r="D344" s="20"/>
      <c r="E344" s="20"/>
      <c r="F344" s="99"/>
      <c r="G344" s="130"/>
    </row>
    <row r="345" spans="1:7">
      <c r="A345" s="147"/>
      <c r="B345" s="143"/>
      <c r="C345" s="143"/>
      <c r="D345" s="20"/>
      <c r="E345" s="20"/>
      <c r="F345" s="99"/>
      <c r="G345" s="130"/>
    </row>
    <row r="346" spans="1:7">
      <c r="A346" s="147"/>
      <c r="B346" s="143"/>
      <c r="C346" s="143"/>
      <c r="D346" s="20"/>
      <c r="E346" s="20"/>
      <c r="F346" s="99"/>
      <c r="G346" s="130"/>
    </row>
    <row r="347" spans="1:7">
      <c r="A347" s="147"/>
      <c r="B347" s="143"/>
      <c r="C347" s="143"/>
      <c r="D347" s="20"/>
      <c r="E347" s="20"/>
      <c r="F347" s="99"/>
      <c r="G347" s="130"/>
    </row>
    <row r="348" spans="1:7">
      <c r="A348" s="147"/>
      <c r="B348" s="143"/>
      <c r="C348" s="143"/>
      <c r="D348" s="20"/>
      <c r="E348" s="20"/>
      <c r="F348" s="99"/>
      <c r="G348" s="131"/>
    </row>
    <row r="349" spans="1:7">
      <c r="A349" s="148"/>
      <c r="B349" s="144" t="s">
        <v>9</v>
      </c>
      <c r="C349" s="144"/>
      <c r="D349" s="55"/>
      <c r="E349" s="28"/>
      <c r="F349" s="100"/>
      <c r="G349" s="132"/>
    </row>
    <row r="350" spans="1:7">
      <c r="A350" s="148"/>
      <c r="B350" s="144"/>
      <c r="C350" s="144"/>
      <c r="D350" s="24"/>
      <c r="E350" s="24"/>
      <c r="F350" s="100"/>
      <c r="G350" s="133"/>
    </row>
    <row r="351" spans="1:7">
      <c r="A351" s="148"/>
      <c r="B351" s="144"/>
      <c r="C351" s="144"/>
      <c r="D351" s="52"/>
      <c r="E351" s="53"/>
      <c r="F351" s="101"/>
      <c r="G351" s="133"/>
    </row>
    <row r="352" spans="1:7">
      <c r="A352" s="148"/>
      <c r="B352" s="144"/>
      <c r="C352" s="144"/>
      <c r="D352" s="57"/>
      <c r="E352" s="53"/>
      <c r="F352" s="101"/>
      <c r="G352" s="134"/>
    </row>
    <row r="353" spans="1:7">
      <c r="A353" s="146">
        <v>45804</v>
      </c>
      <c r="B353" s="125" t="s">
        <v>7</v>
      </c>
      <c r="C353" s="141"/>
      <c r="D353" s="15"/>
      <c r="E353" s="16"/>
      <c r="F353" s="97"/>
      <c r="G353" s="128"/>
    </row>
    <row r="354" spans="1:7">
      <c r="A354" s="147"/>
      <c r="B354" s="145"/>
      <c r="C354" s="142"/>
      <c r="D354" s="18"/>
      <c r="E354" s="19"/>
      <c r="F354" s="97"/>
      <c r="G354" s="128"/>
    </row>
    <row r="355" spans="1:7">
      <c r="A355" s="147"/>
      <c r="B355" s="145"/>
      <c r="C355" s="142"/>
      <c r="D355" s="18"/>
      <c r="E355" s="19"/>
      <c r="F355" s="97"/>
      <c r="G355" s="128"/>
    </row>
    <row r="356" spans="1:7">
      <c r="A356" s="147"/>
      <c r="B356" s="145"/>
      <c r="C356" s="142"/>
      <c r="D356" s="18"/>
      <c r="E356" s="56"/>
      <c r="F356" s="98"/>
      <c r="G356" s="125"/>
    </row>
    <row r="357" spans="1:7">
      <c r="A357" s="147"/>
      <c r="B357" s="143" t="s">
        <v>8</v>
      </c>
      <c r="C357" s="143"/>
      <c r="D357" s="20"/>
      <c r="E357" s="20"/>
      <c r="F357" s="99"/>
      <c r="G357" s="129"/>
    </row>
    <row r="358" spans="1:7">
      <c r="A358" s="147"/>
      <c r="B358" s="143"/>
      <c r="C358" s="143"/>
      <c r="D358" s="20"/>
      <c r="E358" s="20"/>
      <c r="F358" s="99"/>
      <c r="G358" s="130"/>
    </row>
    <row r="359" spans="1:7">
      <c r="A359" s="147"/>
      <c r="B359" s="143"/>
      <c r="C359" s="143"/>
      <c r="D359" s="20"/>
      <c r="E359" s="20"/>
      <c r="F359" s="99"/>
      <c r="G359" s="130"/>
    </row>
    <row r="360" spans="1:7">
      <c r="A360" s="147"/>
      <c r="B360" s="143"/>
      <c r="C360" s="143"/>
      <c r="D360" s="20"/>
      <c r="E360" s="20"/>
      <c r="F360" s="99"/>
      <c r="G360" s="130"/>
    </row>
    <row r="361" spans="1:7">
      <c r="A361" s="147"/>
      <c r="B361" s="143"/>
      <c r="C361" s="143"/>
      <c r="D361" s="20"/>
      <c r="E361" s="20"/>
      <c r="F361" s="99"/>
      <c r="G361" s="130"/>
    </row>
    <row r="362" spans="1:7">
      <c r="A362" s="147"/>
      <c r="B362" s="143"/>
      <c r="C362" s="143"/>
      <c r="D362" s="20"/>
      <c r="E362" s="20"/>
      <c r="F362" s="99"/>
      <c r="G362" s="131"/>
    </row>
    <row r="363" spans="1:7">
      <c r="A363" s="148"/>
      <c r="B363" s="144" t="s">
        <v>9</v>
      </c>
      <c r="C363" s="144"/>
      <c r="D363" s="55"/>
      <c r="E363" s="28"/>
      <c r="F363" s="100"/>
      <c r="G363" s="132"/>
    </row>
    <row r="364" spans="1:7">
      <c r="A364" s="148"/>
      <c r="B364" s="144"/>
      <c r="C364" s="144"/>
      <c r="D364" s="24"/>
      <c r="E364" s="24"/>
      <c r="F364" s="100"/>
      <c r="G364" s="133"/>
    </row>
    <row r="365" spans="1:7">
      <c r="A365" s="148"/>
      <c r="B365" s="144"/>
      <c r="C365" s="144"/>
      <c r="D365" s="52"/>
      <c r="E365" s="53"/>
      <c r="F365" s="101"/>
      <c r="G365" s="133"/>
    </row>
    <row r="366" spans="1:7">
      <c r="A366" s="148"/>
      <c r="B366" s="144"/>
      <c r="C366" s="144"/>
      <c r="D366" s="57"/>
      <c r="E366" s="53"/>
      <c r="F366" s="101"/>
      <c r="G366" s="134"/>
    </row>
    <row r="367" spans="1:7">
      <c r="A367" s="146">
        <v>45805</v>
      </c>
      <c r="B367" s="125" t="s">
        <v>7</v>
      </c>
      <c r="C367" s="141"/>
      <c r="D367" s="15"/>
      <c r="E367" s="16"/>
      <c r="F367" s="97"/>
      <c r="G367" s="128"/>
    </row>
    <row r="368" spans="1:7">
      <c r="A368" s="147"/>
      <c r="B368" s="145"/>
      <c r="C368" s="142"/>
      <c r="D368" s="18"/>
      <c r="E368" s="19"/>
      <c r="F368" s="97"/>
      <c r="G368" s="128"/>
    </row>
    <row r="369" spans="1:7">
      <c r="A369" s="147"/>
      <c r="B369" s="145"/>
      <c r="C369" s="142"/>
      <c r="D369" s="18"/>
      <c r="E369" s="19"/>
      <c r="F369" s="97"/>
      <c r="G369" s="128"/>
    </row>
    <row r="370" spans="1:7">
      <c r="A370" s="147"/>
      <c r="B370" s="145"/>
      <c r="C370" s="142"/>
      <c r="D370" s="18"/>
      <c r="E370" s="56"/>
      <c r="F370" s="98"/>
      <c r="G370" s="125"/>
    </row>
    <row r="371" spans="1:7">
      <c r="A371" s="147"/>
      <c r="B371" s="143" t="s">
        <v>8</v>
      </c>
      <c r="C371" s="143"/>
      <c r="D371" s="20"/>
      <c r="E371" s="20"/>
      <c r="F371" s="99"/>
      <c r="G371" s="129"/>
    </row>
    <row r="372" spans="1:7">
      <c r="A372" s="147"/>
      <c r="B372" s="143"/>
      <c r="C372" s="143"/>
      <c r="D372" s="20"/>
      <c r="E372" s="20"/>
      <c r="F372" s="99"/>
      <c r="G372" s="130"/>
    </row>
    <row r="373" spans="1:7">
      <c r="A373" s="147"/>
      <c r="B373" s="143"/>
      <c r="C373" s="143"/>
      <c r="D373" s="20"/>
      <c r="E373" s="20"/>
      <c r="F373" s="99"/>
      <c r="G373" s="130"/>
    </row>
    <row r="374" spans="1:7">
      <c r="A374" s="147"/>
      <c r="B374" s="143"/>
      <c r="C374" s="143"/>
      <c r="D374" s="20"/>
      <c r="E374" s="20"/>
      <c r="F374" s="99"/>
      <c r="G374" s="130"/>
    </row>
    <row r="375" spans="1:7">
      <c r="A375" s="147"/>
      <c r="B375" s="143"/>
      <c r="C375" s="143"/>
      <c r="D375" s="20"/>
      <c r="E375" s="20"/>
      <c r="F375" s="99"/>
      <c r="G375" s="130"/>
    </row>
    <row r="376" spans="1:7">
      <c r="A376" s="147"/>
      <c r="B376" s="143"/>
      <c r="C376" s="143"/>
      <c r="D376" s="20"/>
      <c r="E376" s="20"/>
      <c r="F376" s="99"/>
      <c r="G376" s="131"/>
    </row>
    <row r="377" spans="1:7">
      <c r="A377" s="148"/>
      <c r="B377" s="144" t="s">
        <v>9</v>
      </c>
      <c r="C377" s="144"/>
      <c r="D377" s="55"/>
      <c r="E377" s="28"/>
      <c r="F377" s="100"/>
      <c r="G377" s="132"/>
    </row>
    <row r="378" spans="1:7">
      <c r="A378" s="148"/>
      <c r="B378" s="144"/>
      <c r="C378" s="144"/>
      <c r="D378" s="24"/>
      <c r="E378" s="24"/>
      <c r="F378" s="100"/>
      <c r="G378" s="133"/>
    </row>
    <row r="379" spans="1:7">
      <c r="A379" s="148"/>
      <c r="B379" s="144"/>
      <c r="C379" s="144"/>
      <c r="D379" s="52"/>
      <c r="E379" s="53"/>
      <c r="F379" s="101"/>
      <c r="G379" s="133"/>
    </row>
    <row r="380" spans="1:7">
      <c r="A380" s="148"/>
      <c r="B380" s="144"/>
      <c r="C380" s="144"/>
      <c r="D380" s="57"/>
      <c r="E380" s="53"/>
      <c r="F380" s="101"/>
      <c r="G380" s="134"/>
    </row>
    <row r="381" spans="1:7">
      <c r="A381" s="146">
        <v>45806</v>
      </c>
      <c r="B381" s="125" t="s">
        <v>7</v>
      </c>
      <c r="C381" s="141"/>
      <c r="D381" s="15"/>
      <c r="E381" s="16"/>
      <c r="F381" s="97"/>
      <c r="G381" s="128"/>
    </row>
    <row r="382" spans="1:7">
      <c r="A382" s="147"/>
      <c r="B382" s="145"/>
      <c r="C382" s="142"/>
      <c r="D382" s="18"/>
      <c r="E382" s="19"/>
      <c r="F382" s="97"/>
      <c r="G382" s="128"/>
    </row>
    <row r="383" spans="1:7">
      <c r="A383" s="147"/>
      <c r="B383" s="145"/>
      <c r="C383" s="142"/>
      <c r="D383" s="18"/>
      <c r="E383" s="19"/>
      <c r="F383" s="97"/>
      <c r="G383" s="128"/>
    </row>
    <row r="384" spans="1:7">
      <c r="A384" s="147"/>
      <c r="B384" s="145"/>
      <c r="C384" s="142"/>
      <c r="D384" s="18"/>
      <c r="E384" s="56"/>
      <c r="F384" s="98"/>
      <c r="G384" s="125"/>
    </row>
    <row r="385" spans="1:7">
      <c r="A385" s="147"/>
      <c r="B385" s="143" t="s">
        <v>8</v>
      </c>
      <c r="C385" s="143"/>
      <c r="D385" s="20"/>
      <c r="E385" s="20"/>
      <c r="F385" s="99"/>
      <c r="G385" s="129"/>
    </row>
    <row r="386" spans="1:7">
      <c r="A386" s="147"/>
      <c r="B386" s="143"/>
      <c r="C386" s="143"/>
      <c r="D386" s="20"/>
      <c r="E386" s="20"/>
      <c r="F386" s="99"/>
      <c r="G386" s="130"/>
    </row>
    <row r="387" spans="1:7">
      <c r="A387" s="147"/>
      <c r="B387" s="143"/>
      <c r="C387" s="143"/>
      <c r="D387" s="20"/>
      <c r="E387" s="20"/>
      <c r="F387" s="99"/>
      <c r="G387" s="130"/>
    </row>
    <row r="388" spans="1:7">
      <c r="A388" s="147"/>
      <c r="B388" s="143"/>
      <c r="C388" s="143"/>
      <c r="D388" s="20"/>
      <c r="E388" s="20"/>
      <c r="F388" s="99"/>
      <c r="G388" s="130"/>
    </row>
    <row r="389" spans="1:7">
      <c r="A389" s="147"/>
      <c r="B389" s="143"/>
      <c r="C389" s="143"/>
      <c r="D389" s="20"/>
      <c r="E389" s="20"/>
      <c r="F389" s="99"/>
      <c r="G389" s="130"/>
    </row>
    <row r="390" spans="1:7">
      <c r="A390" s="147"/>
      <c r="B390" s="143"/>
      <c r="C390" s="143"/>
      <c r="D390" s="20"/>
      <c r="E390" s="20"/>
      <c r="F390" s="99"/>
      <c r="G390" s="131"/>
    </row>
    <row r="391" spans="1:7">
      <c r="A391" s="148"/>
      <c r="B391" s="144" t="s">
        <v>9</v>
      </c>
      <c r="C391" s="144"/>
      <c r="D391" s="55"/>
      <c r="E391" s="28"/>
      <c r="F391" s="100"/>
      <c r="G391" s="132"/>
    </row>
    <row r="392" spans="1:7">
      <c r="A392" s="148"/>
      <c r="B392" s="144"/>
      <c r="C392" s="144"/>
      <c r="D392" s="24"/>
      <c r="E392" s="24"/>
      <c r="F392" s="100"/>
      <c r="G392" s="133"/>
    </row>
    <row r="393" spans="1:7">
      <c r="A393" s="148"/>
      <c r="B393" s="144"/>
      <c r="C393" s="144"/>
      <c r="D393" s="52"/>
      <c r="E393" s="53"/>
      <c r="F393" s="101"/>
      <c r="G393" s="133"/>
    </row>
    <row r="394" spans="1:7">
      <c r="A394" s="148"/>
      <c r="B394" s="144"/>
      <c r="C394" s="144"/>
      <c r="D394" s="57"/>
      <c r="E394" s="53"/>
      <c r="F394" s="101"/>
      <c r="G394" s="134"/>
    </row>
    <row r="395" spans="1:7">
      <c r="A395" s="146">
        <v>45807</v>
      </c>
      <c r="B395" s="125" t="s">
        <v>7</v>
      </c>
      <c r="C395" s="141"/>
      <c r="D395" s="15"/>
      <c r="E395" s="16"/>
      <c r="F395" s="97"/>
      <c r="G395" s="128"/>
    </row>
    <row r="396" spans="1:7">
      <c r="A396" s="147"/>
      <c r="B396" s="145"/>
      <c r="C396" s="142"/>
      <c r="D396" s="18"/>
      <c r="E396" s="19"/>
      <c r="F396" s="97"/>
      <c r="G396" s="128"/>
    </row>
    <row r="397" spans="1:7">
      <c r="A397" s="147"/>
      <c r="B397" s="145"/>
      <c r="C397" s="142"/>
      <c r="D397" s="18"/>
      <c r="E397" s="19"/>
      <c r="F397" s="97"/>
      <c r="G397" s="128"/>
    </row>
    <row r="398" spans="1:7">
      <c r="A398" s="147"/>
      <c r="B398" s="145"/>
      <c r="C398" s="142"/>
      <c r="D398" s="18"/>
      <c r="E398" s="56"/>
      <c r="F398" s="98"/>
      <c r="G398" s="125"/>
    </row>
    <row r="399" spans="1:7">
      <c r="A399" s="147"/>
      <c r="B399" s="143" t="s">
        <v>8</v>
      </c>
      <c r="C399" s="143"/>
      <c r="D399" s="20"/>
      <c r="E399" s="20"/>
      <c r="F399" s="99"/>
      <c r="G399" s="129"/>
    </row>
    <row r="400" spans="1:7">
      <c r="A400" s="147"/>
      <c r="B400" s="143"/>
      <c r="C400" s="143"/>
      <c r="D400" s="20"/>
      <c r="E400" s="20"/>
      <c r="F400" s="99"/>
      <c r="G400" s="130"/>
    </row>
    <row r="401" spans="1:7">
      <c r="A401" s="147"/>
      <c r="B401" s="143"/>
      <c r="C401" s="143"/>
      <c r="D401" s="20"/>
      <c r="E401" s="20"/>
      <c r="F401" s="99"/>
      <c r="G401" s="130"/>
    </row>
    <row r="402" spans="1:7">
      <c r="A402" s="147"/>
      <c r="B402" s="143"/>
      <c r="C402" s="143"/>
      <c r="D402" s="20"/>
      <c r="E402" s="20"/>
      <c r="F402" s="99"/>
      <c r="G402" s="130"/>
    </row>
    <row r="403" spans="1:7">
      <c r="A403" s="147"/>
      <c r="B403" s="143"/>
      <c r="C403" s="143"/>
      <c r="D403" s="20"/>
      <c r="E403" s="20"/>
      <c r="F403" s="99"/>
      <c r="G403" s="130"/>
    </row>
    <row r="404" spans="1:7">
      <c r="A404" s="147"/>
      <c r="B404" s="143"/>
      <c r="C404" s="143"/>
      <c r="D404" s="20"/>
      <c r="E404" s="20"/>
      <c r="F404" s="99"/>
      <c r="G404" s="131"/>
    </row>
    <row r="405" spans="1:7">
      <c r="A405" s="148"/>
      <c r="B405" s="144" t="s">
        <v>9</v>
      </c>
      <c r="C405" s="144"/>
      <c r="D405" s="55"/>
      <c r="E405" s="28"/>
      <c r="F405" s="100"/>
      <c r="G405" s="132"/>
    </row>
    <row r="406" spans="1:7">
      <c r="A406" s="148"/>
      <c r="B406" s="144"/>
      <c r="C406" s="144"/>
      <c r="D406" s="24"/>
      <c r="E406" s="24"/>
      <c r="F406" s="100"/>
      <c r="G406" s="133"/>
    </row>
    <row r="407" spans="1:7">
      <c r="A407" s="148"/>
      <c r="B407" s="144"/>
      <c r="C407" s="144"/>
      <c r="D407" s="52"/>
      <c r="E407" s="53"/>
      <c r="F407" s="101"/>
      <c r="G407" s="133"/>
    </row>
    <row r="408" spans="1:7">
      <c r="A408" s="148"/>
      <c r="B408" s="144"/>
      <c r="C408" s="144"/>
      <c r="D408" s="57"/>
      <c r="E408" s="53"/>
      <c r="F408" s="101"/>
      <c r="G408" s="134"/>
    </row>
    <row r="409" spans="1:7">
      <c r="A409" s="146">
        <v>45808</v>
      </c>
      <c r="B409" s="125" t="s">
        <v>7</v>
      </c>
      <c r="C409" s="141"/>
      <c r="D409" s="15"/>
      <c r="E409" s="16"/>
      <c r="F409" s="97"/>
      <c r="G409" s="128"/>
    </row>
    <row r="410" spans="1:7">
      <c r="A410" s="147"/>
      <c r="B410" s="145"/>
      <c r="C410" s="142"/>
      <c r="D410" s="18"/>
      <c r="E410" s="19"/>
      <c r="F410" s="97"/>
      <c r="G410" s="128"/>
    </row>
    <row r="411" spans="1:7">
      <c r="A411" s="147"/>
      <c r="B411" s="145"/>
      <c r="C411" s="142"/>
      <c r="D411" s="18"/>
      <c r="E411" s="19"/>
      <c r="F411" s="97"/>
      <c r="G411" s="128"/>
    </row>
    <row r="412" spans="1:7">
      <c r="A412" s="147"/>
      <c r="B412" s="145"/>
      <c r="C412" s="142"/>
      <c r="D412" s="18"/>
      <c r="E412" s="56"/>
      <c r="F412" s="98"/>
      <c r="G412" s="125"/>
    </row>
    <row r="413" spans="1:7">
      <c r="A413" s="147"/>
      <c r="B413" s="143" t="s">
        <v>8</v>
      </c>
      <c r="C413" s="143"/>
      <c r="D413" s="20"/>
      <c r="E413" s="20"/>
      <c r="F413" s="99"/>
      <c r="G413" s="129"/>
    </row>
    <row r="414" spans="1:7">
      <c r="A414" s="147"/>
      <c r="B414" s="143"/>
      <c r="C414" s="143"/>
      <c r="D414" s="20"/>
      <c r="E414" s="20"/>
      <c r="F414" s="99"/>
      <c r="G414" s="130"/>
    </row>
    <row r="415" spans="1:7">
      <c r="A415" s="147"/>
      <c r="B415" s="143"/>
      <c r="C415" s="143"/>
      <c r="D415" s="20"/>
      <c r="E415" s="20"/>
      <c r="F415" s="99"/>
      <c r="G415" s="130"/>
    </row>
    <row r="416" spans="1:7">
      <c r="A416" s="147"/>
      <c r="B416" s="143"/>
      <c r="C416" s="143"/>
      <c r="D416" s="20"/>
      <c r="E416" s="20"/>
      <c r="F416" s="99"/>
      <c r="G416" s="130"/>
    </row>
    <row r="417" spans="1:7">
      <c r="A417" s="147"/>
      <c r="B417" s="143"/>
      <c r="C417" s="143"/>
      <c r="D417" s="20"/>
      <c r="E417" s="20"/>
      <c r="F417" s="99"/>
      <c r="G417" s="130"/>
    </row>
    <row r="418" spans="1:7">
      <c r="A418" s="147"/>
      <c r="B418" s="143"/>
      <c r="C418" s="143"/>
      <c r="D418" s="20"/>
      <c r="E418" s="20"/>
      <c r="F418" s="99"/>
      <c r="G418" s="131"/>
    </row>
    <row r="419" spans="1:7">
      <c r="A419" s="148"/>
      <c r="B419" s="144" t="s">
        <v>9</v>
      </c>
      <c r="C419" s="144"/>
      <c r="D419" s="55"/>
      <c r="E419" s="28"/>
      <c r="F419" s="100"/>
      <c r="G419" s="132"/>
    </row>
    <row r="420" spans="1:7">
      <c r="A420" s="148"/>
      <c r="B420" s="144"/>
      <c r="C420" s="144"/>
      <c r="D420" s="24"/>
      <c r="E420" s="24"/>
      <c r="F420" s="100"/>
      <c r="G420" s="133"/>
    </row>
    <row r="421" spans="1:7">
      <c r="A421" s="148"/>
      <c r="B421" s="144"/>
      <c r="C421" s="144"/>
      <c r="D421" s="52"/>
      <c r="E421" s="53"/>
      <c r="F421" s="101"/>
      <c r="G421" s="133"/>
    </row>
    <row r="422" spans="1:7">
      <c r="A422" s="148"/>
      <c r="B422" s="144"/>
      <c r="C422" s="144"/>
      <c r="D422" s="57"/>
      <c r="E422" s="53"/>
      <c r="F422" s="101"/>
      <c r="G422" s="134"/>
    </row>
  </sheetData>
  <mergeCells count="315">
    <mergeCell ref="D168:D170"/>
    <mergeCell ref="E75:E78"/>
    <mergeCell ref="F75:F78"/>
    <mergeCell ref="D37:D42"/>
    <mergeCell ref="A2:A15"/>
    <mergeCell ref="A16:A29"/>
    <mergeCell ref="A30:A46"/>
    <mergeCell ref="A47:A60"/>
    <mergeCell ref="A61:A74"/>
    <mergeCell ref="A75:A88"/>
    <mergeCell ref="D61:D64"/>
    <mergeCell ref="D75:D78"/>
    <mergeCell ref="E61:E64"/>
    <mergeCell ref="F61:F64"/>
    <mergeCell ref="A89:A102"/>
    <mergeCell ref="A103:A117"/>
    <mergeCell ref="B93:B98"/>
    <mergeCell ref="B99:B102"/>
    <mergeCell ref="B103:B106"/>
    <mergeCell ref="B107:B113"/>
    <mergeCell ref="B114:B117"/>
    <mergeCell ref="C89:C92"/>
    <mergeCell ref="C93:C98"/>
    <mergeCell ref="C99:C102"/>
    <mergeCell ref="C103:C106"/>
    <mergeCell ref="C107:C113"/>
    <mergeCell ref="C114:C117"/>
    <mergeCell ref="A118:A128"/>
    <mergeCell ref="A129:A139"/>
    <mergeCell ref="A140:A154"/>
    <mergeCell ref="A155:A171"/>
    <mergeCell ref="A172:A184"/>
    <mergeCell ref="B140:B143"/>
    <mergeCell ref="B145:B150"/>
    <mergeCell ref="B151:B154"/>
    <mergeCell ref="B155:B158"/>
    <mergeCell ref="B168:B171"/>
    <mergeCell ref="B172:B174"/>
    <mergeCell ref="B175:B180"/>
    <mergeCell ref="B181:B184"/>
    <mergeCell ref="B159:B167"/>
    <mergeCell ref="C118:C121"/>
    <mergeCell ref="C122:C124"/>
    <mergeCell ref="C125:C128"/>
    <mergeCell ref="C175:C180"/>
    <mergeCell ref="C181:C184"/>
    <mergeCell ref="C159:C167"/>
    <mergeCell ref="A185:A198"/>
    <mergeCell ref="A199:A212"/>
    <mergeCell ref="A213:A226"/>
    <mergeCell ref="A227:A240"/>
    <mergeCell ref="A241:A254"/>
    <mergeCell ref="A255:A268"/>
    <mergeCell ref="A269:A282"/>
    <mergeCell ref="A283:A296"/>
    <mergeCell ref="A297:A310"/>
    <mergeCell ref="A311:A324"/>
    <mergeCell ref="A325:A338"/>
    <mergeCell ref="A339:A352"/>
    <mergeCell ref="A353:A366"/>
    <mergeCell ref="A367:A380"/>
    <mergeCell ref="A381:A394"/>
    <mergeCell ref="A395:A408"/>
    <mergeCell ref="A409:A422"/>
    <mergeCell ref="B2:B5"/>
    <mergeCell ref="B6:B11"/>
    <mergeCell ref="B12:B15"/>
    <mergeCell ref="B16:B19"/>
    <mergeCell ref="B20:B25"/>
    <mergeCell ref="B26:B29"/>
    <mergeCell ref="B30:B36"/>
    <mergeCell ref="B37:B42"/>
    <mergeCell ref="B43:B46"/>
    <mergeCell ref="B47:B50"/>
    <mergeCell ref="B51:B56"/>
    <mergeCell ref="B57:B60"/>
    <mergeCell ref="B61:B64"/>
    <mergeCell ref="B65:B70"/>
    <mergeCell ref="B71:B74"/>
    <mergeCell ref="B75:B78"/>
    <mergeCell ref="B79:B84"/>
    <mergeCell ref="B85:B88"/>
    <mergeCell ref="B89:B92"/>
    <mergeCell ref="B118:B121"/>
    <mergeCell ref="B122:B124"/>
    <mergeCell ref="B125:B128"/>
    <mergeCell ref="B129:B132"/>
    <mergeCell ref="B133:B135"/>
    <mergeCell ref="B136:B139"/>
    <mergeCell ref="B185:B188"/>
    <mergeCell ref="B189:B194"/>
    <mergeCell ref="B195:B198"/>
    <mergeCell ref="B199:B202"/>
    <mergeCell ref="B203:B208"/>
    <mergeCell ref="B209:B212"/>
    <mergeCell ref="B213:B216"/>
    <mergeCell ref="B217:B222"/>
    <mergeCell ref="B223:B226"/>
    <mergeCell ref="B227:B230"/>
    <mergeCell ref="B231:B236"/>
    <mergeCell ref="B237:B240"/>
    <mergeCell ref="B241:B244"/>
    <mergeCell ref="B245:B250"/>
    <mergeCell ref="B251:B254"/>
    <mergeCell ref="B255:B258"/>
    <mergeCell ref="B259:B264"/>
    <mergeCell ref="B265:B268"/>
    <mergeCell ref="B269:B272"/>
    <mergeCell ref="B273:B278"/>
    <mergeCell ref="B279:B282"/>
    <mergeCell ref="B283:B286"/>
    <mergeCell ref="B287:B292"/>
    <mergeCell ref="B293:B296"/>
    <mergeCell ref="B297:B300"/>
    <mergeCell ref="B301:B306"/>
    <mergeCell ref="B307:B310"/>
    <mergeCell ref="B311:B314"/>
    <mergeCell ref="B315:B320"/>
    <mergeCell ref="B321:B324"/>
    <mergeCell ref="B325:B328"/>
    <mergeCell ref="B329:B334"/>
    <mergeCell ref="B335:B338"/>
    <mergeCell ref="B339:B342"/>
    <mergeCell ref="B343:B348"/>
    <mergeCell ref="B349:B352"/>
    <mergeCell ref="B353:B356"/>
    <mergeCell ref="B357:B362"/>
    <mergeCell ref="B363:B366"/>
    <mergeCell ref="B367:B370"/>
    <mergeCell ref="B371:B376"/>
    <mergeCell ref="B377:B380"/>
    <mergeCell ref="B381:B384"/>
    <mergeCell ref="B385:B390"/>
    <mergeCell ref="B391:B394"/>
    <mergeCell ref="B395:B398"/>
    <mergeCell ref="B399:B404"/>
    <mergeCell ref="B405:B408"/>
    <mergeCell ref="B409:B412"/>
    <mergeCell ref="B413:B418"/>
    <mergeCell ref="B419:B422"/>
    <mergeCell ref="C2:C5"/>
    <mergeCell ref="C6:C11"/>
    <mergeCell ref="C12:C15"/>
    <mergeCell ref="C16:C19"/>
    <mergeCell ref="C20:C25"/>
    <mergeCell ref="C26:C29"/>
    <mergeCell ref="C30:C36"/>
    <mergeCell ref="C37:C42"/>
    <mergeCell ref="C43:C46"/>
    <mergeCell ref="C47:C50"/>
    <mergeCell ref="C51:C56"/>
    <mergeCell ref="C57:C60"/>
    <mergeCell ref="C61:C64"/>
    <mergeCell ref="C65:C70"/>
    <mergeCell ref="C71:C74"/>
    <mergeCell ref="C75:C78"/>
    <mergeCell ref="C79:C84"/>
    <mergeCell ref="C85:C88"/>
    <mergeCell ref="C185:C188"/>
    <mergeCell ref="C189:C194"/>
    <mergeCell ref="C195:C198"/>
    <mergeCell ref="C129:C132"/>
    <mergeCell ref="C133:C135"/>
    <mergeCell ref="C136:C139"/>
    <mergeCell ref="C140:C143"/>
    <mergeCell ref="C145:C150"/>
    <mergeCell ref="C151:C154"/>
    <mergeCell ref="C155:C158"/>
    <mergeCell ref="C168:C171"/>
    <mergeCell ref="C172:C174"/>
    <mergeCell ref="C199:C202"/>
    <mergeCell ref="C203:C208"/>
    <mergeCell ref="C209:C212"/>
    <mergeCell ref="C213:C216"/>
    <mergeCell ref="C217:C222"/>
    <mergeCell ref="C223:C226"/>
    <mergeCell ref="C227:C230"/>
    <mergeCell ref="C231:C236"/>
    <mergeCell ref="C237:C240"/>
    <mergeCell ref="C241:C244"/>
    <mergeCell ref="C245:C250"/>
    <mergeCell ref="C251:C254"/>
    <mergeCell ref="C255:C258"/>
    <mergeCell ref="C259:C264"/>
    <mergeCell ref="C265:C268"/>
    <mergeCell ref="C269:C272"/>
    <mergeCell ref="C273:C278"/>
    <mergeCell ref="C279:C282"/>
    <mergeCell ref="C283:C286"/>
    <mergeCell ref="C287:C292"/>
    <mergeCell ref="C293:C296"/>
    <mergeCell ref="C297:C300"/>
    <mergeCell ref="C301:C306"/>
    <mergeCell ref="C307:C310"/>
    <mergeCell ref="C311:C314"/>
    <mergeCell ref="C315:C320"/>
    <mergeCell ref="C321:C324"/>
    <mergeCell ref="C325:C328"/>
    <mergeCell ref="C329:C334"/>
    <mergeCell ref="C335:C338"/>
    <mergeCell ref="C339:C342"/>
    <mergeCell ref="C343:C348"/>
    <mergeCell ref="C349:C352"/>
    <mergeCell ref="C353:C356"/>
    <mergeCell ref="C357:C362"/>
    <mergeCell ref="C363:C366"/>
    <mergeCell ref="C367:C370"/>
    <mergeCell ref="C371:C376"/>
    <mergeCell ref="C377:C380"/>
    <mergeCell ref="C381:C384"/>
    <mergeCell ref="C385:C390"/>
    <mergeCell ref="C391:C394"/>
    <mergeCell ref="C395:C398"/>
    <mergeCell ref="C399:C404"/>
    <mergeCell ref="C405:C408"/>
    <mergeCell ref="C409:C412"/>
    <mergeCell ref="C413:C418"/>
    <mergeCell ref="C419:C422"/>
    <mergeCell ref="G2:G5"/>
    <mergeCell ref="G6:G11"/>
    <mergeCell ref="G12:G15"/>
    <mergeCell ref="G16:G19"/>
    <mergeCell ref="G20:G25"/>
    <mergeCell ref="G26:G29"/>
    <mergeCell ref="G30:G36"/>
    <mergeCell ref="G37:G42"/>
    <mergeCell ref="G43:G46"/>
    <mergeCell ref="G47:G50"/>
    <mergeCell ref="G51:G56"/>
    <mergeCell ref="G57:G60"/>
    <mergeCell ref="G61:G64"/>
    <mergeCell ref="G65:G70"/>
    <mergeCell ref="G71:G74"/>
    <mergeCell ref="G75:G78"/>
    <mergeCell ref="G79:G84"/>
    <mergeCell ref="G85:G88"/>
    <mergeCell ref="G89:G92"/>
    <mergeCell ref="G93:G98"/>
    <mergeCell ref="G99:G102"/>
    <mergeCell ref="G103:G106"/>
    <mergeCell ref="G107:G113"/>
    <mergeCell ref="G114:G117"/>
    <mergeCell ref="G118:G121"/>
    <mergeCell ref="G122:G124"/>
    <mergeCell ref="G125:G128"/>
    <mergeCell ref="G185:G188"/>
    <mergeCell ref="G189:G194"/>
    <mergeCell ref="G195:G198"/>
    <mergeCell ref="G129:G132"/>
    <mergeCell ref="G133:G135"/>
    <mergeCell ref="G136:G139"/>
    <mergeCell ref="G140:G143"/>
    <mergeCell ref="G145:G150"/>
    <mergeCell ref="G151:G154"/>
    <mergeCell ref="G155:G158"/>
    <mergeCell ref="G159:G166"/>
    <mergeCell ref="G168:G171"/>
    <mergeCell ref="G343:G348"/>
    <mergeCell ref="G349:G352"/>
    <mergeCell ref="G353:G356"/>
    <mergeCell ref="G357:G362"/>
    <mergeCell ref="G405:G408"/>
    <mergeCell ref="G409:G412"/>
    <mergeCell ref="G413:G418"/>
    <mergeCell ref="G419:G422"/>
    <mergeCell ref="G363:G366"/>
    <mergeCell ref="G367:G370"/>
    <mergeCell ref="G371:G376"/>
    <mergeCell ref="G377:G380"/>
    <mergeCell ref="G381:G384"/>
    <mergeCell ref="G385:G390"/>
    <mergeCell ref="G391:G394"/>
    <mergeCell ref="G395:G398"/>
    <mergeCell ref="G399:G404"/>
    <mergeCell ref="G259:G264"/>
    <mergeCell ref="G265:G268"/>
    <mergeCell ref="G269:G272"/>
    <mergeCell ref="G273:G278"/>
    <mergeCell ref="G279:G282"/>
    <mergeCell ref="G339:G342"/>
    <mergeCell ref="G287:G292"/>
    <mergeCell ref="G293:G296"/>
    <mergeCell ref="G297:G300"/>
    <mergeCell ref="G301:G306"/>
    <mergeCell ref="G307:G310"/>
    <mergeCell ref="G311:G314"/>
    <mergeCell ref="G315:G320"/>
    <mergeCell ref="G321:G324"/>
    <mergeCell ref="G335:G338"/>
    <mergeCell ref="G329:G334"/>
    <mergeCell ref="G283:G286"/>
    <mergeCell ref="D119:E119"/>
    <mergeCell ref="D89:D90"/>
    <mergeCell ref="D91:D92"/>
    <mergeCell ref="F91:F92"/>
    <mergeCell ref="E91:E92"/>
    <mergeCell ref="E89:E90"/>
    <mergeCell ref="G325:G328"/>
    <mergeCell ref="G199:G202"/>
    <mergeCell ref="G203:G208"/>
    <mergeCell ref="G209:G212"/>
    <mergeCell ref="G213:G216"/>
    <mergeCell ref="G217:G222"/>
    <mergeCell ref="G223:G226"/>
    <mergeCell ref="G227:G230"/>
    <mergeCell ref="G231:G236"/>
    <mergeCell ref="G237:G240"/>
    <mergeCell ref="G172:G174"/>
    <mergeCell ref="G175:G180"/>
    <mergeCell ref="G181:G184"/>
    <mergeCell ref="G241:G244"/>
    <mergeCell ref="D159:F159"/>
    <mergeCell ref="G245:G250"/>
    <mergeCell ref="G251:G254"/>
    <mergeCell ref="G255:G258"/>
  </mergeCells>
  <phoneticPr fontId="16" type="noConversion"/>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98"/>
  <sheetViews>
    <sheetView topLeftCell="A2" workbookViewId="0">
      <pane ySplit="1" topLeftCell="A185" activePane="bottomLeft" state="frozen"/>
      <selection pane="bottomLeft" activeCell="K197" sqref="K197"/>
    </sheetView>
  </sheetViews>
  <sheetFormatPr defaultColWidth="9" defaultRowHeight="15"/>
  <cols>
    <col min="1" max="1" width="5.85546875" style="1" customWidth="1"/>
    <col min="2" max="2" width="4.28515625" customWidth="1"/>
    <col min="3" max="3" width="5.28515625" customWidth="1"/>
    <col min="4" max="4" width="5.85546875" customWidth="1"/>
    <col min="5" max="8" width="6.28515625" customWidth="1"/>
    <col min="9" max="10" width="9.140625" customWidth="1"/>
    <col min="11" max="11" width="46.28515625" style="2" customWidth="1"/>
    <col min="12" max="12" width="32" style="2" customWidth="1"/>
    <col min="13" max="13" width="15.85546875" style="3" customWidth="1"/>
    <col min="14" max="14" width="6" customWidth="1"/>
  </cols>
  <sheetData>
    <row r="1" spans="1:14">
      <c r="A1" s="200" t="s">
        <v>10</v>
      </c>
      <c r="B1" s="201"/>
      <c r="C1" s="201"/>
      <c r="D1" s="201"/>
      <c r="E1" s="201"/>
      <c r="F1" s="201"/>
      <c r="G1" s="201"/>
      <c r="H1" s="201"/>
      <c r="I1" s="201"/>
      <c r="J1" s="201"/>
      <c r="K1" s="201"/>
      <c r="L1" s="201"/>
      <c r="M1" s="10" t="s">
        <v>11</v>
      </c>
      <c r="N1" s="11"/>
    </row>
    <row r="2" spans="1:14" ht="25.5">
      <c r="A2" s="4" t="s">
        <v>0</v>
      </c>
      <c r="B2" s="5" t="s">
        <v>1</v>
      </c>
      <c r="C2" s="5" t="s">
        <v>12</v>
      </c>
      <c r="D2" s="5" t="s">
        <v>13</v>
      </c>
      <c r="E2" s="5" t="s">
        <v>14</v>
      </c>
      <c r="F2" s="5" t="s">
        <v>15</v>
      </c>
      <c r="G2" s="5" t="s">
        <v>16</v>
      </c>
      <c r="H2" s="5" t="s">
        <v>17</v>
      </c>
      <c r="I2" s="5" t="s">
        <v>2</v>
      </c>
      <c r="J2" s="5" t="s">
        <v>18</v>
      </c>
      <c r="K2" s="12" t="s">
        <v>3</v>
      </c>
      <c r="L2" s="12" t="s">
        <v>4</v>
      </c>
      <c r="M2" s="5" t="s">
        <v>5</v>
      </c>
      <c r="N2" s="13" t="s">
        <v>6</v>
      </c>
    </row>
    <row r="3" spans="1:14">
      <c r="A3" s="146">
        <v>45763</v>
      </c>
      <c r="B3" s="125" t="s">
        <v>7</v>
      </c>
      <c r="C3" s="125">
        <v>12000</v>
      </c>
      <c r="D3" s="125"/>
      <c r="E3" s="125"/>
      <c r="F3" s="6"/>
      <c r="G3" s="6"/>
      <c r="H3" s="6"/>
      <c r="I3" s="141"/>
      <c r="J3" s="141"/>
      <c r="K3" s="15"/>
      <c r="L3" s="16"/>
      <c r="M3" s="6"/>
      <c r="N3" s="128">
        <f>SUM(M3:M6)</f>
        <v>0</v>
      </c>
    </row>
    <row r="4" spans="1:14">
      <c r="A4" s="147"/>
      <c r="B4" s="145"/>
      <c r="C4" s="145"/>
      <c r="D4" s="145"/>
      <c r="E4" s="145"/>
      <c r="F4" s="7"/>
      <c r="G4" s="7"/>
      <c r="H4" s="7"/>
      <c r="I4" s="142"/>
      <c r="J4" s="142"/>
      <c r="K4" s="18"/>
      <c r="L4" s="19"/>
      <c r="M4" s="7"/>
      <c r="N4" s="128"/>
    </row>
    <row r="5" spans="1:14">
      <c r="A5" s="147"/>
      <c r="B5" s="145"/>
      <c r="C5" s="145"/>
      <c r="D5" s="145"/>
      <c r="E5" s="145"/>
      <c r="F5" s="7"/>
      <c r="G5" s="7"/>
      <c r="H5" s="7"/>
      <c r="I5" s="142"/>
      <c r="J5" s="142"/>
      <c r="K5" s="18"/>
      <c r="L5" s="19"/>
      <c r="M5" s="7"/>
      <c r="N5" s="128"/>
    </row>
    <row r="6" spans="1:14">
      <c r="A6" s="147"/>
      <c r="B6" s="145"/>
      <c r="C6" s="145"/>
      <c r="D6" s="145"/>
      <c r="E6" s="145"/>
      <c r="F6" s="7"/>
      <c r="G6" s="7"/>
      <c r="H6" s="7"/>
      <c r="I6" s="142"/>
      <c r="J6" s="142"/>
      <c r="K6" s="18"/>
      <c r="L6" s="19"/>
      <c r="M6" s="7"/>
      <c r="N6" s="125"/>
    </row>
    <row r="7" spans="1:14">
      <c r="A7" s="147"/>
      <c r="B7" s="143" t="s">
        <v>8</v>
      </c>
      <c r="C7" s="152">
        <v>12000</v>
      </c>
      <c r="D7" s="143">
        <v>6250</v>
      </c>
      <c r="E7" s="143">
        <v>0.4</v>
      </c>
      <c r="F7" s="8"/>
      <c r="G7" s="8"/>
      <c r="H7" s="8"/>
      <c r="I7" s="143" t="s">
        <v>19</v>
      </c>
      <c r="J7" s="143"/>
      <c r="K7" s="20" t="s">
        <v>20</v>
      </c>
      <c r="L7" s="21" t="s">
        <v>21</v>
      </c>
      <c r="M7" s="22">
        <v>5</v>
      </c>
      <c r="N7" s="168">
        <f>M7+M8+M9+M10+M11+M12</f>
        <v>70</v>
      </c>
    </row>
    <row r="8" spans="1:14">
      <c r="A8" s="147"/>
      <c r="B8" s="143"/>
      <c r="C8" s="153"/>
      <c r="D8" s="143"/>
      <c r="E8" s="143"/>
      <c r="F8" s="8"/>
      <c r="G8" s="8"/>
      <c r="H8" s="8"/>
      <c r="I8" s="143"/>
      <c r="J8" s="143"/>
      <c r="K8" s="20" t="s">
        <v>22</v>
      </c>
      <c r="L8" s="21" t="s">
        <v>23</v>
      </c>
      <c r="M8" s="22">
        <v>10</v>
      </c>
      <c r="N8" s="169"/>
    </row>
    <row r="9" spans="1:14">
      <c r="A9" s="147"/>
      <c r="B9" s="143"/>
      <c r="C9" s="153"/>
      <c r="D9" s="143"/>
      <c r="E9" s="143"/>
      <c r="F9" s="8"/>
      <c r="G9" s="8"/>
      <c r="H9" s="8"/>
      <c r="I9" s="143"/>
      <c r="J9" s="143"/>
      <c r="K9" s="20" t="s">
        <v>24</v>
      </c>
      <c r="L9" s="21"/>
      <c r="M9" s="22">
        <v>15</v>
      </c>
      <c r="N9" s="169"/>
    </row>
    <row r="10" spans="1:14">
      <c r="A10" s="147"/>
      <c r="B10" s="143"/>
      <c r="C10" s="153"/>
      <c r="D10" s="143"/>
      <c r="E10" s="143"/>
      <c r="F10" s="8"/>
      <c r="G10" s="8"/>
      <c r="H10" s="8"/>
      <c r="I10" s="143"/>
      <c r="J10" s="143"/>
      <c r="K10" s="20" t="s">
        <v>25</v>
      </c>
      <c r="L10" s="21" t="s">
        <v>26</v>
      </c>
      <c r="M10" s="22">
        <v>10</v>
      </c>
      <c r="N10" s="169"/>
    </row>
    <row r="11" spans="1:14">
      <c r="A11" s="147"/>
      <c r="B11" s="143"/>
      <c r="C11" s="153"/>
      <c r="D11" s="143"/>
      <c r="E11" s="143"/>
      <c r="F11" s="8"/>
      <c r="G11" s="8"/>
      <c r="H11" s="8"/>
      <c r="I11" s="143"/>
      <c r="J11" s="143"/>
      <c r="K11" s="20" t="s">
        <v>27</v>
      </c>
      <c r="L11" s="21" t="s">
        <v>28</v>
      </c>
      <c r="M11" s="22">
        <v>10</v>
      </c>
      <c r="N11" s="169"/>
    </row>
    <row r="12" spans="1:14">
      <c r="A12" s="147"/>
      <c r="B12" s="143"/>
      <c r="C12" s="154"/>
      <c r="D12" s="143"/>
      <c r="E12" s="143"/>
      <c r="F12" s="8"/>
      <c r="G12" s="8"/>
      <c r="H12" s="8"/>
      <c r="I12" s="143"/>
      <c r="J12" s="143"/>
      <c r="K12" s="20" t="s">
        <v>29</v>
      </c>
      <c r="L12" s="21"/>
      <c r="M12" s="22">
        <v>20</v>
      </c>
      <c r="N12" s="175"/>
    </row>
    <row r="13" spans="1:14">
      <c r="A13" s="148"/>
      <c r="B13" s="144" t="s">
        <v>9</v>
      </c>
      <c r="C13" s="144">
        <v>12000</v>
      </c>
      <c r="D13" s="144"/>
      <c r="E13" s="144"/>
      <c r="F13" s="9"/>
      <c r="G13" s="9"/>
      <c r="H13" s="9"/>
      <c r="I13" s="144"/>
      <c r="J13" s="144"/>
      <c r="K13" s="24"/>
      <c r="L13" s="24"/>
      <c r="M13" s="25"/>
      <c r="N13" s="26">
        <f>SUM(M13:M16)</f>
        <v>0</v>
      </c>
    </row>
    <row r="14" spans="1:14">
      <c r="A14" s="148"/>
      <c r="B14" s="144"/>
      <c r="C14" s="144"/>
      <c r="D14" s="144"/>
      <c r="E14" s="144"/>
      <c r="F14" s="9"/>
      <c r="G14" s="9"/>
      <c r="H14" s="9"/>
      <c r="I14" s="144"/>
      <c r="J14" s="144"/>
      <c r="K14" s="24"/>
      <c r="L14" s="24"/>
      <c r="M14" s="25"/>
      <c r="N14" s="27"/>
    </row>
    <row r="15" spans="1:14">
      <c r="A15" s="148"/>
      <c r="B15" s="144"/>
      <c r="C15" s="144"/>
      <c r="D15" s="144"/>
      <c r="E15" s="144"/>
      <c r="F15" s="9"/>
      <c r="G15" s="9"/>
      <c r="H15" s="9"/>
      <c r="I15" s="144"/>
      <c r="J15" s="144"/>
      <c r="K15" s="24"/>
      <c r="L15" s="24"/>
      <c r="M15" s="25"/>
      <c r="N15" s="27"/>
    </row>
    <row r="16" spans="1:14">
      <c r="A16" s="148"/>
      <c r="B16" s="144"/>
      <c r="C16" s="144"/>
      <c r="D16" s="144"/>
      <c r="E16" s="144"/>
      <c r="F16" s="9"/>
      <c r="G16" s="9"/>
      <c r="H16" s="9"/>
      <c r="I16" s="144"/>
      <c r="J16" s="144"/>
      <c r="K16" s="28"/>
      <c r="L16" s="28"/>
      <c r="M16" s="9"/>
      <c r="N16" s="29"/>
    </row>
    <row r="17" spans="1:14">
      <c r="A17" s="146">
        <v>45764</v>
      </c>
      <c r="B17" s="125" t="s">
        <v>7</v>
      </c>
      <c r="C17" s="125">
        <v>12000</v>
      </c>
      <c r="D17" s="125"/>
      <c r="E17" s="125"/>
      <c r="F17" s="6"/>
      <c r="G17" s="6"/>
      <c r="H17" s="6"/>
      <c r="I17" s="141"/>
      <c r="J17" s="141"/>
      <c r="K17" s="15"/>
      <c r="L17" s="16"/>
      <c r="M17" s="6"/>
      <c r="N17" s="128">
        <f>SUM(M17:M20)</f>
        <v>0</v>
      </c>
    </row>
    <row r="18" spans="1:14">
      <c r="A18" s="147"/>
      <c r="B18" s="145"/>
      <c r="C18" s="145"/>
      <c r="D18" s="145"/>
      <c r="E18" s="145"/>
      <c r="F18" s="7"/>
      <c r="G18" s="7"/>
      <c r="H18" s="7"/>
      <c r="I18" s="142"/>
      <c r="J18" s="142"/>
      <c r="K18" s="18"/>
      <c r="L18" s="19"/>
      <c r="M18" s="7"/>
      <c r="N18" s="128"/>
    </row>
    <row r="19" spans="1:14">
      <c r="A19" s="147"/>
      <c r="B19" s="145"/>
      <c r="C19" s="145"/>
      <c r="D19" s="145"/>
      <c r="E19" s="145"/>
      <c r="F19" s="7"/>
      <c r="G19" s="7"/>
      <c r="H19" s="7"/>
      <c r="I19" s="142"/>
      <c r="J19" s="142"/>
      <c r="K19" s="18"/>
      <c r="L19" s="19"/>
      <c r="M19" s="7"/>
      <c r="N19" s="128"/>
    </row>
    <row r="20" spans="1:14">
      <c r="A20" s="147"/>
      <c r="B20" s="145"/>
      <c r="C20" s="145"/>
      <c r="D20" s="145"/>
      <c r="E20" s="145"/>
      <c r="F20" s="7"/>
      <c r="G20" s="7"/>
      <c r="H20" s="7"/>
      <c r="I20" s="142"/>
      <c r="J20" s="142"/>
      <c r="K20" s="18"/>
      <c r="L20" s="19"/>
      <c r="M20" s="7"/>
      <c r="N20" s="125"/>
    </row>
    <row r="21" spans="1:14">
      <c r="A21" s="147"/>
      <c r="B21" s="143" t="s">
        <v>8</v>
      </c>
      <c r="C21" s="152">
        <v>12000</v>
      </c>
      <c r="D21" s="143">
        <v>4640</v>
      </c>
      <c r="E21" s="143">
        <v>0.79</v>
      </c>
      <c r="F21" s="8"/>
      <c r="G21" s="8"/>
      <c r="H21" s="8"/>
      <c r="I21" s="143" t="s">
        <v>30</v>
      </c>
      <c r="J21" s="143"/>
      <c r="K21" s="20" t="s">
        <v>31</v>
      </c>
      <c r="L21" s="20" t="s">
        <v>32</v>
      </c>
      <c r="M21" s="22">
        <v>5</v>
      </c>
      <c r="N21" s="168">
        <f>M21+M22+M23+M24+M25+M26</f>
        <v>145</v>
      </c>
    </row>
    <row r="22" spans="1:14" ht="24.75">
      <c r="A22" s="147"/>
      <c r="B22" s="143"/>
      <c r="C22" s="153"/>
      <c r="D22" s="143"/>
      <c r="E22" s="143"/>
      <c r="F22" s="8"/>
      <c r="G22" s="8"/>
      <c r="H22" s="8"/>
      <c r="I22" s="143"/>
      <c r="J22" s="143"/>
      <c r="K22" s="20" t="s">
        <v>33</v>
      </c>
      <c r="L22" s="20" t="s">
        <v>34</v>
      </c>
      <c r="M22" s="22">
        <v>80</v>
      </c>
      <c r="N22" s="169"/>
    </row>
    <row r="23" spans="1:14">
      <c r="A23" s="147"/>
      <c r="B23" s="143"/>
      <c r="C23" s="153"/>
      <c r="D23" s="143"/>
      <c r="E23" s="143"/>
      <c r="F23" s="8"/>
      <c r="G23" s="8"/>
      <c r="H23" s="8"/>
      <c r="I23" s="143"/>
      <c r="J23" s="143"/>
      <c r="K23" s="20" t="s">
        <v>35</v>
      </c>
      <c r="L23" s="20" t="s">
        <v>36</v>
      </c>
      <c r="M23" s="22">
        <v>5</v>
      </c>
      <c r="N23" s="169"/>
    </row>
    <row r="24" spans="1:14" ht="24.75">
      <c r="A24" s="147"/>
      <c r="B24" s="143"/>
      <c r="C24" s="153"/>
      <c r="D24" s="143"/>
      <c r="E24" s="143"/>
      <c r="F24" s="8"/>
      <c r="G24" s="8"/>
      <c r="H24" s="8"/>
      <c r="I24" s="143"/>
      <c r="J24" s="143"/>
      <c r="K24" s="20" t="s">
        <v>37</v>
      </c>
      <c r="L24" s="20" t="s">
        <v>38</v>
      </c>
      <c r="M24" s="22">
        <v>10</v>
      </c>
      <c r="N24" s="169"/>
    </row>
    <row r="25" spans="1:14">
      <c r="A25" s="147"/>
      <c r="B25" s="143"/>
      <c r="C25" s="153"/>
      <c r="D25" s="143"/>
      <c r="E25" s="143"/>
      <c r="F25" s="8"/>
      <c r="G25" s="8"/>
      <c r="H25" s="8"/>
      <c r="I25" s="143"/>
      <c r="J25" s="143"/>
      <c r="K25" s="20" t="s">
        <v>39</v>
      </c>
      <c r="L25" s="20" t="s">
        <v>40</v>
      </c>
      <c r="M25" s="22"/>
      <c r="N25" s="169"/>
    </row>
    <row r="26" spans="1:14">
      <c r="A26" s="147"/>
      <c r="B26" s="143"/>
      <c r="C26" s="154"/>
      <c r="D26" s="143"/>
      <c r="E26" s="143"/>
      <c r="F26" s="8"/>
      <c r="G26" s="8"/>
      <c r="H26" s="8"/>
      <c r="I26" s="143"/>
      <c r="J26" s="143"/>
      <c r="K26" s="20" t="s">
        <v>41</v>
      </c>
      <c r="L26" s="20"/>
      <c r="M26" s="22">
        <v>45</v>
      </c>
      <c r="N26" s="175"/>
    </row>
    <row r="27" spans="1:14">
      <c r="A27" s="148"/>
      <c r="B27" s="144" t="s">
        <v>9</v>
      </c>
      <c r="C27" s="144">
        <v>12000</v>
      </c>
      <c r="D27" s="144"/>
      <c r="E27" s="144"/>
      <c r="F27" s="9"/>
      <c r="G27" s="9"/>
      <c r="H27" s="9"/>
      <c r="I27" s="144"/>
      <c r="J27" s="144"/>
      <c r="K27" s="24"/>
      <c r="L27" s="24"/>
      <c r="M27" s="25"/>
      <c r="N27" s="132">
        <f>SUM(M27:M30)</f>
        <v>0</v>
      </c>
    </row>
    <row r="28" spans="1:14">
      <c r="A28" s="148"/>
      <c r="B28" s="144"/>
      <c r="C28" s="144"/>
      <c r="D28" s="144"/>
      <c r="E28" s="144"/>
      <c r="F28" s="9"/>
      <c r="G28" s="9"/>
      <c r="H28" s="9"/>
      <c r="I28" s="144"/>
      <c r="J28" s="144"/>
      <c r="K28" s="24"/>
      <c r="L28" s="24"/>
      <c r="M28" s="25"/>
      <c r="N28" s="133"/>
    </row>
    <row r="29" spans="1:14">
      <c r="A29" s="148"/>
      <c r="B29" s="144"/>
      <c r="C29" s="144"/>
      <c r="D29" s="144"/>
      <c r="E29" s="144"/>
      <c r="F29" s="9"/>
      <c r="G29" s="9"/>
      <c r="H29" s="9"/>
      <c r="I29" s="144"/>
      <c r="J29" s="144"/>
      <c r="K29" s="24"/>
      <c r="L29" s="24"/>
      <c r="M29" s="25"/>
      <c r="N29" s="133"/>
    </row>
    <row r="30" spans="1:14">
      <c r="A30" s="148"/>
      <c r="B30" s="144"/>
      <c r="C30" s="144"/>
      <c r="D30" s="144"/>
      <c r="E30" s="144"/>
      <c r="F30" s="9"/>
      <c r="G30" s="9"/>
      <c r="H30" s="9"/>
      <c r="I30" s="144"/>
      <c r="J30" s="144"/>
      <c r="K30" s="28"/>
      <c r="L30" s="28"/>
      <c r="M30" s="9"/>
      <c r="N30" s="134"/>
    </row>
    <row r="31" spans="1:14">
      <c r="A31" s="146">
        <v>45765</v>
      </c>
      <c r="B31" s="125" t="s">
        <v>7</v>
      </c>
      <c r="C31" s="125">
        <v>12000</v>
      </c>
      <c r="D31" s="125"/>
      <c r="E31" s="125"/>
      <c r="F31" s="6"/>
      <c r="G31" s="6"/>
      <c r="H31" s="6"/>
      <c r="I31" s="141"/>
      <c r="J31" s="141"/>
      <c r="K31" s="15"/>
      <c r="L31" s="16"/>
      <c r="M31" s="6"/>
      <c r="N31" s="128">
        <f>SUM(M31:M34)</f>
        <v>0</v>
      </c>
    </row>
    <row r="32" spans="1:14">
      <c r="A32" s="147"/>
      <c r="B32" s="145"/>
      <c r="C32" s="145"/>
      <c r="D32" s="145"/>
      <c r="E32" s="145"/>
      <c r="F32" s="7"/>
      <c r="G32" s="7"/>
      <c r="H32" s="7"/>
      <c r="I32" s="142"/>
      <c r="J32" s="142"/>
      <c r="K32" s="18"/>
      <c r="L32" s="19"/>
      <c r="M32" s="7"/>
      <c r="N32" s="128"/>
    </row>
    <row r="33" spans="1:14">
      <c r="A33" s="147"/>
      <c r="B33" s="145"/>
      <c r="C33" s="145"/>
      <c r="D33" s="145"/>
      <c r="E33" s="145"/>
      <c r="F33" s="7"/>
      <c r="G33" s="7"/>
      <c r="H33" s="7"/>
      <c r="I33" s="142"/>
      <c r="J33" s="142"/>
      <c r="K33" s="18"/>
      <c r="L33" s="19"/>
      <c r="M33" s="7"/>
      <c r="N33" s="128"/>
    </row>
    <row r="34" spans="1:14">
      <c r="A34" s="147"/>
      <c r="B34" s="145"/>
      <c r="C34" s="145"/>
      <c r="D34" s="145"/>
      <c r="E34" s="145"/>
      <c r="F34" s="7"/>
      <c r="G34" s="7"/>
      <c r="H34" s="7"/>
      <c r="I34" s="142"/>
      <c r="J34" s="142"/>
      <c r="K34" s="18"/>
      <c r="L34" s="19"/>
      <c r="M34" s="7"/>
      <c r="N34" s="125"/>
    </row>
    <row r="35" spans="1:14">
      <c r="A35" s="147"/>
      <c r="B35" s="143" t="s">
        <v>8</v>
      </c>
      <c r="C35" s="152">
        <v>12000</v>
      </c>
      <c r="D35" s="143">
        <v>7701</v>
      </c>
      <c r="E35" s="143">
        <v>0.21</v>
      </c>
      <c r="F35" s="8"/>
      <c r="G35" s="8"/>
      <c r="H35" s="8"/>
      <c r="I35" s="143" t="s">
        <v>42</v>
      </c>
      <c r="J35" s="143"/>
      <c r="K35" s="20" t="s">
        <v>41</v>
      </c>
      <c r="L35" s="20"/>
      <c r="M35" s="22">
        <v>45</v>
      </c>
      <c r="N35" s="129">
        <f>SUM(M35:M39)</f>
        <v>65</v>
      </c>
    </row>
    <row r="36" spans="1:14">
      <c r="A36" s="147"/>
      <c r="B36" s="143"/>
      <c r="C36" s="153"/>
      <c r="D36" s="143"/>
      <c r="E36" s="143"/>
      <c r="F36" s="8"/>
      <c r="G36" s="8"/>
      <c r="H36" s="8"/>
      <c r="I36" s="143"/>
      <c r="J36" s="143"/>
      <c r="K36" s="20" t="s">
        <v>43</v>
      </c>
      <c r="L36" s="20" t="s">
        <v>44</v>
      </c>
      <c r="M36" s="22">
        <v>15</v>
      </c>
      <c r="N36" s="130"/>
    </row>
    <row r="37" spans="1:14">
      <c r="A37" s="147"/>
      <c r="B37" s="143"/>
      <c r="C37" s="153"/>
      <c r="D37" s="143"/>
      <c r="E37" s="143"/>
      <c r="F37" s="8"/>
      <c r="G37" s="8"/>
      <c r="H37" s="8"/>
      <c r="I37" s="143"/>
      <c r="J37" s="143"/>
      <c r="K37" s="20" t="s">
        <v>45</v>
      </c>
      <c r="L37" s="20"/>
      <c r="M37" s="22"/>
      <c r="N37" s="130"/>
    </row>
    <row r="38" spans="1:14">
      <c r="A38" s="147"/>
      <c r="B38" s="143"/>
      <c r="C38" s="153"/>
      <c r="D38" s="143"/>
      <c r="E38" s="143"/>
      <c r="F38" s="8"/>
      <c r="G38" s="8"/>
      <c r="H38" s="8"/>
      <c r="I38" s="143"/>
      <c r="J38" s="143"/>
      <c r="K38" s="20" t="s">
        <v>39</v>
      </c>
      <c r="L38" s="20" t="s">
        <v>46</v>
      </c>
      <c r="M38" s="22"/>
      <c r="N38" s="130"/>
    </row>
    <row r="39" spans="1:14">
      <c r="A39" s="147"/>
      <c r="B39" s="143"/>
      <c r="C39" s="153"/>
      <c r="D39" s="143"/>
      <c r="E39" s="143"/>
      <c r="F39" s="8"/>
      <c r="G39" s="8"/>
      <c r="H39" s="8"/>
      <c r="I39" s="143"/>
      <c r="J39" s="143"/>
      <c r="K39" s="20" t="s">
        <v>47</v>
      </c>
      <c r="L39" s="20" t="s">
        <v>48</v>
      </c>
      <c r="M39" s="22">
        <v>5</v>
      </c>
      <c r="N39" s="130"/>
    </row>
    <row r="40" spans="1:14">
      <c r="A40" s="147"/>
      <c r="B40" s="143"/>
      <c r="C40" s="154"/>
      <c r="D40" s="143"/>
      <c r="E40" s="143"/>
      <c r="F40" s="8"/>
      <c r="G40" s="8"/>
      <c r="H40" s="8"/>
      <c r="I40" s="143"/>
      <c r="J40" s="143"/>
      <c r="K40" s="20"/>
      <c r="L40" s="20"/>
      <c r="M40" s="22"/>
      <c r="N40" s="131"/>
    </row>
    <row r="41" spans="1:14">
      <c r="A41" s="148"/>
      <c r="B41" s="144" t="s">
        <v>9</v>
      </c>
      <c r="C41" s="144">
        <v>12000</v>
      </c>
      <c r="D41" s="144"/>
      <c r="E41" s="144"/>
      <c r="F41" s="9"/>
      <c r="G41" s="9"/>
      <c r="H41" s="9"/>
      <c r="I41" s="144"/>
      <c r="J41" s="144"/>
      <c r="K41" s="24"/>
      <c r="L41" s="24"/>
      <c r="M41" s="25"/>
      <c r="N41" s="132">
        <f>SUM(M41:M44)</f>
        <v>0</v>
      </c>
    </row>
    <row r="42" spans="1:14">
      <c r="A42" s="148"/>
      <c r="B42" s="144"/>
      <c r="C42" s="144"/>
      <c r="D42" s="144"/>
      <c r="E42" s="144"/>
      <c r="F42" s="9"/>
      <c r="G42" s="9"/>
      <c r="H42" s="9"/>
      <c r="I42" s="144"/>
      <c r="J42" s="144"/>
      <c r="K42" s="24"/>
      <c r="L42" s="24"/>
      <c r="M42" s="25"/>
      <c r="N42" s="133"/>
    </row>
    <row r="43" spans="1:14">
      <c r="A43" s="148"/>
      <c r="B43" s="144"/>
      <c r="C43" s="144"/>
      <c r="D43" s="144"/>
      <c r="E43" s="144"/>
      <c r="F43" s="9"/>
      <c r="G43" s="9"/>
      <c r="H43" s="9"/>
      <c r="I43" s="144"/>
      <c r="J43" s="144"/>
      <c r="K43" s="24"/>
      <c r="L43" s="24"/>
      <c r="M43" s="25"/>
      <c r="N43" s="133"/>
    </row>
    <row r="44" spans="1:14">
      <c r="A44" s="148"/>
      <c r="B44" s="144"/>
      <c r="C44" s="144"/>
      <c r="D44" s="144"/>
      <c r="E44" s="144"/>
      <c r="F44" s="9"/>
      <c r="G44" s="9"/>
      <c r="H44" s="9"/>
      <c r="I44" s="144"/>
      <c r="J44" s="144"/>
      <c r="K44" s="28"/>
      <c r="L44" s="28"/>
      <c r="M44" s="9"/>
      <c r="N44" s="134"/>
    </row>
    <row r="45" spans="1:14">
      <c r="A45" s="146">
        <v>45766</v>
      </c>
      <c r="B45" s="125" t="s">
        <v>7</v>
      </c>
      <c r="C45" s="125">
        <v>12000</v>
      </c>
      <c r="D45" s="125"/>
      <c r="E45" s="125"/>
      <c r="F45" s="6"/>
      <c r="G45" s="6"/>
      <c r="H45" s="6"/>
      <c r="I45" s="141"/>
      <c r="J45" s="141"/>
      <c r="K45" s="15"/>
      <c r="L45" s="16"/>
      <c r="M45" s="6"/>
      <c r="N45" s="128">
        <f>SUM(M45:M48)</f>
        <v>0</v>
      </c>
    </row>
    <row r="46" spans="1:14">
      <c r="A46" s="147"/>
      <c r="B46" s="145"/>
      <c r="C46" s="145"/>
      <c r="D46" s="145"/>
      <c r="E46" s="145"/>
      <c r="F46" s="7"/>
      <c r="G46" s="7"/>
      <c r="H46" s="7"/>
      <c r="I46" s="142"/>
      <c r="J46" s="142"/>
      <c r="K46" s="18"/>
      <c r="L46" s="19"/>
      <c r="M46" s="7"/>
      <c r="N46" s="128"/>
    </row>
    <row r="47" spans="1:14">
      <c r="A47" s="147"/>
      <c r="B47" s="145"/>
      <c r="C47" s="145"/>
      <c r="D47" s="145"/>
      <c r="E47" s="145"/>
      <c r="F47" s="7"/>
      <c r="G47" s="7"/>
      <c r="H47" s="7"/>
      <c r="I47" s="142"/>
      <c r="J47" s="142"/>
      <c r="K47" s="18"/>
      <c r="L47" s="19"/>
      <c r="M47" s="7"/>
      <c r="N47" s="128"/>
    </row>
    <row r="48" spans="1:14">
      <c r="A48" s="147"/>
      <c r="B48" s="145"/>
      <c r="C48" s="145"/>
      <c r="D48" s="145"/>
      <c r="E48" s="145"/>
      <c r="F48" s="7"/>
      <c r="G48" s="7"/>
      <c r="H48" s="7"/>
      <c r="I48" s="142"/>
      <c r="J48" s="142"/>
      <c r="K48" s="18"/>
      <c r="L48" s="19"/>
      <c r="M48" s="7"/>
      <c r="N48" s="125"/>
    </row>
    <row r="49" spans="1:14" ht="24.75">
      <c r="A49" s="147"/>
      <c r="B49" s="143" t="s">
        <v>8</v>
      </c>
      <c r="C49" s="152">
        <v>12000</v>
      </c>
      <c r="D49" s="143">
        <v>5350</v>
      </c>
      <c r="E49" s="143">
        <v>0.6</v>
      </c>
      <c r="F49" s="8"/>
      <c r="G49" s="8"/>
      <c r="H49" s="8"/>
      <c r="I49" s="143" t="s">
        <v>30</v>
      </c>
      <c r="J49" s="143"/>
      <c r="K49" s="20" t="s">
        <v>49</v>
      </c>
      <c r="L49" s="20" t="s">
        <v>50</v>
      </c>
      <c r="M49" s="22"/>
      <c r="N49" s="168">
        <f>SUM(M49:M52)</f>
        <v>10</v>
      </c>
    </row>
    <row r="50" spans="1:14">
      <c r="A50" s="147"/>
      <c r="B50" s="143"/>
      <c r="C50" s="153"/>
      <c r="D50" s="143"/>
      <c r="E50" s="143"/>
      <c r="F50" s="8"/>
      <c r="G50" s="8"/>
      <c r="H50" s="8"/>
      <c r="I50" s="143"/>
      <c r="J50" s="143"/>
      <c r="K50" s="20" t="s">
        <v>51</v>
      </c>
      <c r="L50" s="20" t="s">
        <v>52</v>
      </c>
      <c r="M50" s="22">
        <v>5</v>
      </c>
      <c r="N50" s="169"/>
    </row>
    <row r="51" spans="1:14">
      <c r="A51" s="147"/>
      <c r="B51" s="143"/>
      <c r="C51" s="153"/>
      <c r="D51" s="143"/>
      <c r="E51" s="143"/>
      <c r="F51" s="8"/>
      <c r="G51" s="8"/>
      <c r="H51" s="8"/>
      <c r="I51" s="143"/>
      <c r="J51" s="143"/>
      <c r="K51" s="20" t="s">
        <v>53</v>
      </c>
      <c r="L51" s="20" t="s">
        <v>52</v>
      </c>
      <c r="M51" s="22">
        <v>3</v>
      </c>
      <c r="N51" s="169"/>
    </row>
    <row r="52" spans="1:14">
      <c r="A52" s="147"/>
      <c r="B52" s="143"/>
      <c r="C52" s="153"/>
      <c r="D52" s="143"/>
      <c r="E52" s="143"/>
      <c r="F52" s="8"/>
      <c r="G52" s="8"/>
      <c r="H52" s="8"/>
      <c r="I52" s="143"/>
      <c r="J52" s="143"/>
      <c r="K52" s="20" t="s">
        <v>54</v>
      </c>
      <c r="L52" s="20" t="s">
        <v>36</v>
      </c>
      <c r="M52" s="22">
        <v>2</v>
      </c>
      <c r="N52" s="169"/>
    </row>
    <row r="53" spans="1:14">
      <c r="A53" s="148"/>
      <c r="B53" s="144" t="s">
        <v>9</v>
      </c>
      <c r="C53" s="144">
        <v>12000</v>
      </c>
      <c r="D53" s="144"/>
      <c r="E53" s="144"/>
      <c r="F53" s="9"/>
      <c r="G53" s="9"/>
      <c r="H53" s="9"/>
      <c r="I53" s="144"/>
      <c r="J53" s="144"/>
      <c r="K53" s="24"/>
      <c r="L53" s="24"/>
      <c r="M53" s="25"/>
      <c r="N53" s="132">
        <f>SUM(M53:M56)</f>
        <v>0</v>
      </c>
    </row>
    <row r="54" spans="1:14">
      <c r="A54" s="148"/>
      <c r="B54" s="144"/>
      <c r="C54" s="144"/>
      <c r="D54" s="144"/>
      <c r="E54" s="144"/>
      <c r="F54" s="9"/>
      <c r="G54" s="9"/>
      <c r="H54" s="9"/>
      <c r="I54" s="144"/>
      <c r="J54" s="144"/>
      <c r="K54" s="24"/>
      <c r="L54" s="24"/>
      <c r="M54" s="25"/>
      <c r="N54" s="133"/>
    </row>
    <row r="55" spans="1:14">
      <c r="A55" s="148"/>
      <c r="B55" s="144"/>
      <c r="C55" s="144"/>
      <c r="D55" s="144"/>
      <c r="E55" s="144"/>
      <c r="F55" s="9"/>
      <c r="G55" s="9"/>
      <c r="H55" s="9"/>
      <c r="I55" s="144"/>
      <c r="J55" s="144"/>
      <c r="K55" s="24"/>
      <c r="L55" s="24"/>
      <c r="M55" s="25"/>
      <c r="N55" s="133"/>
    </row>
    <row r="56" spans="1:14">
      <c r="A56" s="148"/>
      <c r="B56" s="144"/>
      <c r="C56" s="144"/>
      <c r="D56" s="144"/>
      <c r="E56" s="144"/>
      <c r="F56" s="9"/>
      <c r="G56" s="9"/>
      <c r="H56" s="9"/>
      <c r="I56" s="144"/>
      <c r="J56" s="144"/>
      <c r="K56" s="28"/>
      <c r="L56" s="28"/>
      <c r="M56" s="9"/>
      <c r="N56" s="134"/>
    </row>
    <row r="57" spans="1:14">
      <c r="A57" s="146">
        <v>45767</v>
      </c>
      <c r="B57" s="125" t="s">
        <v>7</v>
      </c>
      <c r="C57" s="125">
        <v>12000</v>
      </c>
      <c r="D57" s="125">
        <v>5980</v>
      </c>
      <c r="E57" s="125">
        <v>0.1</v>
      </c>
      <c r="F57" s="6"/>
      <c r="G57" s="6"/>
      <c r="H57" s="6"/>
      <c r="I57" s="141" t="s">
        <v>30</v>
      </c>
      <c r="J57" s="141"/>
      <c r="K57" s="15" t="s">
        <v>55</v>
      </c>
      <c r="L57" s="16" t="s">
        <v>21</v>
      </c>
      <c r="M57" s="6">
        <v>4</v>
      </c>
      <c r="N57" s="128">
        <f>SUM(M57:M61)</f>
        <v>35</v>
      </c>
    </row>
    <row r="58" spans="1:14">
      <c r="A58" s="147"/>
      <c r="B58" s="145"/>
      <c r="C58" s="145"/>
      <c r="D58" s="145"/>
      <c r="E58" s="145"/>
      <c r="F58" s="7"/>
      <c r="G58" s="7"/>
      <c r="H58" s="7"/>
      <c r="I58" s="142"/>
      <c r="J58" s="142"/>
      <c r="K58" s="18" t="s">
        <v>56</v>
      </c>
      <c r="L58" s="19" t="s">
        <v>21</v>
      </c>
      <c r="M58" s="7">
        <v>5</v>
      </c>
      <c r="N58" s="128"/>
    </row>
    <row r="59" spans="1:14">
      <c r="A59" s="147"/>
      <c r="B59" s="145"/>
      <c r="C59" s="145"/>
      <c r="D59" s="145"/>
      <c r="E59" s="145"/>
      <c r="F59" s="7"/>
      <c r="G59" s="7"/>
      <c r="H59" s="7"/>
      <c r="I59" s="142"/>
      <c r="J59" s="142"/>
      <c r="K59" s="18" t="s">
        <v>57</v>
      </c>
      <c r="L59" s="19" t="s">
        <v>21</v>
      </c>
      <c r="M59" s="7">
        <v>3</v>
      </c>
      <c r="N59" s="128"/>
    </row>
    <row r="60" spans="1:14">
      <c r="A60" s="147"/>
      <c r="B60" s="145"/>
      <c r="C60" s="145"/>
      <c r="D60" s="145"/>
      <c r="E60" s="145"/>
      <c r="F60" s="7"/>
      <c r="G60" s="7"/>
      <c r="H60" s="7"/>
      <c r="I60" s="142"/>
      <c r="J60" s="142"/>
      <c r="K60" s="18" t="s">
        <v>58</v>
      </c>
      <c r="L60" s="19" t="s">
        <v>21</v>
      </c>
      <c r="M60" s="7">
        <v>3</v>
      </c>
      <c r="N60" s="128"/>
    </row>
    <row r="61" spans="1:14">
      <c r="A61" s="147"/>
      <c r="B61" s="145"/>
      <c r="C61" s="145"/>
      <c r="D61" s="145"/>
      <c r="E61" s="145"/>
      <c r="F61" s="7"/>
      <c r="G61" s="7"/>
      <c r="H61" s="7"/>
      <c r="I61" s="142"/>
      <c r="J61" s="142"/>
      <c r="K61" s="18" t="s">
        <v>59</v>
      </c>
      <c r="L61" s="19" t="s">
        <v>60</v>
      </c>
      <c r="M61" s="7">
        <v>20</v>
      </c>
      <c r="N61" s="125"/>
    </row>
    <row r="62" spans="1:14">
      <c r="A62" s="147"/>
      <c r="B62" s="143" t="s">
        <v>8</v>
      </c>
      <c r="C62" s="152">
        <v>12000</v>
      </c>
      <c r="D62" s="143"/>
      <c r="E62" s="143"/>
      <c r="F62" s="8"/>
      <c r="G62" s="8"/>
      <c r="H62" s="8"/>
      <c r="I62" s="143"/>
      <c r="J62" s="143"/>
      <c r="K62" s="20"/>
      <c r="L62" s="20"/>
      <c r="M62" s="22"/>
      <c r="N62" s="129"/>
    </row>
    <row r="63" spans="1:14">
      <c r="A63" s="147"/>
      <c r="B63" s="143"/>
      <c r="C63" s="153"/>
      <c r="D63" s="143"/>
      <c r="E63" s="143"/>
      <c r="F63" s="8"/>
      <c r="G63" s="8"/>
      <c r="H63" s="8"/>
      <c r="I63" s="143"/>
      <c r="J63" s="143"/>
      <c r="K63" s="20"/>
      <c r="L63" s="20"/>
      <c r="M63" s="22"/>
      <c r="N63" s="130"/>
    </row>
    <row r="64" spans="1:14">
      <c r="A64" s="147"/>
      <c r="B64" s="143"/>
      <c r="C64" s="153"/>
      <c r="D64" s="143"/>
      <c r="E64" s="143"/>
      <c r="F64" s="8"/>
      <c r="G64" s="8"/>
      <c r="H64" s="8"/>
      <c r="I64" s="143"/>
      <c r="J64" s="143"/>
      <c r="K64" s="20"/>
      <c r="L64" s="20"/>
      <c r="M64" s="22"/>
      <c r="N64" s="130"/>
    </row>
    <row r="65" spans="1:14">
      <c r="A65" s="147"/>
      <c r="B65" s="143"/>
      <c r="C65" s="153"/>
      <c r="D65" s="143"/>
      <c r="E65" s="143"/>
      <c r="F65" s="8"/>
      <c r="G65" s="8"/>
      <c r="H65" s="8"/>
      <c r="I65" s="143"/>
      <c r="J65" s="143"/>
      <c r="K65" s="20"/>
      <c r="L65" s="20"/>
      <c r="M65" s="22"/>
      <c r="N65" s="130"/>
    </row>
    <row r="66" spans="1:14">
      <c r="A66" s="147"/>
      <c r="B66" s="143"/>
      <c r="C66" s="153"/>
      <c r="D66" s="143"/>
      <c r="E66" s="143"/>
      <c r="F66" s="8"/>
      <c r="G66" s="8"/>
      <c r="H66" s="8"/>
      <c r="I66" s="143"/>
      <c r="J66" s="143"/>
      <c r="K66" s="20"/>
      <c r="L66" s="20"/>
      <c r="M66" s="22"/>
      <c r="N66" s="130"/>
    </row>
    <row r="67" spans="1:14">
      <c r="A67" s="147"/>
      <c r="B67" s="143"/>
      <c r="C67" s="154"/>
      <c r="D67" s="143"/>
      <c r="E67" s="143"/>
      <c r="F67" s="8"/>
      <c r="G67" s="8"/>
      <c r="H67" s="8"/>
      <c r="I67" s="143"/>
      <c r="J67" s="143"/>
      <c r="K67" s="20"/>
      <c r="L67" s="20"/>
      <c r="M67" s="22"/>
      <c r="N67" s="131"/>
    </row>
    <row r="68" spans="1:14" ht="48">
      <c r="A68" s="148"/>
      <c r="B68" s="144" t="s">
        <v>9</v>
      </c>
      <c r="C68" s="144">
        <v>12000</v>
      </c>
      <c r="D68" s="144">
        <v>6992</v>
      </c>
      <c r="E68" s="144">
        <v>0.11</v>
      </c>
      <c r="F68" s="9"/>
      <c r="G68" s="9"/>
      <c r="H68" s="9"/>
      <c r="I68" s="144" t="s">
        <v>61</v>
      </c>
      <c r="J68" s="144"/>
      <c r="K68" s="24" t="s">
        <v>62</v>
      </c>
      <c r="L68" s="24" t="s">
        <v>63</v>
      </c>
      <c r="M68" s="9">
        <v>25</v>
      </c>
      <c r="N68" s="132">
        <v>118</v>
      </c>
    </row>
    <row r="69" spans="1:14" ht="84">
      <c r="A69" s="148"/>
      <c r="B69" s="144"/>
      <c r="C69" s="144"/>
      <c r="D69" s="144"/>
      <c r="E69" s="144"/>
      <c r="F69" s="9"/>
      <c r="G69" s="9"/>
      <c r="H69" s="9"/>
      <c r="I69" s="144"/>
      <c r="J69" s="144"/>
      <c r="K69" s="24" t="s">
        <v>64</v>
      </c>
      <c r="L69" s="24" t="s">
        <v>65</v>
      </c>
      <c r="M69" s="9">
        <v>38</v>
      </c>
      <c r="N69" s="133"/>
    </row>
    <row r="70" spans="1:14">
      <c r="A70" s="148"/>
      <c r="B70" s="144"/>
      <c r="C70" s="144"/>
      <c r="D70" s="144"/>
      <c r="E70" s="144"/>
      <c r="F70" s="9"/>
      <c r="G70" s="9"/>
      <c r="H70" s="9"/>
      <c r="I70" s="144"/>
      <c r="J70" s="144"/>
      <c r="K70" s="24" t="s">
        <v>66</v>
      </c>
      <c r="L70" s="24" t="s">
        <v>67</v>
      </c>
      <c r="M70" s="9"/>
      <c r="N70" s="133"/>
    </row>
    <row r="71" spans="1:14">
      <c r="A71" s="148"/>
      <c r="B71" s="144"/>
      <c r="C71" s="144"/>
      <c r="D71" s="144"/>
      <c r="E71" s="144"/>
      <c r="F71" s="9"/>
      <c r="G71" s="9"/>
      <c r="H71" s="9"/>
      <c r="I71" s="144"/>
      <c r="J71" s="144"/>
      <c r="K71" s="24" t="s">
        <v>68</v>
      </c>
      <c r="L71" s="24" t="s">
        <v>69</v>
      </c>
      <c r="M71" s="9">
        <v>15</v>
      </c>
      <c r="N71" s="133"/>
    </row>
    <row r="72" spans="1:14" ht="24">
      <c r="A72" s="148"/>
      <c r="B72" s="144"/>
      <c r="C72" s="144"/>
      <c r="D72" s="144"/>
      <c r="E72" s="144"/>
      <c r="F72" s="9"/>
      <c r="G72" s="9"/>
      <c r="H72" s="9"/>
      <c r="I72" s="144"/>
      <c r="J72" s="144"/>
      <c r="K72" s="24" t="s">
        <v>70</v>
      </c>
      <c r="L72" s="24" t="s">
        <v>71</v>
      </c>
      <c r="M72" s="9">
        <v>15</v>
      </c>
      <c r="N72" s="133"/>
    </row>
    <row r="73" spans="1:14" ht="24">
      <c r="A73" s="148"/>
      <c r="B73" s="144"/>
      <c r="C73" s="144"/>
      <c r="D73" s="144"/>
      <c r="E73" s="144"/>
      <c r="F73" s="9"/>
      <c r="G73" s="9"/>
      <c r="H73" s="9"/>
      <c r="I73" s="144"/>
      <c r="J73" s="144"/>
      <c r="K73" s="28" t="s">
        <v>72</v>
      </c>
      <c r="L73" s="28" t="s">
        <v>73</v>
      </c>
      <c r="M73" s="9">
        <v>25</v>
      </c>
      <c r="N73" s="134"/>
    </row>
    <row r="74" spans="1:14">
      <c r="A74" s="209">
        <v>45768</v>
      </c>
      <c r="B74" s="191" t="s">
        <v>7</v>
      </c>
      <c r="C74" s="191">
        <v>12000</v>
      </c>
      <c r="D74" s="191"/>
      <c r="E74" s="191"/>
      <c r="F74" s="31"/>
      <c r="G74" s="31"/>
      <c r="H74" s="31"/>
      <c r="I74" s="183"/>
      <c r="J74" s="183"/>
      <c r="K74" s="37"/>
      <c r="L74" s="38"/>
      <c r="M74" s="7"/>
      <c r="N74" s="128"/>
    </row>
    <row r="75" spans="1:14">
      <c r="A75" s="210"/>
      <c r="B75" s="192"/>
      <c r="C75" s="192"/>
      <c r="D75" s="192"/>
      <c r="E75" s="192"/>
      <c r="F75" s="32"/>
      <c r="G75" s="32"/>
      <c r="H75" s="32"/>
      <c r="I75" s="184"/>
      <c r="J75" s="184"/>
      <c r="K75" s="39"/>
      <c r="L75" s="40"/>
      <c r="M75" s="7"/>
      <c r="N75" s="128"/>
    </row>
    <row r="76" spans="1:14">
      <c r="A76" s="210"/>
      <c r="B76" s="192"/>
      <c r="C76" s="192"/>
      <c r="D76" s="192"/>
      <c r="E76" s="192"/>
      <c r="F76" s="32"/>
      <c r="G76" s="32"/>
      <c r="H76" s="32"/>
      <c r="I76" s="184"/>
      <c r="J76" s="184"/>
      <c r="K76" s="39"/>
      <c r="L76" s="40"/>
      <c r="M76" s="7"/>
      <c r="N76" s="128"/>
    </row>
    <row r="77" spans="1:14">
      <c r="A77" s="210"/>
      <c r="B77" s="192"/>
      <c r="C77" s="192"/>
      <c r="D77" s="192"/>
      <c r="E77" s="192"/>
      <c r="F77" s="32"/>
      <c r="G77" s="32"/>
      <c r="H77" s="32"/>
      <c r="I77" s="184"/>
      <c r="J77" s="184"/>
      <c r="K77" s="39"/>
      <c r="L77" s="40"/>
      <c r="M77" s="7"/>
      <c r="N77" s="125"/>
    </row>
    <row r="78" spans="1:14">
      <c r="A78" s="210"/>
      <c r="B78" s="185" t="s">
        <v>8</v>
      </c>
      <c r="C78" s="197">
        <v>12000</v>
      </c>
      <c r="D78" s="185"/>
      <c r="E78" s="185"/>
      <c r="F78" s="33"/>
      <c r="G78" s="33"/>
      <c r="H78" s="33"/>
      <c r="I78" s="185"/>
      <c r="J78" s="185"/>
      <c r="K78" s="20"/>
      <c r="L78" s="20"/>
      <c r="M78" s="22"/>
      <c r="N78" s="129"/>
    </row>
    <row r="79" spans="1:14">
      <c r="A79" s="210"/>
      <c r="B79" s="185"/>
      <c r="C79" s="198"/>
      <c r="D79" s="185"/>
      <c r="E79" s="185"/>
      <c r="F79" s="33"/>
      <c r="G79" s="33"/>
      <c r="H79" s="33"/>
      <c r="I79" s="185"/>
      <c r="J79" s="185"/>
      <c r="K79" s="20"/>
      <c r="L79" s="20"/>
      <c r="M79" s="22"/>
      <c r="N79" s="130"/>
    </row>
    <row r="80" spans="1:14">
      <c r="A80" s="210"/>
      <c r="B80" s="185"/>
      <c r="C80" s="198"/>
      <c r="D80" s="185"/>
      <c r="E80" s="185"/>
      <c r="F80" s="33"/>
      <c r="G80" s="33"/>
      <c r="H80" s="33"/>
      <c r="I80" s="185"/>
      <c r="J80" s="185"/>
      <c r="K80" s="20"/>
      <c r="L80" s="20"/>
      <c r="M80" s="22"/>
      <c r="N80" s="130"/>
    </row>
    <row r="81" spans="1:14">
      <c r="A81" s="210"/>
      <c r="B81" s="185"/>
      <c r="C81" s="198"/>
      <c r="D81" s="185"/>
      <c r="E81" s="185"/>
      <c r="F81" s="33"/>
      <c r="G81" s="33"/>
      <c r="H81" s="33"/>
      <c r="I81" s="185"/>
      <c r="J81" s="185"/>
      <c r="K81" s="20"/>
      <c r="L81" s="20"/>
      <c r="M81" s="22"/>
      <c r="N81" s="130"/>
    </row>
    <row r="82" spans="1:14">
      <c r="A82" s="210"/>
      <c r="B82" s="185"/>
      <c r="C82" s="198"/>
      <c r="D82" s="185"/>
      <c r="E82" s="185"/>
      <c r="F82" s="33"/>
      <c r="G82" s="33"/>
      <c r="H82" s="33"/>
      <c r="I82" s="185"/>
      <c r="J82" s="185"/>
      <c r="K82" s="20"/>
      <c r="L82" s="20"/>
      <c r="M82" s="22"/>
      <c r="N82" s="130"/>
    </row>
    <row r="83" spans="1:14">
      <c r="A83" s="210"/>
      <c r="B83" s="185"/>
      <c r="C83" s="199"/>
      <c r="D83" s="185"/>
      <c r="E83" s="185"/>
      <c r="F83" s="33"/>
      <c r="G83" s="33"/>
      <c r="H83" s="33"/>
      <c r="I83" s="185"/>
      <c r="J83" s="185"/>
      <c r="K83" s="20"/>
      <c r="L83" s="20"/>
      <c r="M83" s="22"/>
      <c r="N83" s="131"/>
    </row>
    <row r="84" spans="1:14" ht="36">
      <c r="A84" s="211"/>
      <c r="B84" s="186" t="s">
        <v>9</v>
      </c>
      <c r="C84" s="186">
        <v>12000</v>
      </c>
      <c r="D84" s="186">
        <v>7050</v>
      </c>
      <c r="E84" s="186">
        <v>0.13</v>
      </c>
      <c r="F84" s="34"/>
      <c r="G84" s="34"/>
      <c r="H84" s="34"/>
      <c r="I84" s="186" t="s">
        <v>61</v>
      </c>
      <c r="J84" s="186"/>
      <c r="K84" s="41" t="s">
        <v>74</v>
      </c>
      <c r="L84" s="41" t="s">
        <v>75</v>
      </c>
      <c r="M84" s="9">
        <v>15</v>
      </c>
      <c r="N84" s="132">
        <f>SUM(M84:M89)</f>
        <v>122</v>
      </c>
    </row>
    <row r="85" spans="1:14" ht="36">
      <c r="A85" s="211"/>
      <c r="B85" s="186"/>
      <c r="C85" s="186"/>
      <c r="D85" s="186"/>
      <c r="E85" s="186"/>
      <c r="F85" s="34"/>
      <c r="G85" s="34"/>
      <c r="H85" s="34"/>
      <c r="I85" s="186"/>
      <c r="J85" s="186"/>
      <c r="K85" s="41" t="s">
        <v>76</v>
      </c>
      <c r="L85" s="41" t="s">
        <v>77</v>
      </c>
      <c r="M85" s="9">
        <v>25</v>
      </c>
      <c r="N85" s="133"/>
    </row>
    <row r="86" spans="1:14" ht="24">
      <c r="A86" s="211"/>
      <c r="B86" s="186"/>
      <c r="C86" s="186"/>
      <c r="D86" s="186"/>
      <c r="E86" s="186"/>
      <c r="F86" s="34"/>
      <c r="G86" s="34"/>
      <c r="H86" s="34"/>
      <c r="I86" s="186"/>
      <c r="J86" s="186"/>
      <c r="K86" s="41" t="s">
        <v>78</v>
      </c>
      <c r="L86" s="41" t="s">
        <v>79</v>
      </c>
      <c r="M86" s="9">
        <v>21</v>
      </c>
      <c r="N86" s="133"/>
    </row>
    <row r="87" spans="1:14" ht="24">
      <c r="A87" s="211"/>
      <c r="B87" s="186"/>
      <c r="C87" s="186"/>
      <c r="D87" s="186"/>
      <c r="E87" s="186"/>
      <c r="F87" s="34"/>
      <c r="G87" s="34"/>
      <c r="H87" s="34"/>
      <c r="I87" s="186"/>
      <c r="J87" s="186"/>
      <c r="K87" s="41" t="s">
        <v>80</v>
      </c>
      <c r="L87" s="41" t="s">
        <v>81</v>
      </c>
      <c r="M87" s="9">
        <v>30</v>
      </c>
      <c r="N87" s="133"/>
    </row>
    <row r="88" spans="1:14" ht="36">
      <c r="A88" s="211"/>
      <c r="B88" s="186"/>
      <c r="C88" s="186"/>
      <c r="D88" s="186"/>
      <c r="E88" s="186"/>
      <c r="F88" s="34"/>
      <c r="G88" s="34"/>
      <c r="H88" s="34"/>
      <c r="I88" s="186"/>
      <c r="J88" s="186"/>
      <c r="K88" s="41" t="s">
        <v>82</v>
      </c>
      <c r="L88" s="41" t="s">
        <v>83</v>
      </c>
      <c r="M88" s="9"/>
      <c r="N88" s="133"/>
    </row>
    <row r="89" spans="1:14" ht="36">
      <c r="A89" s="211"/>
      <c r="B89" s="186"/>
      <c r="C89" s="186"/>
      <c r="D89" s="186"/>
      <c r="E89" s="186"/>
      <c r="F89" s="34"/>
      <c r="G89" s="34"/>
      <c r="H89" s="34"/>
      <c r="I89" s="186"/>
      <c r="J89" s="186"/>
      <c r="K89" s="42" t="s">
        <v>84</v>
      </c>
      <c r="L89" s="42" t="s">
        <v>85</v>
      </c>
      <c r="M89" s="9">
        <v>31</v>
      </c>
      <c r="N89" s="134"/>
    </row>
    <row r="90" spans="1:14">
      <c r="A90" s="212">
        <v>45769</v>
      </c>
      <c r="B90" s="125" t="s">
        <v>7</v>
      </c>
      <c r="C90" s="125">
        <v>12000</v>
      </c>
      <c r="D90" s="125"/>
      <c r="E90" s="125"/>
      <c r="F90" s="6"/>
      <c r="G90" s="6"/>
      <c r="H90" s="6"/>
      <c r="I90" s="141"/>
      <c r="J90" s="141"/>
      <c r="K90" s="15"/>
      <c r="L90" s="16"/>
      <c r="M90" s="7"/>
      <c r="N90" s="128"/>
    </row>
    <row r="91" spans="1:14">
      <c r="A91" s="213"/>
      <c r="B91" s="145"/>
      <c r="C91" s="145"/>
      <c r="D91" s="145"/>
      <c r="E91" s="145"/>
      <c r="F91" s="7"/>
      <c r="G91" s="7"/>
      <c r="H91" s="7"/>
      <c r="I91" s="142"/>
      <c r="J91" s="142"/>
      <c r="K91" s="18"/>
      <c r="L91" s="19"/>
      <c r="M91" s="7"/>
      <c r="N91" s="128"/>
    </row>
    <row r="92" spans="1:14">
      <c r="A92" s="213"/>
      <c r="B92" s="145"/>
      <c r="C92" s="145"/>
      <c r="D92" s="145"/>
      <c r="E92" s="145"/>
      <c r="F92" s="7"/>
      <c r="G92" s="7"/>
      <c r="H92" s="7"/>
      <c r="I92" s="142"/>
      <c r="J92" s="142"/>
      <c r="K92" s="18"/>
      <c r="L92" s="19"/>
      <c r="M92" s="7"/>
      <c r="N92" s="128"/>
    </row>
    <row r="93" spans="1:14">
      <c r="A93" s="213"/>
      <c r="B93" s="145"/>
      <c r="C93" s="145"/>
      <c r="D93" s="145"/>
      <c r="E93" s="145"/>
      <c r="F93" s="7"/>
      <c r="G93" s="7"/>
      <c r="H93" s="7"/>
      <c r="I93" s="142"/>
      <c r="J93" s="142"/>
      <c r="K93" s="18"/>
      <c r="L93" s="19"/>
      <c r="M93" s="7"/>
      <c r="N93" s="128"/>
    </row>
    <row r="94" spans="1:14">
      <c r="A94" s="213"/>
      <c r="B94" s="145"/>
      <c r="C94" s="145"/>
      <c r="D94" s="145"/>
      <c r="E94" s="145"/>
      <c r="F94" s="7"/>
      <c r="G94" s="7"/>
      <c r="H94" s="7"/>
      <c r="I94" s="142"/>
      <c r="J94" s="142"/>
      <c r="K94" s="18"/>
      <c r="L94" s="19"/>
      <c r="M94" s="7"/>
      <c r="N94" s="125"/>
    </row>
    <row r="95" spans="1:14">
      <c r="A95" s="213"/>
      <c r="B95" s="143" t="s">
        <v>8</v>
      </c>
      <c r="C95" s="152">
        <v>12000</v>
      </c>
      <c r="D95" s="143">
        <v>8094</v>
      </c>
      <c r="E95" s="143">
        <v>0.3</v>
      </c>
      <c r="F95" s="152">
        <v>0</v>
      </c>
      <c r="G95" s="152">
        <v>0</v>
      </c>
      <c r="H95" s="152">
        <v>0</v>
      </c>
      <c r="I95" s="143" t="s">
        <v>19</v>
      </c>
      <c r="J95" s="143"/>
      <c r="K95" s="43" t="s">
        <v>86</v>
      </c>
      <c r="L95" s="43" t="s">
        <v>87</v>
      </c>
      <c r="M95" s="44">
        <v>30</v>
      </c>
      <c r="N95" s="173">
        <f>SUM(M95:M99)</f>
        <v>80</v>
      </c>
    </row>
    <row r="96" spans="1:14">
      <c r="A96" s="213"/>
      <c r="B96" s="143"/>
      <c r="C96" s="153"/>
      <c r="D96" s="143"/>
      <c r="E96" s="143"/>
      <c r="F96" s="153"/>
      <c r="G96" s="153"/>
      <c r="H96" s="153"/>
      <c r="I96" s="143"/>
      <c r="J96" s="143"/>
      <c r="K96" s="43" t="s">
        <v>88</v>
      </c>
      <c r="L96" s="43"/>
      <c r="M96" s="44">
        <v>45</v>
      </c>
      <c r="N96" s="174"/>
    </row>
    <row r="97" spans="1:14">
      <c r="A97" s="213"/>
      <c r="B97" s="143"/>
      <c r="C97" s="153"/>
      <c r="D97" s="143"/>
      <c r="E97" s="143"/>
      <c r="F97" s="153"/>
      <c r="G97" s="153"/>
      <c r="H97" s="153"/>
      <c r="I97" s="143"/>
      <c r="J97" s="143"/>
      <c r="K97" s="43" t="s">
        <v>89</v>
      </c>
      <c r="L97" s="43" t="s">
        <v>90</v>
      </c>
      <c r="M97" s="44">
        <v>5</v>
      </c>
      <c r="N97" s="174"/>
    </row>
    <row r="98" spans="1:14" ht="24.75">
      <c r="A98" s="213"/>
      <c r="B98" s="143"/>
      <c r="C98" s="153"/>
      <c r="D98" s="143"/>
      <c r="E98" s="143"/>
      <c r="F98" s="153"/>
      <c r="G98" s="153"/>
      <c r="H98" s="153"/>
      <c r="I98" s="143"/>
      <c r="J98" s="143"/>
      <c r="K98" s="43" t="s">
        <v>91</v>
      </c>
      <c r="L98" s="45" t="s">
        <v>92</v>
      </c>
      <c r="M98" s="44"/>
      <c r="N98" s="174"/>
    </row>
    <row r="99" spans="1:14">
      <c r="A99" s="213"/>
      <c r="B99" s="143"/>
      <c r="C99" s="153"/>
      <c r="D99" s="143"/>
      <c r="E99" s="143"/>
      <c r="F99" s="153"/>
      <c r="G99" s="153"/>
      <c r="H99" s="153"/>
      <c r="I99" s="143"/>
      <c r="J99" s="143"/>
      <c r="K99" s="43"/>
      <c r="L99" s="43"/>
      <c r="M99" s="44"/>
      <c r="N99" s="174"/>
    </row>
    <row r="100" spans="1:14" ht="36">
      <c r="A100" s="213"/>
      <c r="B100" s="149" t="s">
        <v>9</v>
      </c>
      <c r="C100" s="149">
        <v>12000</v>
      </c>
      <c r="D100" s="149">
        <v>8422</v>
      </c>
      <c r="E100" s="149">
        <v>0.22</v>
      </c>
      <c r="F100" s="149">
        <v>0</v>
      </c>
      <c r="G100" s="149">
        <v>0</v>
      </c>
      <c r="H100" s="149">
        <v>0</v>
      </c>
      <c r="I100" s="149" t="s">
        <v>61</v>
      </c>
      <c r="J100" s="149"/>
      <c r="K100" s="24" t="s">
        <v>93</v>
      </c>
      <c r="L100" s="24" t="s">
        <v>94</v>
      </c>
      <c r="M100" s="9">
        <v>35</v>
      </c>
      <c r="N100" s="132">
        <v>102</v>
      </c>
    </row>
    <row r="101" spans="1:14" ht="24">
      <c r="A101" s="213"/>
      <c r="B101" s="150"/>
      <c r="C101" s="150"/>
      <c r="D101" s="150"/>
      <c r="E101" s="150"/>
      <c r="F101" s="150"/>
      <c r="G101" s="150"/>
      <c r="H101" s="150"/>
      <c r="I101" s="150"/>
      <c r="J101" s="150"/>
      <c r="K101" s="24" t="s">
        <v>95</v>
      </c>
      <c r="L101" s="24" t="s">
        <v>96</v>
      </c>
      <c r="M101" s="9">
        <v>20</v>
      </c>
      <c r="N101" s="133"/>
    </row>
    <row r="102" spans="1:14" ht="36">
      <c r="A102" s="213"/>
      <c r="B102" s="150"/>
      <c r="C102" s="150"/>
      <c r="D102" s="150"/>
      <c r="E102" s="150"/>
      <c r="F102" s="150"/>
      <c r="G102" s="150"/>
      <c r="H102" s="150"/>
      <c r="I102" s="150"/>
      <c r="J102" s="150"/>
      <c r="K102" s="24" t="s">
        <v>97</v>
      </c>
      <c r="L102" s="24" t="s">
        <v>98</v>
      </c>
      <c r="M102" s="9">
        <v>21</v>
      </c>
      <c r="N102" s="133"/>
    </row>
    <row r="103" spans="1:14" ht="24">
      <c r="A103" s="213"/>
      <c r="B103" s="150"/>
      <c r="C103" s="150"/>
      <c r="D103" s="150"/>
      <c r="E103" s="150"/>
      <c r="F103" s="150"/>
      <c r="G103" s="150"/>
      <c r="H103" s="150"/>
      <c r="I103" s="150"/>
      <c r="J103" s="150"/>
      <c r="K103" s="28" t="s">
        <v>99</v>
      </c>
      <c r="L103" s="28" t="s">
        <v>100</v>
      </c>
      <c r="M103" s="9">
        <v>12</v>
      </c>
      <c r="N103" s="134"/>
    </row>
    <row r="104" spans="1:14" ht="24">
      <c r="A104" s="146"/>
      <c r="B104" s="151"/>
      <c r="C104" s="151"/>
      <c r="D104" s="151"/>
      <c r="E104" s="151"/>
      <c r="F104" s="151"/>
      <c r="G104" s="151"/>
      <c r="H104" s="151"/>
      <c r="I104" s="151"/>
      <c r="J104" s="151"/>
      <c r="K104" s="24" t="s">
        <v>101</v>
      </c>
      <c r="L104" s="46" t="s">
        <v>102</v>
      </c>
      <c r="M104" s="9">
        <v>14</v>
      </c>
      <c r="N104" s="30"/>
    </row>
    <row r="105" spans="1:14">
      <c r="A105" s="146">
        <v>45770</v>
      </c>
      <c r="B105" s="6" t="s">
        <v>7</v>
      </c>
      <c r="C105" s="6">
        <v>12000</v>
      </c>
      <c r="D105" s="6">
        <v>8002</v>
      </c>
      <c r="E105" s="6">
        <v>0.01</v>
      </c>
      <c r="F105" s="36">
        <v>0</v>
      </c>
      <c r="G105" s="36">
        <v>0</v>
      </c>
      <c r="H105" s="36">
        <v>0</v>
      </c>
      <c r="I105" s="14" t="s">
        <v>103</v>
      </c>
      <c r="J105" s="14"/>
      <c r="K105" s="15" t="s">
        <v>104</v>
      </c>
      <c r="L105" s="16" t="s">
        <v>105</v>
      </c>
      <c r="M105" s="7">
        <v>15</v>
      </c>
      <c r="N105" s="17">
        <f>SUM(M105:M105)</f>
        <v>15</v>
      </c>
    </row>
    <row r="106" spans="1:14">
      <c r="A106" s="147"/>
      <c r="B106" s="143" t="s">
        <v>8</v>
      </c>
      <c r="C106" s="152">
        <v>12000</v>
      </c>
      <c r="D106" s="143">
        <v>11510</v>
      </c>
      <c r="E106" s="143">
        <v>0.28000000000000003</v>
      </c>
      <c r="F106" s="152">
        <v>0</v>
      </c>
      <c r="G106" s="152">
        <v>0</v>
      </c>
      <c r="H106" s="152">
        <v>0</v>
      </c>
      <c r="I106" s="143" t="s">
        <v>19</v>
      </c>
      <c r="J106" s="143"/>
      <c r="K106" s="47" t="s">
        <v>88</v>
      </c>
      <c r="L106" s="47" t="s">
        <v>106</v>
      </c>
      <c r="M106" s="22">
        <v>45</v>
      </c>
      <c r="N106" s="168">
        <f>SUM(M106:M108)</f>
        <v>55</v>
      </c>
    </row>
    <row r="107" spans="1:14">
      <c r="A107" s="147"/>
      <c r="B107" s="143"/>
      <c r="C107" s="153"/>
      <c r="D107" s="143"/>
      <c r="E107" s="143"/>
      <c r="F107" s="153"/>
      <c r="G107" s="153"/>
      <c r="H107" s="153"/>
      <c r="I107" s="143"/>
      <c r="J107" s="143"/>
      <c r="K107" s="47" t="s">
        <v>107</v>
      </c>
      <c r="L107" s="47" t="s">
        <v>106</v>
      </c>
      <c r="M107" s="22"/>
      <c r="N107" s="169"/>
    </row>
    <row r="108" spans="1:14" ht="24.75">
      <c r="A108" s="147"/>
      <c r="B108" s="143"/>
      <c r="C108" s="153"/>
      <c r="D108" s="143"/>
      <c r="E108" s="143"/>
      <c r="F108" s="153"/>
      <c r="G108" s="153"/>
      <c r="H108" s="153"/>
      <c r="I108" s="143"/>
      <c r="J108" s="143"/>
      <c r="K108" s="47" t="s">
        <v>108</v>
      </c>
      <c r="L108" s="47" t="s">
        <v>109</v>
      </c>
      <c r="M108" s="22">
        <v>10</v>
      </c>
      <c r="N108" s="175"/>
    </row>
    <row r="109" spans="1:14" ht="24">
      <c r="A109" s="148"/>
      <c r="B109" s="144" t="s">
        <v>9</v>
      </c>
      <c r="C109" s="144">
        <v>12000</v>
      </c>
      <c r="D109" s="144">
        <v>6824</v>
      </c>
      <c r="E109" s="144">
        <v>0.31</v>
      </c>
      <c r="F109" s="149">
        <v>2</v>
      </c>
      <c r="G109" s="149">
        <v>2</v>
      </c>
      <c r="H109" s="149">
        <v>0</v>
      </c>
      <c r="I109" s="144" t="s">
        <v>61</v>
      </c>
      <c r="J109" s="144"/>
      <c r="K109" s="24" t="s">
        <v>110</v>
      </c>
      <c r="L109" s="24" t="s">
        <v>111</v>
      </c>
      <c r="M109" s="9">
        <v>12</v>
      </c>
      <c r="N109" s="132">
        <f>SUM(M109:M111)</f>
        <v>43</v>
      </c>
    </row>
    <row r="110" spans="1:14">
      <c r="A110" s="148"/>
      <c r="B110" s="144"/>
      <c r="C110" s="144"/>
      <c r="D110" s="144"/>
      <c r="E110" s="144"/>
      <c r="F110" s="150"/>
      <c r="G110" s="150"/>
      <c r="H110" s="150"/>
      <c r="I110" s="144"/>
      <c r="J110" s="144"/>
      <c r="K110" s="24" t="s">
        <v>112</v>
      </c>
      <c r="L110" s="24" t="s">
        <v>113</v>
      </c>
      <c r="M110" s="9">
        <v>20</v>
      </c>
      <c r="N110" s="133"/>
    </row>
    <row r="111" spans="1:14">
      <c r="A111" s="148"/>
      <c r="B111" s="144"/>
      <c r="C111" s="144"/>
      <c r="D111" s="144"/>
      <c r="E111" s="144"/>
      <c r="F111" s="150"/>
      <c r="G111" s="150"/>
      <c r="H111" s="150"/>
      <c r="I111" s="144"/>
      <c r="J111" s="144"/>
      <c r="K111" s="24" t="s">
        <v>114</v>
      </c>
      <c r="L111" s="24" t="s">
        <v>115</v>
      </c>
      <c r="M111" s="9">
        <v>11</v>
      </c>
      <c r="N111" s="133"/>
    </row>
    <row r="112" spans="1:14">
      <c r="A112" s="148"/>
      <c r="B112" s="144"/>
      <c r="C112" s="144"/>
      <c r="D112" s="144"/>
      <c r="E112" s="144"/>
      <c r="F112" s="150"/>
      <c r="G112" s="150"/>
      <c r="H112" s="150"/>
      <c r="I112" s="144"/>
      <c r="J112" s="144"/>
      <c r="K112" s="24" t="s">
        <v>116</v>
      </c>
      <c r="L112" s="24" t="s">
        <v>117</v>
      </c>
      <c r="M112" s="9">
        <v>10</v>
      </c>
      <c r="N112" s="133"/>
    </row>
    <row r="113" spans="1:16" ht="36">
      <c r="A113" s="148"/>
      <c r="B113" s="144"/>
      <c r="C113" s="144"/>
      <c r="D113" s="144"/>
      <c r="E113" s="144"/>
      <c r="F113" s="151"/>
      <c r="G113" s="151"/>
      <c r="H113" s="151"/>
      <c r="I113" s="144"/>
      <c r="J113" s="144"/>
      <c r="K113" s="28" t="s">
        <v>118</v>
      </c>
      <c r="L113" s="28"/>
      <c r="M113" s="9"/>
      <c r="N113" s="134"/>
    </row>
    <row r="114" spans="1:16">
      <c r="A114" s="146">
        <v>45771</v>
      </c>
      <c r="B114" s="125" t="s">
        <v>7</v>
      </c>
      <c r="C114" s="125">
        <v>12000</v>
      </c>
      <c r="D114" s="125"/>
      <c r="E114" s="125"/>
      <c r="F114" s="125"/>
      <c r="G114" s="125"/>
      <c r="H114" s="125"/>
      <c r="I114" s="141" t="s">
        <v>103</v>
      </c>
      <c r="J114" s="141"/>
      <c r="K114" s="16" t="s">
        <v>119</v>
      </c>
      <c r="L114" s="16" t="s">
        <v>120</v>
      </c>
      <c r="M114" s="7">
        <v>5</v>
      </c>
      <c r="N114" s="128">
        <f>SUM(M113:M116)</f>
        <v>15</v>
      </c>
    </row>
    <row r="115" spans="1:16" ht="24">
      <c r="A115" s="147"/>
      <c r="B115" s="145"/>
      <c r="C115" s="145"/>
      <c r="D115" s="145"/>
      <c r="E115" s="145"/>
      <c r="F115" s="145"/>
      <c r="G115" s="145"/>
      <c r="H115" s="145"/>
      <c r="I115" s="142"/>
      <c r="J115" s="142"/>
      <c r="K115" s="19" t="s">
        <v>121</v>
      </c>
      <c r="L115" s="19" t="s">
        <v>122</v>
      </c>
      <c r="M115" s="7">
        <v>10</v>
      </c>
      <c r="N115" s="128"/>
      <c r="P115" t="s">
        <v>123</v>
      </c>
    </row>
    <row r="116" spans="1:16" ht="24">
      <c r="A116" s="147"/>
      <c r="B116" s="145"/>
      <c r="C116" s="145"/>
      <c r="D116" s="145"/>
      <c r="E116" s="145"/>
      <c r="F116" s="145"/>
      <c r="G116" s="145"/>
      <c r="H116" s="145"/>
      <c r="I116" s="142"/>
      <c r="J116" s="142"/>
      <c r="K116" s="19" t="s">
        <v>124</v>
      </c>
      <c r="L116" s="19" t="s">
        <v>125</v>
      </c>
      <c r="M116" s="7"/>
      <c r="N116" s="128"/>
      <c r="P116" t="s">
        <v>126</v>
      </c>
    </row>
    <row r="117" spans="1:16">
      <c r="A117" s="147"/>
      <c r="B117" s="145"/>
      <c r="C117" s="145"/>
      <c r="D117" s="145"/>
      <c r="E117" s="145"/>
      <c r="F117" s="145"/>
      <c r="G117" s="145"/>
      <c r="H117" s="145"/>
      <c r="I117" s="142"/>
      <c r="J117" s="142"/>
      <c r="K117" s="18" t="s">
        <v>127</v>
      </c>
      <c r="L117" s="19"/>
      <c r="M117" s="7"/>
      <c r="N117" s="125"/>
    </row>
    <row r="118" spans="1:16">
      <c r="A118" s="147"/>
      <c r="B118" s="143" t="s">
        <v>8</v>
      </c>
      <c r="C118" s="152">
        <v>12000</v>
      </c>
      <c r="D118" s="143">
        <v>6856</v>
      </c>
      <c r="E118" s="143">
        <v>0.15</v>
      </c>
      <c r="F118" s="152">
        <v>0</v>
      </c>
      <c r="G118" s="152">
        <v>0</v>
      </c>
      <c r="H118" s="152">
        <v>0</v>
      </c>
      <c r="I118" s="143" t="s">
        <v>42</v>
      </c>
      <c r="J118" s="143"/>
      <c r="K118" s="47" t="s">
        <v>88</v>
      </c>
      <c r="L118" s="47" t="s">
        <v>106</v>
      </c>
      <c r="M118" s="22">
        <v>45</v>
      </c>
      <c r="N118" s="168">
        <f>SUM(M118:M122)</f>
        <v>55</v>
      </c>
    </row>
    <row r="119" spans="1:16">
      <c r="A119" s="147"/>
      <c r="B119" s="143"/>
      <c r="C119" s="153"/>
      <c r="D119" s="143"/>
      <c r="E119" s="143"/>
      <c r="F119" s="153"/>
      <c r="G119" s="153"/>
      <c r="H119" s="153"/>
      <c r="I119" s="143"/>
      <c r="J119" s="143"/>
      <c r="K119" s="20" t="s">
        <v>128</v>
      </c>
      <c r="L119" s="20" t="s">
        <v>129</v>
      </c>
      <c r="M119" s="22"/>
      <c r="N119" s="169"/>
    </row>
    <row r="120" spans="1:16">
      <c r="A120" s="147"/>
      <c r="B120" s="143"/>
      <c r="C120" s="153"/>
      <c r="D120" s="143"/>
      <c r="E120" s="143"/>
      <c r="F120" s="153"/>
      <c r="G120" s="153"/>
      <c r="H120" s="153"/>
      <c r="I120" s="143"/>
      <c r="J120" s="143"/>
      <c r="K120" s="20" t="s">
        <v>55</v>
      </c>
      <c r="L120" s="20" t="s">
        <v>130</v>
      </c>
      <c r="M120" s="22">
        <v>10</v>
      </c>
      <c r="N120" s="169"/>
    </row>
    <row r="121" spans="1:16">
      <c r="A121" s="147"/>
      <c r="B121" s="143"/>
      <c r="C121" s="153"/>
      <c r="D121" s="143"/>
      <c r="E121" s="143"/>
      <c r="F121" s="153"/>
      <c r="G121" s="153"/>
      <c r="H121" s="153"/>
      <c r="I121" s="143"/>
      <c r="J121" s="143"/>
      <c r="K121" s="20"/>
      <c r="L121" s="20" t="s">
        <v>131</v>
      </c>
      <c r="M121" s="22"/>
      <c r="N121" s="169"/>
    </row>
    <row r="122" spans="1:16">
      <c r="A122" s="147"/>
      <c r="B122" s="143"/>
      <c r="C122" s="153"/>
      <c r="D122" s="143"/>
      <c r="E122" s="143"/>
      <c r="F122" s="153"/>
      <c r="G122" s="153"/>
      <c r="H122" s="153"/>
      <c r="I122" s="143"/>
      <c r="J122" s="143"/>
      <c r="K122" s="20"/>
      <c r="L122" s="47" t="s">
        <v>107</v>
      </c>
      <c r="M122" s="22"/>
      <c r="N122" s="169"/>
    </row>
    <row r="123" spans="1:16">
      <c r="A123" s="148"/>
      <c r="B123" s="144" t="s">
        <v>9</v>
      </c>
      <c r="C123" s="144">
        <v>12000</v>
      </c>
      <c r="D123" s="144">
        <v>8000</v>
      </c>
      <c r="E123" s="144">
        <v>0.5</v>
      </c>
      <c r="F123" s="144">
        <v>0</v>
      </c>
      <c r="G123" s="144">
        <v>0</v>
      </c>
      <c r="H123" s="144">
        <v>0</v>
      </c>
      <c r="I123" s="144" t="s">
        <v>132</v>
      </c>
      <c r="J123" s="144"/>
      <c r="K123" s="24" t="s">
        <v>133</v>
      </c>
      <c r="L123" s="24" t="s">
        <v>134</v>
      </c>
      <c r="M123" s="25"/>
      <c r="N123" s="132">
        <f>SUM(M123:M125)</f>
        <v>0</v>
      </c>
    </row>
    <row r="124" spans="1:16">
      <c r="A124" s="148"/>
      <c r="B124" s="144"/>
      <c r="C124" s="144"/>
      <c r="D124" s="144"/>
      <c r="E124" s="144"/>
      <c r="F124" s="144"/>
      <c r="G124" s="144"/>
      <c r="H124" s="144"/>
      <c r="I124" s="144"/>
      <c r="J124" s="144"/>
      <c r="K124" s="24" t="s">
        <v>110</v>
      </c>
      <c r="L124" s="24" t="s">
        <v>135</v>
      </c>
      <c r="M124" s="25"/>
      <c r="N124" s="133"/>
    </row>
    <row r="125" spans="1:16">
      <c r="A125" s="148"/>
      <c r="B125" s="144"/>
      <c r="C125" s="144"/>
      <c r="D125" s="144"/>
      <c r="E125" s="144"/>
      <c r="F125" s="144"/>
      <c r="G125" s="144"/>
      <c r="H125" s="144"/>
      <c r="I125" s="144"/>
      <c r="J125" s="144"/>
      <c r="K125" s="24"/>
      <c r="L125" s="24"/>
      <c r="M125" s="9"/>
      <c r="N125" s="133"/>
    </row>
    <row r="126" spans="1:16">
      <c r="A126" s="148"/>
      <c r="B126" s="144"/>
      <c r="C126" s="144"/>
      <c r="D126" s="144"/>
      <c r="E126" s="144"/>
      <c r="F126" s="144"/>
      <c r="G126" s="144"/>
      <c r="H126" s="144"/>
      <c r="I126" s="144"/>
      <c r="J126" s="144"/>
      <c r="K126" s="28"/>
      <c r="L126" s="28"/>
      <c r="M126" s="9"/>
      <c r="N126" s="134"/>
    </row>
    <row r="127" spans="1:16" ht="24">
      <c r="A127" s="146">
        <v>45772</v>
      </c>
      <c r="B127" s="125" t="s">
        <v>7</v>
      </c>
      <c r="C127" s="125">
        <v>12000</v>
      </c>
      <c r="D127" s="125">
        <v>6096</v>
      </c>
      <c r="E127" s="125">
        <v>0.01</v>
      </c>
      <c r="F127" s="125">
        <v>0</v>
      </c>
      <c r="G127" s="125">
        <v>0</v>
      </c>
      <c r="H127" s="125">
        <v>0</v>
      </c>
      <c r="I127" s="141" t="s">
        <v>103</v>
      </c>
      <c r="J127" s="141"/>
      <c r="K127" s="15" t="s">
        <v>136</v>
      </c>
      <c r="L127" s="16" t="s">
        <v>137</v>
      </c>
      <c r="M127" s="7">
        <v>25</v>
      </c>
      <c r="N127" s="128">
        <f>SUM(M126:M129)</f>
        <v>25</v>
      </c>
    </row>
    <row r="128" spans="1:16">
      <c r="A128" s="147"/>
      <c r="B128" s="145"/>
      <c r="C128" s="145"/>
      <c r="D128" s="145"/>
      <c r="E128" s="145"/>
      <c r="F128" s="145"/>
      <c r="G128" s="145"/>
      <c r="H128" s="145"/>
      <c r="I128" s="142"/>
      <c r="J128" s="142"/>
      <c r="K128" s="18"/>
      <c r="L128" s="19"/>
      <c r="M128" s="7"/>
      <c r="N128" s="128"/>
    </row>
    <row r="129" spans="1:14">
      <c r="A129" s="147"/>
      <c r="B129" s="145"/>
      <c r="C129" s="145"/>
      <c r="D129" s="145"/>
      <c r="E129" s="145"/>
      <c r="F129" s="145"/>
      <c r="G129" s="145"/>
      <c r="H129" s="145"/>
      <c r="I129" s="142"/>
      <c r="J129" s="142"/>
      <c r="K129" s="18"/>
      <c r="L129" s="19"/>
      <c r="M129" s="7"/>
      <c r="N129" s="128"/>
    </row>
    <row r="130" spans="1:14">
      <c r="A130" s="147"/>
      <c r="B130" s="145"/>
      <c r="C130" s="145"/>
      <c r="D130" s="145"/>
      <c r="E130" s="145"/>
      <c r="F130" s="145"/>
      <c r="G130" s="145"/>
      <c r="H130" s="145"/>
      <c r="I130" s="142"/>
      <c r="J130" s="142"/>
      <c r="K130" s="18"/>
      <c r="L130" s="19"/>
      <c r="M130" s="7"/>
      <c r="N130" s="125"/>
    </row>
    <row r="131" spans="1:14">
      <c r="A131" s="147"/>
      <c r="B131" s="143" t="s">
        <v>8</v>
      </c>
      <c r="C131" s="152">
        <v>12000</v>
      </c>
      <c r="D131" s="143">
        <v>7985</v>
      </c>
      <c r="E131" s="143">
        <v>0.3</v>
      </c>
      <c r="F131" s="152">
        <v>0</v>
      </c>
      <c r="G131" s="152">
        <v>0</v>
      </c>
      <c r="H131" s="152">
        <v>0</v>
      </c>
      <c r="I131" s="143" t="s">
        <v>42</v>
      </c>
      <c r="J131" s="143"/>
      <c r="K131" s="20" t="s">
        <v>88</v>
      </c>
      <c r="L131" s="20" t="s">
        <v>106</v>
      </c>
      <c r="M131" s="22">
        <v>45</v>
      </c>
      <c r="N131" s="129">
        <f>SUM(M131:M134)</f>
        <v>50</v>
      </c>
    </row>
    <row r="132" spans="1:14" ht="24">
      <c r="A132" s="147"/>
      <c r="B132" s="143"/>
      <c r="C132" s="153"/>
      <c r="D132" s="143"/>
      <c r="E132" s="143"/>
      <c r="F132" s="153"/>
      <c r="G132" s="153"/>
      <c r="H132" s="153"/>
      <c r="I132" s="143"/>
      <c r="J132" s="143"/>
      <c r="K132" s="20" t="s">
        <v>138</v>
      </c>
      <c r="L132" s="20"/>
      <c r="M132" s="22"/>
      <c r="N132" s="130"/>
    </row>
    <row r="133" spans="1:14">
      <c r="A133" s="147"/>
      <c r="B133" s="143"/>
      <c r="C133" s="153"/>
      <c r="D133" s="143"/>
      <c r="E133" s="143"/>
      <c r="F133" s="153"/>
      <c r="G133" s="153"/>
      <c r="H133" s="153"/>
      <c r="I133" s="143"/>
      <c r="J133" s="143"/>
      <c r="K133" s="20" t="s">
        <v>139</v>
      </c>
      <c r="L133" s="20" t="s">
        <v>140</v>
      </c>
      <c r="M133" s="22">
        <v>5</v>
      </c>
      <c r="N133" s="130"/>
    </row>
    <row r="134" spans="1:14">
      <c r="A134" s="147"/>
      <c r="B134" s="143"/>
      <c r="C134" s="153"/>
      <c r="D134" s="143"/>
      <c r="E134" s="143"/>
      <c r="F134" s="153"/>
      <c r="G134" s="153"/>
      <c r="H134" s="153"/>
      <c r="I134" s="143"/>
      <c r="J134" s="143"/>
      <c r="K134" s="20" t="s">
        <v>141</v>
      </c>
      <c r="L134" s="20" t="s">
        <v>142</v>
      </c>
      <c r="M134" s="22"/>
      <c r="N134" s="130"/>
    </row>
    <row r="135" spans="1:14">
      <c r="A135" s="148"/>
      <c r="B135" s="144" t="s">
        <v>9</v>
      </c>
      <c r="C135" s="144">
        <v>12000</v>
      </c>
      <c r="D135" s="144">
        <v>6500</v>
      </c>
      <c r="E135" s="144">
        <v>0.2</v>
      </c>
      <c r="F135" s="144">
        <v>0</v>
      </c>
      <c r="G135" s="144">
        <v>0</v>
      </c>
      <c r="H135" s="144">
        <v>0</v>
      </c>
      <c r="I135" s="144" t="s">
        <v>132</v>
      </c>
      <c r="J135" s="144"/>
      <c r="K135" s="49" t="s">
        <v>143</v>
      </c>
      <c r="L135" s="50" t="s">
        <v>144</v>
      </c>
      <c r="M135" s="51">
        <v>5</v>
      </c>
      <c r="N135" s="132">
        <v>65</v>
      </c>
    </row>
    <row r="136" spans="1:14" ht="22.5">
      <c r="A136" s="148"/>
      <c r="B136" s="144"/>
      <c r="C136" s="144"/>
      <c r="D136" s="144"/>
      <c r="E136" s="144"/>
      <c r="F136" s="144"/>
      <c r="G136" s="144"/>
      <c r="H136" s="144"/>
      <c r="I136" s="144"/>
      <c r="J136" s="144"/>
      <c r="K136" s="52" t="s">
        <v>145</v>
      </c>
      <c r="L136" s="53" t="s">
        <v>146</v>
      </c>
      <c r="M136" s="51">
        <v>5</v>
      </c>
      <c r="N136" s="133"/>
    </row>
    <row r="137" spans="1:14" ht="22.5">
      <c r="A137" s="148"/>
      <c r="B137" s="144"/>
      <c r="C137" s="144"/>
      <c r="D137" s="144"/>
      <c r="E137" s="144"/>
      <c r="F137" s="144"/>
      <c r="G137" s="144"/>
      <c r="H137" s="144"/>
      <c r="I137" s="144"/>
      <c r="J137" s="144"/>
      <c r="K137" s="54" t="s">
        <v>147</v>
      </c>
      <c r="L137" s="49" t="s">
        <v>148</v>
      </c>
      <c r="M137" s="9">
        <v>5</v>
      </c>
      <c r="N137" s="133"/>
    </row>
    <row r="138" spans="1:14">
      <c r="A138" s="148"/>
      <c r="B138" s="144"/>
      <c r="C138" s="144"/>
      <c r="D138" s="144"/>
      <c r="E138" s="144"/>
      <c r="F138" s="144"/>
      <c r="G138" s="144"/>
      <c r="H138" s="144"/>
      <c r="I138" s="144"/>
      <c r="J138" s="144"/>
      <c r="K138" s="55" t="s">
        <v>149</v>
      </c>
      <c r="L138" s="28" t="s">
        <v>150</v>
      </c>
      <c r="M138" s="51">
        <v>50</v>
      </c>
      <c r="N138" s="134"/>
    </row>
    <row r="139" spans="1:14">
      <c r="A139" s="146">
        <v>45773</v>
      </c>
      <c r="B139" s="125" t="s">
        <v>7</v>
      </c>
      <c r="C139" s="125">
        <v>12000</v>
      </c>
      <c r="D139" s="125"/>
      <c r="E139" s="125"/>
      <c r="F139" s="6"/>
      <c r="G139" s="6"/>
      <c r="H139" s="6"/>
      <c r="I139" s="141"/>
      <c r="J139" s="141"/>
      <c r="K139" s="15"/>
      <c r="L139" s="16"/>
      <c r="M139" s="7"/>
      <c r="N139" s="128">
        <f>SUM(M138:M141)</f>
        <v>50</v>
      </c>
    </row>
    <row r="140" spans="1:14">
      <c r="A140" s="147"/>
      <c r="B140" s="145"/>
      <c r="C140" s="145"/>
      <c r="D140" s="145"/>
      <c r="E140" s="145"/>
      <c r="F140" s="7"/>
      <c r="G140" s="7"/>
      <c r="H140" s="7"/>
      <c r="I140" s="142"/>
      <c r="J140" s="142"/>
      <c r="K140" s="18"/>
      <c r="L140" s="19"/>
      <c r="M140" s="7"/>
      <c r="N140" s="128"/>
    </row>
    <row r="141" spans="1:14">
      <c r="A141" s="147"/>
      <c r="B141" s="145"/>
      <c r="C141" s="145"/>
      <c r="D141" s="145"/>
      <c r="E141" s="145"/>
      <c r="F141" s="7"/>
      <c r="G141" s="7"/>
      <c r="H141" s="7"/>
      <c r="I141" s="142"/>
      <c r="J141" s="142"/>
      <c r="K141" s="18"/>
      <c r="L141" s="19"/>
      <c r="M141" s="7"/>
      <c r="N141" s="128"/>
    </row>
    <row r="142" spans="1:14">
      <c r="A142" s="147"/>
      <c r="B142" s="145"/>
      <c r="C142" s="145"/>
      <c r="D142" s="145"/>
      <c r="E142" s="145"/>
      <c r="F142" s="7"/>
      <c r="G142" s="7"/>
      <c r="H142" s="7"/>
      <c r="I142" s="142"/>
      <c r="J142" s="142"/>
      <c r="K142" s="18"/>
      <c r="L142" s="19"/>
      <c r="M142" s="56"/>
      <c r="N142" s="125"/>
    </row>
    <row r="143" spans="1:14">
      <c r="A143" s="147"/>
      <c r="B143" s="143" t="s">
        <v>8</v>
      </c>
      <c r="C143" s="152">
        <v>12000</v>
      </c>
      <c r="D143" s="143"/>
      <c r="E143" s="143"/>
      <c r="F143" s="152">
        <v>0</v>
      </c>
      <c r="G143" s="152">
        <v>0</v>
      </c>
      <c r="H143" s="152">
        <v>0</v>
      </c>
      <c r="I143" s="143" t="s">
        <v>151</v>
      </c>
      <c r="J143" s="143"/>
      <c r="K143" s="20" t="s">
        <v>152</v>
      </c>
      <c r="L143" s="20"/>
      <c r="M143" s="22"/>
      <c r="N143" s="129"/>
    </row>
    <row r="144" spans="1:14" ht="24.75">
      <c r="A144" s="147"/>
      <c r="B144" s="143"/>
      <c r="C144" s="153"/>
      <c r="D144" s="143"/>
      <c r="E144" s="143"/>
      <c r="F144" s="153"/>
      <c r="G144" s="153"/>
      <c r="H144" s="153"/>
      <c r="I144" s="143"/>
      <c r="J144" s="143"/>
      <c r="K144" s="20" t="s">
        <v>153</v>
      </c>
      <c r="L144" s="20" t="s">
        <v>154</v>
      </c>
      <c r="M144" s="22"/>
      <c r="N144" s="130"/>
    </row>
    <row r="145" spans="1:14">
      <c r="A145" s="147"/>
      <c r="B145" s="143"/>
      <c r="C145" s="153"/>
      <c r="D145" s="143"/>
      <c r="E145" s="143"/>
      <c r="F145" s="153"/>
      <c r="G145" s="153"/>
      <c r="H145" s="153"/>
      <c r="I145" s="143"/>
      <c r="J145" s="143"/>
      <c r="K145" s="20" t="s">
        <v>155</v>
      </c>
      <c r="L145" s="20"/>
      <c r="M145" s="22"/>
      <c r="N145" s="130"/>
    </row>
    <row r="146" spans="1:14">
      <c r="A146" s="147"/>
      <c r="B146" s="143"/>
      <c r="C146" s="153"/>
      <c r="D146" s="143"/>
      <c r="E146" s="143"/>
      <c r="F146" s="153"/>
      <c r="G146" s="153"/>
      <c r="H146" s="153"/>
      <c r="I146" s="143"/>
      <c r="J146" s="143"/>
      <c r="K146" s="20"/>
      <c r="L146" s="20"/>
      <c r="M146" s="22"/>
      <c r="N146" s="130"/>
    </row>
    <row r="147" spans="1:14">
      <c r="A147" s="148"/>
      <c r="B147" s="144" t="s">
        <v>9</v>
      </c>
      <c r="C147" s="144">
        <v>12000</v>
      </c>
      <c r="D147" s="144">
        <v>3112</v>
      </c>
      <c r="E147" s="144">
        <v>0.5</v>
      </c>
      <c r="F147" s="144">
        <v>0</v>
      </c>
      <c r="G147" s="144">
        <v>0</v>
      </c>
      <c r="H147" s="144">
        <v>0</v>
      </c>
      <c r="I147" s="144" t="s">
        <v>132</v>
      </c>
      <c r="J147" s="144"/>
      <c r="K147" s="55" t="s">
        <v>156</v>
      </c>
      <c r="L147" s="28" t="s">
        <v>150</v>
      </c>
      <c r="M147" s="51">
        <v>40</v>
      </c>
      <c r="N147" s="132">
        <v>52</v>
      </c>
    </row>
    <row r="148" spans="1:14">
      <c r="A148" s="148"/>
      <c r="B148" s="144"/>
      <c r="C148" s="144"/>
      <c r="D148" s="144"/>
      <c r="E148" s="144"/>
      <c r="F148" s="144"/>
      <c r="G148" s="144"/>
      <c r="H148" s="144"/>
      <c r="I148" s="144"/>
      <c r="J148" s="144"/>
      <c r="K148" s="24" t="s">
        <v>110</v>
      </c>
      <c r="L148" s="24" t="s">
        <v>157</v>
      </c>
      <c r="M148" s="51">
        <v>5</v>
      </c>
      <c r="N148" s="133"/>
    </row>
    <row r="149" spans="1:14">
      <c r="A149" s="148"/>
      <c r="B149" s="144"/>
      <c r="C149" s="144"/>
      <c r="D149" s="144"/>
      <c r="E149" s="144"/>
      <c r="F149" s="144"/>
      <c r="G149" s="144"/>
      <c r="H149" s="144"/>
      <c r="I149" s="144"/>
      <c r="J149" s="144"/>
      <c r="K149" s="52" t="s">
        <v>158</v>
      </c>
      <c r="L149" s="53" t="s">
        <v>159</v>
      </c>
      <c r="M149" s="9">
        <v>5</v>
      </c>
      <c r="N149" s="133"/>
    </row>
    <row r="150" spans="1:14">
      <c r="A150" s="148"/>
      <c r="B150" s="144"/>
      <c r="C150" s="144"/>
      <c r="D150" s="144"/>
      <c r="E150" s="144"/>
      <c r="F150" s="144"/>
      <c r="G150" s="144"/>
      <c r="H150" s="144"/>
      <c r="I150" s="144"/>
      <c r="J150" s="144"/>
      <c r="K150" s="57" t="s">
        <v>160</v>
      </c>
      <c r="L150" s="53" t="s">
        <v>161</v>
      </c>
      <c r="M150" s="9">
        <v>2</v>
      </c>
      <c r="N150" s="134"/>
    </row>
    <row r="151" spans="1:14" ht="36">
      <c r="A151" s="146">
        <v>45774</v>
      </c>
      <c r="B151" s="125" t="s">
        <v>7</v>
      </c>
      <c r="C151" s="125">
        <v>12000</v>
      </c>
      <c r="D151" s="125">
        <v>4616</v>
      </c>
      <c r="E151" s="125">
        <v>0.51</v>
      </c>
      <c r="F151" s="124">
        <v>0</v>
      </c>
      <c r="G151" s="124">
        <v>0</v>
      </c>
      <c r="H151" s="124">
        <v>0</v>
      </c>
      <c r="I151" s="141" t="s">
        <v>61</v>
      </c>
      <c r="J151" s="141"/>
      <c r="K151" s="15" t="s">
        <v>162</v>
      </c>
      <c r="L151" s="16" t="s">
        <v>163</v>
      </c>
      <c r="M151" s="7">
        <v>24</v>
      </c>
      <c r="N151" s="128">
        <f>SUM(M151:M154)</f>
        <v>139</v>
      </c>
    </row>
    <row r="152" spans="1:14">
      <c r="A152" s="147"/>
      <c r="B152" s="145"/>
      <c r="C152" s="145"/>
      <c r="D152" s="145"/>
      <c r="E152" s="145"/>
      <c r="F152" s="128"/>
      <c r="G152" s="128"/>
      <c r="H152" s="128"/>
      <c r="I152" s="142"/>
      <c r="J152" s="142"/>
      <c r="K152" s="18" t="s">
        <v>164</v>
      </c>
      <c r="L152" s="19" t="s">
        <v>165</v>
      </c>
      <c r="M152" s="7">
        <v>26</v>
      </c>
      <c r="N152" s="128"/>
    </row>
    <row r="153" spans="1:14" ht="24.75">
      <c r="A153" s="147"/>
      <c r="B153" s="145"/>
      <c r="C153" s="145"/>
      <c r="D153" s="145"/>
      <c r="E153" s="145"/>
      <c r="F153" s="128"/>
      <c r="G153" s="128"/>
      <c r="H153" s="128"/>
      <c r="I153" s="142"/>
      <c r="J153" s="142"/>
      <c r="K153" s="18" t="s">
        <v>166</v>
      </c>
      <c r="L153" s="19" t="s">
        <v>167</v>
      </c>
      <c r="M153" s="7">
        <v>60</v>
      </c>
      <c r="N153" s="128"/>
    </row>
    <row r="154" spans="1:14" ht="24">
      <c r="A154" s="147"/>
      <c r="B154" s="145"/>
      <c r="C154" s="145"/>
      <c r="D154" s="145"/>
      <c r="E154" s="145"/>
      <c r="F154" s="125"/>
      <c r="G154" s="125"/>
      <c r="H154" s="125"/>
      <c r="I154" s="142"/>
      <c r="J154" s="142"/>
      <c r="K154" s="18" t="s">
        <v>168</v>
      </c>
      <c r="L154" s="19" t="s">
        <v>169</v>
      </c>
      <c r="M154" s="7">
        <v>29</v>
      </c>
      <c r="N154" s="125"/>
    </row>
    <row r="155" spans="1:14">
      <c r="A155" s="147"/>
      <c r="B155" s="143" t="s">
        <v>8</v>
      </c>
      <c r="C155" s="152">
        <v>12000</v>
      </c>
      <c r="D155" s="143">
        <v>8898</v>
      </c>
      <c r="E155" s="143">
        <v>0.01</v>
      </c>
      <c r="F155" s="152">
        <v>0</v>
      </c>
      <c r="G155" s="152">
        <v>0</v>
      </c>
      <c r="H155" s="152">
        <v>0</v>
      </c>
      <c r="I155" s="143" t="s">
        <v>170</v>
      </c>
      <c r="J155" s="143"/>
      <c r="K155" s="20" t="s">
        <v>171</v>
      </c>
      <c r="L155" s="20" t="s">
        <v>172</v>
      </c>
      <c r="M155" s="22">
        <v>10</v>
      </c>
      <c r="N155" s="168">
        <f>SUM(M155:M158)</f>
        <v>119</v>
      </c>
    </row>
    <row r="156" spans="1:14" ht="60.75">
      <c r="A156" s="147"/>
      <c r="B156" s="143"/>
      <c r="C156" s="153"/>
      <c r="D156" s="143"/>
      <c r="E156" s="143"/>
      <c r="F156" s="153"/>
      <c r="G156" s="153"/>
      <c r="H156" s="153"/>
      <c r="I156" s="143"/>
      <c r="J156" s="143"/>
      <c r="K156" s="58" t="s">
        <v>173</v>
      </c>
      <c r="L156" s="20" t="s">
        <v>174</v>
      </c>
      <c r="M156" s="22">
        <v>60</v>
      </c>
      <c r="N156" s="169"/>
    </row>
    <row r="157" spans="1:14">
      <c r="A157" s="147"/>
      <c r="B157" s="143"/>
      <c r="C157" s="153"/>
      <c r="D157" s="143"/>
      <c r="E157" s="143"/>
      <c r="F157" s="153"/>
      <c r="G157" s="153"/>
      <c r="H157" s="153"/>
      <c r="I157" s="143"/>
      <c r="J157" s="143"/>
      <c r="K157" s="20" t="s">
        <v>175</v>
      </c>
      <c r="L157" s="20" t="s">
        <v>176</v>
      </c>
      <c r="M157" s="22">
        <v>4</v>
      </c>
      <c r="N157" s="169"/>
    </row>
    <row r="158" spans="1:14" ht="15" customHeight="1">
      <c r="A158" s="147"/>
      <c r="B158" s="143"/>
      <c r="C158" s="153"/>
      <c r="D158" s="143"/>
      <c r="E158" s="143"/>
      <c r="F158" s="153"/>
      <c r="G158" s="153"/>
      <c r="H158" s="153"/>
      <c r="I158" s="143"/>
      <c r="J158" s="143"/>
      <c r="K158" s="20" t="s">
        <v>88</v>
      </c>
      <c r="L158" s="20" t="s">
        <v>106</v>
      </c>
      <c r="M158" s="22">
        <v>45</v>
      </c>
      <c r="N158" s="169"/>
    </row>
    <row r="159" spans="1:14">
      <c r="A159" s="148"/>
      <c r="B159" s="144" t="s">
        <v>9</v>
      </c>
      <c r="C159" s="144">
        <v>12000</v>
      </c>
      <c r="D159" s="144">
        <v>7840</v>
      </c>
      <c r="E159" s="144">
        <v>0.02</v>
      </c>
      <c r="F159" s="144">
        <v>0</v>
      </c>
      <c r="G159" s="144">
        <v>0</v>
      </c>
      <c r="H159" s="144">
        <v>0</v>
      </c>
      <c r="I159" s="144" t="s">
        <v>132</v>
      </c>
      <c r="J159" s="144"/>
      <c r="K159" s="24" t="s">
        <v>114</v>
      </c>
      <c r="L159" s="24" t="s">
        <v>115</v>
      </c>
      <c r="M159" s="51">
        <v>5</v>
      </c>
      <c r="N159" s="132">
        <f>SUM(M159:M162)</f>
        <v>28</v>
      </c>
    </row>
    <row r="160" spans="1:14">
      <c r="A160" s="148"/>
      <c r="B160" s="144"/>
      <c r="C160" s="144"/>
      <c r="D160" s="144"/>
      <c r="E160" s="144"/>
      <c r="F160" s="144"/>
      <c r="G160" s="144"/>
      <c r="H160" s="144"/>
      <c r="I160" s="144"/>
      <c r="J160" s="144"/>
      <c r="K160" s="24" t="s">
        <v>177</v>
      </c>
      <c r="L160" s="24" t="s">
        <v>178</v>
      </c>
      <c r="M160" s="51">
        <v>10</v>
      </c>
      <c r="N160" s="133"/>
    </row>
    <row r="161" spans="1:14" ht="22.5">
      <c r="A161" s="148"/>
      <c r="B161" s="144"/>
      <c r="C161" s="144"/>
      <c r="D161" s="144"/>
      <c r="E161" s="144"/>
      <c r="F161" s="144"/>
      <c r="G161" s="144"/>
      <c r="H161" s="144"/>
      <c r="I161" s="144"/>
      <c r="J161" s="144"/>
      <c r="K161" s="54" t="s">
        <v>147</v>
      </c>
      <c r="L161" s="49" t="s">
        <v>148</v>
      </c>
      <c r="M161" s="9">
        <v>5</v>
      </c>
      <c r="N161" s="133"/>
    </row>
    <row r="162" spans="1:14" ht="22.5">
      <c r="A162" s="148"/>
      <c r="B162" s="144"/>
      <c r="C162" s="144"/>
      <c r="D162" s="144"/>
      <c r="E162" s="144"/>
      <c r="F162" s="144"/>
      <c r="G162" s="144"/>
      <c r="H162" s="144"/>
      <c r="I162" s="144"/>
      <c r="J162" s="144"/>
      <c r="K162" s="57" t="s">
        <v>179</v>
      </c>
      <c r="L162" s="53" t="s">
        <v>34</v>
      </c>
      <c r="M162" s="9">
        <v>8</v>
      </c>
      <c r="N162" s="134"/>
    </row>
    <row r="163" spans="1:14">
      <c r="A163" s="146">
        <v>45775</v>
      </c>
      <c r="B163" s="125" t="s">
        <v>7</v>
      </c>
      <c r="C163" s="125">
        <v>12000</v>
      </c>
      <c r="D163" s="125">
        <v>6662</v>
      </c>
      <c r="E163" s="125">
        <v>0.69</v>
      </c>
      <c r="F163" s="124">
        <v>0</v>
      </c>
      <c r="G163" s="124">
        <v>0</v>
      </c>
      <c r="H163" s="124">
        <v>0</v>
      </c>
      <c r="I163" s="141" t="s">
        <v>170</v>
      </c>
      <c r="J163" s="141"/>
      <c r="K163" s="15" t="s">
        <v>180</v>
      </c>
      <c r="L163" s="16" t="s">
        <v>106</v>
      </c>
      <c r="M163" s="7">
        <v>45</v>
      </c>
      <c r="N163" s="128">
        <f>SUM(M163:M167)</f>
        <v>45</v>
      </c>
    </row>
    <row r="164" spans="1:14">
      <c r="A164" s="147"/>
      <c r="B164" s="145"/>
      <c r="C164" s="145"/>
      <c r="D164" s="145"/>
      <c r="E164" s="145"/>
      <c r="F164" s="128"/>
      <c r="G164" s="128"/>
      <c r="H164" s="128"/>
      <c r="I164" s="142"/>
      <c r="J164" s="142"/>
      <c r="K164" s="18" t="s">
        <v>181</v>
      </c>
      <c r="L164" s="19" t="s">
        <v>182</v>
      </c>
      <c r="M164" s="7"/>
      <c r="N164" s="128"/>
    </row>
    <row r="165" spans="1:14">
      <c r="A165" s="147"/>
      <c r="B165" s="145"/>
      <c r="C165" s="145"/>
      <c r="D165" s="145"/>
      <c r="E165" s="145"/>
      <c r="F165" s="128"/>
      <c r="G165" s="128"/>
      <c r="H165" s="128"/>
      <c r="I165" s="142"/>
      <c r="J165" s="142"/>
      <c r="K165" s="18" t="s">
        <v>183</v>
      </c>
      <c r="L165" s="19" t="s">
        <v>184</v>
      </c>
      <c r="M165" s="7"/>
      <c r="N165" s="128"/>
    </row>
    <row r="166" spans="1:14">
      <c r="A166" s="147"/>
      <c r="B166" s="145"/>
      <c r="C166" s="145"/>
      <c r="D166" s="145"/>
      <c r="E166" s="145"/>
      <c r="F166" s="128"/>
      <c r="G166" s="128"/>
      <c r="H166" s="128"/>
      <c r="I166" s="142"/>
      <c r="J166" s="142"/>
      <c r="K166" s="18"/>
      <c r="L166" s="59"/>
      <c r="M166" s="60"/>
      <c r="N166" s="128"/>
    </row>
    <row r="167" spans="1:14">
      <c r="A167" s="147"/>
      <c r="B167" s="145"/>
      <c r="C167" s="145"/>
      <c r="D167" s="145"/>
      <c r="E167" s="145"/>
      <c r="F167" s="125"/>
      <c r="G167" s="125"/>
      <c r="H167" s="125"/>
      <c r="I167" s="142"/>
      <c r="J167" s="142"/>
      <c r="K167" s="18" t="s">
        <v>185</v>
      </c>
      <c r="L167" s="61" t="s">
        <v>186</v>
      </c>
      <c r="M167" s="62"/>
      <c r="N167" s="125"/>
    </row>
    <row r="168" spans="1:14">
      <c r="A168" s="147"/>
      <c r="B168" s="143" t="s">
        <v>8</v>
      </c>
      <c r="C168" s="152">
        <v>12000</v>
      </c>
      <c r="D168" s="143">
        <v>8128</v>
      </c>
      <c r="E168" s="143">
        <v>0.34</v>
      </c>
      <c r="F168" s="152">
        <v>0</v>
      </c>
      <c r="G168" s="152">
        <v>0</v>
      </c>
      <c r="H168" s="152">
        <v>0</v>
      </c>
      <c r="I168" s="143" t="s">
        <v>103</v>
      </c>
      <c r="J168" s="143"/>
      <c r="K168" s="202" t="s">
        <v>187</v>
      </c>
      <c r="L168" s="203"/>
      <c r="M168" s="63">
        <v>60</v>
      </c>
      <c r="N168" s="170">
        <f>SUM(M168:M174)</f>
        <v>140</v>
      </c>
    </row>
    <row r="169" spans="1:14" ht="24">
      <c r="A169" s="147"/>
      <c r="B169" s="143"/>
      <c r="C169" s="153"/>
      <c r="D169" s="143"/>
      <c r="E169" s="143"/>
      <c r="F169" s="153"/>
      <c r="G169" s="153"/>
      <c r="H169" s="153"/>
      <c r="I169" s="143"/>
      <c r="J169" s="143"/>
      <c r="K169" s="64" t="s">
        <v>188</v>
      </c>
      <c r="L169" s="64" t="s">
        <v>189</v>
      </c>
      <c r="M169" s="63">
        <v>5</v>
      </c>
      <c r="N169" s="171"/>
    </row>
    <row r="170" spans="1:14" ht="24">
      <c r="A170" s="147"/>
      <c r="B170" s="143"/>
      <c r="C170" s="153"/>
      <c r="D170" s="143"/>
      <c r="E170" s="143"/>
      <c r="F170" s="153"/>
      <c r="G170" s="153"/>
      <c r="H170" s="153"/>
      <c r="I170" s="143"/>
      <c r="J170" s="143"/>
      <c r="K170" s="64" t="s">
        <v>190</v>
      </c>
      <c r="L170" s="64" t="s">
        <v>191</v>
      </c>
      <c r="M170" s="63">
        <v>5</v>
      </c>
      <c r="N170" s="171"/>
    </row>
    <row r="171" spans="1:14">
      <c r="A171" s="147"/>
      <c r="B171" s="143"/>
      <c r="C171" s="153"/>
      <c r="D171" s="143"/>
      <c r="E171" s="143"/>
      <c r="F171" s="153"/>
      <c r="G171" s="153"/>
      <c r="H171" s="153"/>
      <c r="I171" s="143"/>
      <c r="J171" s="143"/>
      <c r="K171" s="64" t="s">
        <v>192</v>
      </c>
      <c r="L171" s="64" t="s">
        <v>193</v>
      </c>
      <c r="M171" s="63">
        <v>10</v>
      </c>
      <c r="N171" s="171"/>
    </row>
    <row r="172" spans="1:14" ht="24">
      <c r="A172" s="147"/>
      <c r="B172" s="143"/>
      <c r="C172" s="153"/>
      <c r="D172" s="143"/>
      <c r="E172" s="143"/>
      <c r="F172" s="153"/>
      <c r="G172" s="153"/>
      <c r="H172" s="153"/>
      <c r="I172" s="143"/>
      <c r="J172" s="143"/>
      <c r="K172" s="64" t="s">
        <v>194</v>
      </c>
      <c r="L172" s="64" t="s">
        <v>195</v>
      </c>
      <c r="M172" s="63">
        <v>5</v>
      </c>
      <c r="N172" s="171"/>
    </row>
    <row r="173" spans="1:14">
      <c r="A173" s="147"/>
      <c r="B173" s="143"/>
      <c r="C173" s="153"/>
      <c r="D173" s="143"/>
      <c r="E173" s="143"/>
      <c r="F173" s="153"/>
      <c r="G173" s="153"/>
      <c r="H173" s="153"/>
      <c r="I173" s="143"/>
      <c r="J173" s="143"/>
      <c r="K173" s="64" t="s">
        <v>196</v>
      </c>
      <c r="L173" s="64" t="s">
        <v>197</v>
      </c>
      <c r="M173" s="63">
        <v>15</v>
      </c>
      <c r="N173" s="171"/>
    </row>
    <row r="174" spans="1:14">
      <c r="A174" s="147"/>
      <c r="B174" s="143"/>
      <c r="C174" s="154"/>
      <c r="D174" s="143"/>
      <c r="E174" s="143"/>
      <c r="F174" s="154"/>
      <c r="G174" s="154"/>
      <c r="H174" s="154"/>
      <c r="I174" s="143"/>
      <c r="J174" s="143"/>
      <c r="K174" s="204" t="s">
        <v>198</v>
      </c>
      <c r="L174" s="205"/>
      <c r="M174" s="63">
        <v>40</v>
      </c>
      <c r="N174" s="172"/>
    </row>
    <row r="175" spans="1:14">
      <c r="A175" s="148"/>
      <c r="B175" s="144" t="s">
        <v>9</v>
      </c>
      <c r="C175" s="144">
        <v>12000</v>
      </c>
      <c r="D175" s="144">
        <v>9428</v>
      </c>
      <c r="E175" s="144">
        <v>0.32</v>
      </c>
      <c r="F175" s="144">
        <v>0</v>
      </c>
      <c r="G175" s="144">
        <v>0</v>
      </c>
      <c r="H175" s="144">
        <v>0</v>
      </c>
      <c r="I175" s="144" t="s">
        <v>132</v>
      </c>
      <c r="J175" s="144"/>
      <c r="K175" s="55" t="s">
        <v>199</v>
      </c>
      <c r="L175" s="24" t="s">
        <v>115</v>
      </c>
      <c r="M175" s="51">
        <v>5</v>
      </c>
      <c r="N175" s="132">
        <v>42</v>
      </c>
    </row>
    <row r="176" spans="1:14">
      <c r="A176" s="148"/>
      <c r="B176" s="144"/>
      <c r="C176" s="144"/>
      <c r="D176" s="144"/>
      <c r="E176" s="144"/>
      <c r="F176" s="144"/>
      <c r="G176" s="144"/>
      <c r="H176" s="144"/>
      <c r="I176" s="144"/>
      <c r="J176" s="144"/>
      <c r="K176" s="65" t="s">
        <v>25</v>
      </c>
      <c r="L176" s="66" t="s">
        <v>26</v>
      </c>
      <c r="M176" s="51">
        <v>5</v>
      </c>
      <c r="N176" s="133"/>
    </row>
    <row r="177" spans="1:14">
      <c r="A177" s="148"/>
      <c r="B177" s="144"/>
      <c r="C177" s="144"/>
      <c r="D177" s="144"/>
      <c r="E177" s="144"/>
      <c r="F177" s="144"/>
      <c r="G177" s="144"/>
      <c r="H177" s="144"/>
      <c r="I177" s="144"/>
      <c r="J177" s="144"/>
      <c r="K177" s="67" t="s">
        <v>200</v>
      </c>
      <c r="L177" s="68" t="s">
        <v>201</v>
      </c>
      <c r="M177" s="9">
        <v>2</v>
      </c>
      <c r="N177" s="133"/>
    </row>
    <row r="178" spans="1:14" ht="24">
      <c r="A178" s="148"/>
      <c r="B178" s="149"/>
      <c r="C178" s="149"/>
      <c r="D178" s="149"/>
      <c r="E178" s="149"/>
      <c r="F178" s="149"/>
      <c r="G178" s="149"/>
      <c r="H178" s="149"/>
      <c r="I178" s="149"/>
      <c r="J178" s="149"/>
      <c r="K178" s="69"/>
      <c r="L178" s="70" t="s">
        <v>202</v>
      </c>
      <c r="M178" s="35"/>
      <c r="N178" s="133"/>
    </row>
    <row r="179" spans="1:14">
      <c r="A179" s="148"/>
      <c r="B179" s="149"/>
      <c r="C179" s="149"/>
      <c r="D179" s="149"/>
      <c r="E179" s="149"/>
      <c r="F179" s="149"/>
      <c r="G179" s="149"/>
      <c r="H179" s="149"/>
      <c r="I179" s="149"/>
      <c r="J179" s="149"/>
      <c r="K179" s="69" t="s">
        <v>203</v>
      </c>
      <c r="L179" s="71" t="s">
        <v>204</v>
      </c>
      <c r="M179" s="35">
        <v>30</v>
      </c>
      <c r="N179" s="133"/>
    </row>
    <row r="180" spans="1:14" ht="24">
      <c r="A180" s="214">
        <v>45776</v>
      </c>
      <c r="B180" s="193" t="s">
        <v>7</v>
      </c>
      <c r="C180" s="189">
        <v>12000</v>
      </c>
      <c r="D180" s="189">
        <v>8960</v>
      </c>
      <c r="E180" s="189">
        <v>0.27</v>
      </c>
      <c r="F180" s="187">
        <v>0</v>
      </c>
      <c r="G180" s="187">
        <v>0</v>
      </c>
      <c r="H180" s="187">
        <v>0</v>
      </c>
      <c r="I180" s="181" t="s">
        <v>103</v>
      </c>
      <c r="J180" s="181" t="s">
        <v>205</v>
      </c>
      <c r="K180" s="72" t="s">
        <v>206</v>
      </c>
      <c r="L180" s="72" t="s">
        <v>207</v>
      </c>
      <c r="M180" s="48">
        <v>10</v>
      </c>
      <c r="N180" s="162">
        <f t="shared" ref="N180:N184" si="0">SUM(M180:M181)</f>
        <v>10</v>
      </c>
    </row>
    <row r="181" spans="1:14">
      <c r="A181" s="215"/>
      <c r="B181" s="195"/>
      <c r="C181" s="145"/>
      <c r="D181" s="145"/>
      <c r="E181" s="145"/>
      <c r="F181" s="128"/>
      <c r="G181" s="128"/>
      <c r="H181" s="128"/>
      <c r="I181" s="142"/>
      <c r="J181" s="142"/>
      <c r="K181" s="122" t="s">
        <v>208</v>
      </c>
      <c r="L181" s="206"/>
      <c r="M181" s="123"/>
      <c r="N181" s="163"/>
    </row>
    <row r="182" spans="1:14" ht="24">
      <c r="A182" s="215"/>
      <c r="B182" s="195"/>
      <c r="C182" s="145"/>
      <c r="D182" s="145"/>
      <c r="E182" s="145"/>
      <c r="F182" s="128"/>
      <c r="G182" s="128"/>
      <c r="H182" s="128"/>
      <c r="I182" s="142"/>
      <c r="J182" s="176" t="s">
        <v>209</v>
      </c>
      <c r="K182" s="73" t="s">
        <v>210</v>
      </c>
      <c r="L182" s="73" t="s">
        <v>211</v>
      </c>
      <c r="M182" s="74">
        <v>5</v>
      </c>
      <c r="N182" s="164">
        <f t="shared" si="0"/>
        <v>10</v>
      </c>
    </row>
    <row r="183" spans="1:14">
      <c r="A183" s="215"/>
      <c r="B183" s="196"/>
      <c r="C183" s="190"/>
      <c r="D183" s="190"/>
      <c r="E183" s="190"/>
      <c r="F183" s="188"/>
      <c r="G183" s="188"/>
      <c r="H183" s="188"/>
      <c r="I183" s="182"/>
      <c r="J183" s="177"/>
      <c r="K183" s="75" t="s">
        <v>212</v>
      </c>
      <c r="L183" s="75" t="s">
        <v>213</v>
      </c>
      <c r="M183" s="76">
        <v>5</v>
      </c>
      <c r="N183" s="165"/>
    </row>
    <row r="184" spans="1:14" ht="24.75">
      <c r="A184" s="147"/>
      <c r="B184" s="154" t="s">
        <v>8</v>
      </c>
      <c r="C184" s="153">
        <v>12000</v>
      </c>
      <c r="D184" s="154">
        <v>6445</v>
      </c>
      <c r="E184" s="154">
        <v>9.9000000000000005E-2</v>
      </c>
      <c r="F184" s="153">
        <v>0</v>
      </c>
      <c r="G184" s="153">
        <v>0</v>
      </c>
      <c r="H184" s="153">
        <v>0</v>
      </c>
      <c r="I184" s="154" t="s">
        <v>170</v>
      </c>
      <c r="J184" s="154"/>
      <c r="K184" s="77" t="s">
        <v>214</v>
      </c>
      <c r="L184" s="77" t="s">
        <v>215</v>
      </c>
      <c r="M184" s="23">
        <v>25</v>
      </c>
      <c r="N184" s="130">
        <f t="shared" si="0"/>
        <v>30</v>
      </c>
    </row>
    <row r="185" spans="1:14">
      <c r="A185" s="147"/>
      <c r="B185" s="143"/>
      <c r="C185" s="153"/>
      <c r="D185" s="143"/>
      <c r="E185" s="143"/>
      <c r="F185" s="153"/>
      <c r="G185" s="153"/>
      <c r="H185" s="153"/>
      <c r="I185" s="143"/>
      <c r="J185" s="143"/>
      <c r="K185" s="78" t="s">
        <v>216</v>
      </c>
      <c r="L185" s="20" t="s">
        <v>217</v>
      </c>
      <c r="M185" s="22">
        <v>5</v>
      </c>
      <c r="N185" s="130"/>
    </row>
    <row r="186" spans="1:14">
      <c r="A186" s="148"/>
      <c r="B186" s="144" t="s">
        <v>9</v>
      </c>
      <c r="C186" s="144">
        <v>12000</v>
      </c>
      <c r="D186" s="144">
        <v>11282</v>
      </c>
      <c r="E186" s="144">
        <v>0.1</v>
      </c>
      <c r="F186" s="144">
        <v>0</v>
      </c>
      <c r="G186" s="144">
        <v>0</v>
      </c>
      <c r="H186" s="144">
        <v>0</v>
      </c>
      <c r="I186" s="144" t="s">
        <v>132</v>
      </c>
      <c r="J186" s="144"/>
      <c r="K186" s="24" t="s">
        <v>68</v>
      </c>
      <c r="L186" s="24" t="s">
        <v>69</v>
      </c>
      <c r="M186" s="51">
        <v>5</v>
      </c>
      <c r="N186" s="132">
        <v>20</v>
      </c>
    </row>
    <row r="187" spans="1:14">
      <c r="A187" s="148"/>
      <c r="B187" s="144"/>
      <c r="C187" s="144"/>
      <c r="D187" s="144"/>
      <c r="E187" s="144"/>
      <c r="F187" s="144"/>
      <c r="G187" s="144"/>
      <c r="H187" s="144"/>
      <c r="I187" s="144"/>
      <c r="J187" s="144"/>
      <c r="K187" s="57" t="s">
        <v>218</v>
      </c>
      <c r="L187" s="53" t="s">
        <v>219</v>
      </c>
      <c r="M187" s="9">
        <v>8</v>
      </c>
      <c r="N187" s="133"/>
    </row>
    <row r="188" spans="1:14">
      <c r="A188" s="148"/>
      <c r="B188" s="149"/>
      <c r="C188" s="149"/>
      <c r="D188" s="149"/>
      <c r="E188" s="149"/>
      <c r="F188" s="149"/>
      <c r="G188" s="149"/>
      <c r="H188" s="149"/>
      <c r="I188" s="149"/>
      <c r="J188" s="149"/>
      <c r="K188" s="79" t="s">
        <v>220</v>
      </c>
      <c r="L188" s="80" t="s">
        <v>221</v>
      </c>
      <c r="M188" s="35">
        <v>7</v>
      </c>
      <c r="N188" s="133"/>
    </row>
    <row r="189" spans="1:14">
      <c r="A189" s="214">
        <v>45777</v>
      </c>
      <c r="B189" s="193" t="s">
        <v>7</v>
      </c>
      <c r="C189" s="189">
        <v>12000</v>
      </c>
      <c r="D189" s="189">
        <v>0</v>
      </c>
      <c r="E189" s="189">
        <v>0</v>
      </c>
      <c r="F189" s="187">
        <v>0</v>
      </c>
      <c r="G189" s="187">
        <v>0</v>
      </c>
      <c r="H189" s="187">
        <v>0</v>
      </c>
      <c r="I189" s="181" t="s">
        <v>103</v>
      </c>
      <c r="J189" s="81" t="s">
        <v>222</v>
      </c>
      <c r="K189" s="207" t="s">
        <v>223</v>
      </c>
      <c r="L189" s="208"/>
      <c r="M189" s="48"/>
      <c r="N189" s="82">
        <f>SUM(M189)</f>
        <v>0</v>
      </c>
    </row>
    <row r="190" spans="1:14" ht="24">
      <c r="A190" s="214"/>
      <c r="B190" s="194"/>
      <c r="C190" s="125"/>
      <c r="D190" s="125"/>
      <c r="E190" s="125"/>
      <c r="F190" s="128"/>
      <c r="G190" s="128"/>
      <c r="H190" s="128"/>
      <c r="I190" s="141"/>
      <c r="J190" s="178" t="s">
        <v>209</v>
      </c>
      <c r="K190" s="83" t="s">
        <v>224</v>
      </c>
      <c r="L190" s="84" t="s">
        <v>225</v>
      </c>
      <c r="M190" s="85">
        <v>7</v>
      </c>
      <c r="N190" s="166">
        <f>SUM(M190:M192)</f>
        <v>47</v>
      </c>
    </row>
    <row r="191" spans="1:14" ht="24">
      <c r="A191" s="215"/>
      <c r="B191" s="195"/>
      <c r="C191" s="145"/>
      <c r="D191" s="145"/>
      <c r="E191" s="145"/>
      <c r="F191" s="128"/>
      <c r="G191" s="128"/>
      <c r="H191" s="128"/>
      <c r="I191" s="142"/>
      <c r="J191" s="179"/>
      <c r="K191" s="83" t="s">
        <v>226</v>
      </c>
      <c r="L191" s="86" t="s">
        <v>227</v>
      </c>
      <c r="M191" s="87">
        <v>15</v>
      </c>
      <c r="N191" s="166"/>
    </row>
    <row r="192" spans="1:14" ht="23.25">
      <c r="A192" s="215"/>
      <c r="B192" s="196"/>
      <c r="C192" s="190"/>
      <c r="D192" s="190"/>
      <c r="E192" s="190"/>
      <c r="F192" s="188"/>
      <c r="G192" s="188"/>
      <c r="H192" s="188"/>
      <c r="I192" s="182"/>
      <c r="J192" s="180"/>
      <c r="K192" s="88" t="s">
        <v>228</v>
      </c>
      <c r="L192" s="89" t="s">
        <v>229</v>
      </c>
      <c r="M192" s="90">
        <v>25</v>
      </c>
      <c r="N192" s="167"/>
    </row>
    <row r="193" spans="1:14">
      <c r="A193" s="147"/>
      <c r="B193" s="154" t="s">
        <v>8</v>
      </c>
      <c r="C193" s="153">
        <v>12000</v>
      </c>
      <c r="D193" s="154">
        <v>4320</v>
      </c>
      <c r="E193" s="154">
        <v>0.61</v>
      </c>
      <c r="F193" s="153">
        <v>0</v>
      </c>
      <c r="G193" s="153">
        <v>0</v>
      </c>
      <c r="H193" s="153">
        <v>0</v>
      </c>
      <c r="I193" s="154" t="s">
        <v>42</v>
      </c>
      <c r="J193" s="154"/>
      <c r="K193" s="91" t="s">
        <v>230</v>
      </c>
      <c r="L193" s="92"/>
      <c r="M193" s="93">
        <v>45</v>
      </c>
      <c r="N193" s="130">
        <f>SUM(M193:M194)</f>
        <v>50</v>
      </c>
    </row>
    <row r="194" spans="1:14">
      <c r="A194" s="147"/>
      <c r="B194" s="143"/>
      <c r="C194" s="153"/>
      <c r="D194" s="143"/>
      <c r="E194" s="143"/>
      <c r="F194" s="153"/>
      <c r="G194" s="153"/>
      <c r="H194" s="153"/>
      <c r="I194" s="143"/>
      <c r="J194" s="143"/>
      <c r="K194" s="20" t="s">
        <v>231</v>
      </c>
      <c r="L194" s="20" t="s">
        <v>232</v>
      </c>
      <c r="M194" s="22">
        <v>5</v>
      </c>
      <c r="N194" s="130"/>
    </row>
    <row r="195" spans="1:14">
      <c r="A195" s="148"/>
      <c r="B195" s="144" t="s">
        <v>9</v>
      </c>
      <c r="C195" s="144">
        <v>12000</v>
      </c>
      <c r="D195" s="144"/>
      <c r="E195" s="144"/>
      <c r="F195" s="144"/>
      <c r="G195" s="144"/>
      <c r="H195" s="144"/>
      <c r="I195" s="144"/>
      <c r="J195" s="144"/>
      <c r="K195" s="55"/>
      <c r="L195" s="28"/>
      <c r="M195" s="51"/>
      <c r="N195" s="132"/>
    </row>
    <row r="196" spans="1:14">
      <c r="A196" s="148"/>
      <c r="B196" s="144"/>
      <c r="C196" s="144"/>
      <c r="D196" s="144"/>
      <c r="E196" s="144"/>
      <c r="F196" s="144"/>
      <c r="G196" s="144"/>
      <c r="H196" s="144"/>
      <c r="I196" s="144"/>
      <c r="J196" s="144"/>
      <c r="K196" s="24" t="s">
        <v>289</v>
      </c>
      <c r="L196" s="24"/>
      <c r="M196" s="51"/>
      <c r="N196" s="133"/>
    </row>
    <row r="197" spans="1:14">
      <c r="A197" s="148"/>
      <c r="B197" s="144"/>
      <c r="C197" s="144"/>
      <c r="D197" s="144"/>
      <c r="E197" s="144"/>
      <c r="F197" s="144"/>
      <c r="G197" s="144"/>
      <c r="H197" s="144"/>
      <c r="I197" s="144"/>
      <c r="J197" s="144"/>
      <c r="K197" s="52"/>
      <c r="L197" s="53"/>
      <c r="M197" s="9"/>
      <c r="N197" s="133"/>
    </row>
    <row r="198" spans="1:14">
      <c r="A198" s="148"/>
      <c r="B198" s="144"/>
      <c r="C198" s="144"/>
      <c r="D198" s="144"/>
      <c r="E198" s="144"/>
      <c r="F198" s="144"/>
      <c r="G198" s="144"/>
      <c r="H198" s="144"/>
      <c r="I198" s="144"/>
      <c r="J198" s="144"/>
      <c r="K198" s="57"/>
      <c r="L198" s="53"/>
      <c r="M198" s="9"/>
      <c r="N198" s="134"/>
    </row>
  </sheetData>
  <mergeCells count="401">
    <mergeCell ref="A1:L1"/>
    <mergeCell ref="K168:L168"/>
    <mergeCell ref="K174:L174"/>
    <mergeCell ref="K181:M181"/>
    <mergeCell ref="K189:L189"/>
    <mergeCell ref="A3:A16"/>
    <mergeCell ref="A17:A30"/>
    <mergeCell ref="A31:A44"/>
    <mergeCell ref="A45:A56"/>
    <mergeCell ref="A57:A73"/>
    <mergeCell ref="A74:A89"/>
    <mergeCell ref="A90:A104"/>
    <mergeCell ref="A105:A113"/>
    <mergeCell ref="A114:A126"/>
    <mergeCell ref="A127:A138"/>
    <mergeCell ref="A139:A150"/>
    <mergeCell ref="A151:A162"/>
    <mergeCell ref="A163:A179"/>
    <mergeCell ref="A180:A188"/>
    <mergeCell ref="A189:A198"/>
    <mergeCell ref="B3:B6"/>
    <mergeCell ref="B7:B12"/>
    <mergeCell ref="B13:B16"/>
    <mergeCell ref="B17:B20"/>
    <mergeCell ref="B21:B26"/>
    <mergeCell ref="B27:B30"/>
    <mergeCell ref="B31:B34"/>
    <mergeCell ref="B35:B40"/>
    <mergeCell ref="B41:B44"/>
    <mergeCell ref="B45:B48"/>
    <mergeCell ref="B49:B52"/>
    <mergeCell ref="B53:B56"/>
    <mergeCell ref="B57:B61"/>
    <mergeCell ref="B62:B67"/>
    <mergeCell ref="B68:B73"/>
    <mergeCell ref="B74:B77"/>
    <mergeCell ref="B78:B83"/>
    <mergeCell ref="B84:B89"/>
    <mergeCell ref="B90:B94"/>
    <mergeCell ref="B95:B99"/>
    <mergeCell ref="B100:B104"/>
    <mergeCell ref="B106:B108"/>
    <mergeCell ref="B109:B113"/>
    <mergeCell ref="B114:B117"/>
    <mergeCell ref="B118:B122"/>
    <mergeCell ref="B123:B126"/>
    <mergeCell ref="B127:B130"/>
    <mergeCell ref="B131:B134"/>
    <mergeCell ref="B135:B138"/>
    <mergeCell ref="B139:B142"/>
    <mergeCell ref="B143:B146"/>
    <mergeCell ref="B147:B150"/>
    <mergeCell ref="B151:B154"/>
    <mergeCell ref="B155:B158"/>
    <mergeCell ref="B159:B162"/>
    <mergeCell ref="B163:B167"/>
    <mergeCell ref="B168:B174"/>
    <mergeCell ref="B175:B179"/>
    <mergeCell ref="B180:B183"/>
    <mergeCell ref="B184:B185"/>
    <mergeCell ref="B186:B188"/>
    <mergeCell ref="B189:B192"/>
    <mergeCell ref="B193:B194"/>
    <mergeCell ref="B195:B198"/>
    <mergeCell ref="C3:C6"/>
    <mergeCell ref="C7:C12"/>
    <mergeCell ref="C13:C16"/>
    <mergeCell ref="C17:C20"/>
    <mergeCell ref="C21:C26"/>
    <mergeCell ref="C27:C30"/>
    <mergeCell ref="C31:C34"/>
    <mergeCell ref="C35:C40"/>
    <mergeCell ref="C41:C44"/>
    <mergeCell ref="C45:C48"/>
    <mergeCell ref="C49:C52"/>
    <mergeCell ref="C53:C56"/>
    <mergeCell ref="C57:C61"/>
    <mergeCell ref="C62:C67"/>
    <mergeCell ref="C68:C73"/>
    <mergeCell ref="C74:C77"/>
    <mergeCell ref="C78:C83"/>
    <mergeCell ref="C84:C89"/>
    <mergeCell ref="C90:C94"/>
    <mergeCell ref="C95:C99"/>
    <mergeCell ref="C100:C104"/>
    <mergeCell ref="C106:C108"/>
    <mergeCell ref="C109:C113"/>
    <mergeCell ref="C114:C117"/>
    <mergeCell ref="C118:C122"/>
    <mergeCell ref="C123:C126"/>
    <mergeCell ref="C127:C130"/>
    <mergeCell ref="C131:C134"/>
    <mergeCell ref="C135:C138"/>
    <mergeCell ref="C139:C142"/>
    <mergeCell ref="C143:C146"/>
    <mergeCell ref="C147:C150"/>
    <mergeCell ref="C151:C154"/>
    <mergeCell ref="C155:C158"/>
    <mergeCell ref="C159:C162"/>
    <mergeCell ref="C163:C167"/>
    <mergeCell ref="C168:C174"/>
    <mergeCell ref="C175:C179"/>
    <mergeCell ref="C180:C183"/>
    <mergeCell ref="C184:C185"/>
    <mergeCell ref="C186:C188"/>
    <mergeCell ref="C189:C192"/>
    <mergeCell ref="C193:C194"/>
    <mergeCell ref="C195:C198"/>
    <mergeCell ref="D3:D6"/>
    <mergeCell ref="D7:D12"/>
    <mergeCell ref="D13:D16"/>
    <mergeCell ref="D17:D20"/>
    <mergeCell ref="D21:D26"/>
    <mergeCell ref="D27:D30"/>
    <mergeCell ref="D31:D34"/>
    <mergeCell ref="D35:D40"/>
    <mergeCell ref="D41:D44"/>
    <mergeCell ref="D45:D48"/>
    <mergeCell ref="D49:D52"/>
    <mergeCell ref="D53:D56"/>
    <mergeCell ref="D57:D61"/>
    <mergeCell ref="D62:D67"/>
    <mergeCell ref="D68:D73"/>
    <mergeCell ref="D74:D77"/>
    <mergeCell ref="D78:D83"/>
    <mergeCell ref="D84:D89"/>
    <mergeCell ref="D90:D94"/>
    <mergeCell ref="D95:D99"/>
    <mergeCell ref="D100:D104"/>
    <mergeCell ref="D106:D108"/>
    <mergeCell ref="D109:D113"/>
    <mergeCell ref="D114:D117"/>
    <mergeCell ref="D118:D122"/>
    <mergeCell ref="D123:D126"/>
    <mergeCell ref="D127:D130"/>
    <mergeCell ref="D131:D134"/>
    <mergeCell ref="D135:D138"/>
    <mergeCell ref="D139:D142"/>
    <mergeCell ref="D143:D146"/>
    <mergeCell ref="D147:D150"/>
    <mergeCell ref="D151:D154"/>
    <mergeCell ref="D155:D158"/>
    <mergeCell ref="D159:D162"/>
    <mergeCell ref="D163:D167"/>
    <mergeCell ref="D168:D174"/>
    <mergeCell ref="D175:D179"/>
    <mergeCell ref="D180:D183"/>
    <mergeCell ref="D184:D185"/>
    <mergeCell ref="D186:D188"/>
    <mergeCell ref="D189:D192"/>
    <mergeCell ref="D193:D194"/>
    <mergeCell ref="D195:D198"/>
    <mergeCell ref="E3:E6"/>
    <mergeCell ref="E7:E12"/>
    <mergeCell ref="E13:E16"/>
    <mergeCell ref="E17:E20"/>
    <mergeCell ref="E21:E26"/>
    <mergeCell ref="E27:E30"/>
    <mergeCell ref="E31:E34"/>
    <mergeCell ref="E35:E40"/>
    <mergeCell ref="E41:E44"/>
    <mergeCell ref="E45:E48"/>
    <mergeCell ref="E49:E52"/>
    <mergeCell ref="E53:E56"/>
    <mergeCell ref="E57:E61"/>
    <mergeCell ref="E62:E67"/>
    <mergeCell ref="E68:E73"/>
    <mergeCell ref="E74:E77"/>
    <mergeCell ref="E78:E83"/>
    <mergeCell ref="E84:E89"/>
    <mergeCell ref="E90:E94"/>
    <mergeCell ref="E95:E99"/>
    <mergeCell ref="E100:E104"/>
    <mergeCell ref="E106:E108"/>
    <mergeCell ref="E109:E113"/>
    <mergeCell ref="E114:E117"/>
    <mergeCell ref="E118:E122"/>
    <mergeCell ref="E123:E126"/>
    <mergeCell ref="E127:E130"/>
    <mergeCell ref="E131:E134"/>
    <mergeCell ref="E135:E138"/>
    <mergeCell ref="E139:E142"/>
    <mergeCell ref="E143:E146"/>
    <mergeCell ref="E147:E150"/>
    <mergeCell ref="E151:E154"/>
    <mergeCell ref="E155:E158"/>
    <mergeCell ref="E159:E162"/>
    <mergeCell ref="E163:E167"/>
    <mergeCell ref="E168:E174"/>
    <mergeCell ref="E175:E179"/>
    <mergeCell ref="E180:E183"/>
    <mergeCell ref="E184:E185"/>
    <mergeCell ref="E186:E188"/>
    <mergeCell ref="E189:E192"/>
    <mergeCell ref="E193:E194"/>
    <mergeCell ref="E195:E198"/>
    <mergeCell ref="F95:F99"/>
    <mergeCell ref="F100:F104"/>
    <mergeCell ref="F106:F108"/>
    <mergeCell ref="F109:F113"/>
    <mergeCell ref="F114:F117"/>
    <mergeCell ref="F118:F122"/>
    <mergeCell ref="F123:F126"/>
    <mergeCell ref="F127:F130"/>
    <mergeCell ref="F131:F134"/>
    <mergeCell ref="F135:F138"/>
    <mergeCell ref="F143:F146"/>
    <mergeCell ref="F147:F150"/>
    <mergeCell ref="F151:F154"/>
    <mergeCell ref="F155:F158"/>
    <mergeCell ref="F159:F162"/>
    <mergeCell ref="F163:F167"/>
    <mergeCell ref="F168:F174"/>
    <mergeCell ref="F175:F179"/>
    <mergeCell ref="F180:F183"/>
    <mergeCell ref="F184:F185"/>
    <mergeCell ref="F186:F188"/>
    <mergeCell ref="F189:F192"/>
    <mergeCell ref="F193:F194"/>
    <mergeCell ref="F195:F198"/>
    <mergeCell ref="G95:G99"/>
    <mergeCell ref="G100:G104"/>
    <mergeCell ref="G106:G108"/>
    <mergeCell ref="G109:G113"/>
    <mergeCell ref="G114:G117"/>
    <mergeCell ref="G118:G122"/>
    <mergeCell ref="G123:G126"/>
    <mergeCell ref="G127:G130"/>
    <mergeCell ref="G131:G134"/>
    <mergeCell ref="G135:G138"/>
    <mergeCell ref="G143:G146"/>
    <mergeCell ref="G147:G150"/>
    <mergeCell ref="G151:G154"/>
    <mergeCell ref="G155:G158"/>
    <mergeCell ref="G159:G162"/>
    <mergeCell ref="G163:G167"/>
    <mergeCell ref="G168:G174"/>
    <mergeCell ref="G175:G179"/>
    <mergeCell ref="G180:G183"/>
    <mergeCell ref="G184:G185"/>
    <mergeCell ref="G186:G188"/>
    <mergeCell ref="G189:G192"/>
    <mergeCell ref="G193:G194"/>
    <mergeCell ref="G195:G198"/>
    <mergeCell ref="H95:H99"/>
    <mergeCell ref="H100:H104"/>
    <mergeCell ref="H106:H108"/>
    <mergeCell ref="H109:H113"/>
    <mergeCell ref="H114:H117"/>
    <mergeCell ref="H118:H122"/>
    <mergeCell ref="H123:H126"/>
    <mergeCell ref="H127:H130"/>
    <mergeCell ref="H131:H134"/>
    <mergeCell ref="H135:H138"/>
    <mergeCell ref="H143:H146"/>
    <mergeCell ref="H147:H150"/>
    <mergeCell ref="H151:H154"/>
    <mergeCell ref="H155:H158"/>
    <mergeCell ref="H159:H162"/>
    <mergeCell ref="H163:H167"/>
    <mergeCell ref="H168:H174"/>
    <mergeCell ref="H175:H179"/>
    <mergeCell ref="H180:H183"/>
    <mergeCell ref="H184:H185"/>
    <mergeCell ref="H186:H188"/>
    <mergeCell ref="H189:H192"/>
    <mergeCell ref="H193:H194"/>
    <mergeCell ref="H195:H198"/>
    <mergeCell ref="I3:I6"/>
    <mergeCell ref="I7:I12"/>
    <mergeCell ref="I13:I16"/>
    <mergeCell ref="I17:I20"/>
    <mergeCell ref="I21:I26"/>
    <mergeCell ref="I27:I30"/>
    <mergeCell ref="I31:I34"/>
    <mergeCell ref="I35:I40"/>
    <mergeCell ref="I41:I44"/>
    <mergeCell ref="I45:I48"/>
    <mergeCell ref="I49:I52"/>
    <mergeCell ref="I53:I56"/>
    <mergeCell ref="I57:I61"/>
    <mergeCell ref="I62:I67"/>
    <mergeCell ref="I68:I73"/>
    <mergeCell ref="I74:I77"/>
    <mergeCell ref="I78:I83"/>
    <mergeCell ref="I84:I89"/>
    <mergeCell ref="I90:I94"/>
    <mergeCell ref="I95:I99"/>
    <mergeCell ref="I100:I104"/>
    <mergeCell ref="I106:I108"/>
    <mergeCell ref="I109:I113"/>
    <mergeCell ref="I114:I117"/>
    <mergeCell ref="I118:I122"/>
    <mergeCell ref="I123:I126"/>
    <mergeCell ref="I127:I130"/>
    <mergeCell ref="I131:I134"/>
    <mergeCell ref="I135:I138"/>
    <mergeCell ref="I139:I142"/>
    <mergeCell ref="I143:I146"/>
    <mergeCell ref="I147:I150"/>
    <mergeCell ref="I151:I154"/>
    <mergeCell ref="I155:I158"/>
    <mergeCell ref="I159:I162"/>
    <mergeCell ref="I163:I167"/>
    <mergeCell ref="I168:I174"/>
    <mergeCell ref="I175:I179"/>
    <mergeCell ref="I180:I183"/>
    <mergeCell ref="I184:I185"/>
    <mergeCell ref="I186:I188"/>
    <mergeCell ref="I189:I192"/>
    <mergeCell ref="I193:I194"/>
    <mergeCell ref="I195:I198"/>
    <mergeCell ref="J3:J6"/>
    <mergeCell ref="J7:J12"/>
    <mergeCell ref="J13:J16"/>
    <mergeCell ref="J17:J20"/>
    <mergeCell ref="J21:J26"/>
    <mergeCell ref="J27:J30"/>
    <mergeCell ref="J31:J34"/>
    <mergeCell ref="J35:J40"/>
    <mergeCell ref="J41:J44"/>
    <mergeCell ref="J45:J48"/>
    <mergeCell ref="J49:J52"/>
    <mergeCell ref="J53:J56"/>
    <mergeCell ref="J57:J61"/>
    <mergeCell ref="J62:J67"/>
    <mergeCell ref="J68:J73"/>
    <mergeCell ref="J74:J77"/>
    <mergeCell ref="J78:J83"/>
    <mergeCell ref="J84:J89"/>
    <mergeCell ref="J90:J94"/>
    <mergeCell ref="J95:J99"/>
    <mergeCell ref="J100:J104"/>
    <mergeCell ref="J106:J108"/>
    <mergeCell ref="J109:J113"/>
    <mergeCell ref="J114:J117"/>
    <mergeCell ref="J118:J122"/>
    <mergeCell ref="J123:J126"/>
    <mergeCell ref="J127:J130"/>
    <mergeCell ref="J131:J134"/>
    <mergeCell ref="J135:J138"/>
    <mergeCell ref="J139:J142"/>
    <mergeCell ref="J143:J146"/>
    <mergeCell ref="J147:J150"/>
    <mergeCell ref="J151:J154"/>
    <mergeCell ref="J155:J158"/>
    <mergeCell ref="J159:J162"/>
    <mergeCell ref="J163:J167"/>
    <mergeCell ref="J168:J174"/>
    <mergeCell ref="J175:J179"/>
    <mergeCell ref="J180:J181"/>
    <mergeCell ref="J182:J183"/>
    <mergeCell ref="J184:J185"/>
    <mergeCell ref="J186:J188"/>
    <mergeCell ref="J190:J192"/>
    <mergeCell ref="J193:J194"/>
    <mergeCell ref="J195:J198"/>
    <mergeCell ref="N3:N6"/>
    <mergeCell ref="N7:N12"/>
    <mergeCell ref="N17:N20"/>
    <mergeCell ref="N21:N26"/>
    <mergeCell ref="N27:N30"/>
    <mergeCell ref="N31:N34"/>
    <mergeCell ref="N35:N40"/>
    <mergeCell ref="N41:N44"/>
    <mergeCell ref="N45:N48"/>
    <mergeCell ref="N49:N52"/>
    <mergeCell ref="N53:N56"/>
    <mergeCell ref="N57:N61"/>
    <mergeCell ref="N62:N67"/>
    <mergeCell ref="N68:N73"/>
    <mergeCell ref="N74:N77"/>
    <mergeCell ref="N78:N83"/>
    <mergeCell ref="N84:N89"/>
    <mergeCell ref="N90:N94"/>
    <mergeCell ref="N95:N99"/>
    <mergeCell ref="N100:N103"/>
    <mergeCell ref="N106:N108"/>
    <mergeCell ref="N109:N113"/>
    <mergeCell ref="N114:N117"/>
    <mergeCell ref="N118:N122"/>
    <mergeCell ref="N123:N126"/>
    <mergeCell ref="N127:N130"/>
    <mergeCell ref="N131:N134"/>
    <mergeCell ref="N175:N179"/>
    <mergeCell ref="N180:N181"/>
    <mergeCell ref="N182:N183"/>
    <mergeCell ref="N184:N185"/>
    <mergeCell ref="N186:N188"/>
    <mergeCell ref="N190:N192"/>
    <mergeCell ref="N193:N194"/>
    <mergeCell ref="N195:N198"/>
    <mergeCell ref="N135:N138"/>
    <mergeCell ref="N139:N142"/>
    <mergeCell ref="N143:N146"/>
    <mergeCell ref="N147:N150"/>
    <mergeCell ref="N151:N154"/>
    <mergeCell ref="N155:N158"/>
    <mergeCell ref="N159:N162"/>
    <mergeCell ref="N163:N167"/>
    <mergeCell ref="N168:N174"/>
  </mergeCells>
  <phoneticPr fontId="16" type="noConversion"/>
  <pageMargins left="0.69930555555555596" right="0.69930555555555596" top="0.75" bottom="0.75" header="0.3" footer="0.3"/>
  <pageSetup paperSize="9" scale="7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420"/>
  <sheetViews>
    <sheetView tabSelected="1" workbookViewId="0">
      <pane xSplit="3" ySplit="2" topLeftCell="E3" activePane="bottomRight" state="frozen"/>
      <selection pane="topRight" activeCell="D1" sqref="D1"/>
      <selection pane="bottomLeft" activeCell="A2" sqref="A2"/>
      <selection pane="bottomRight" activeCell="A2" sqref="A2:G210"/>
    </sheetView>
  </sheetViews>
  <sheetFormatPr defaultColWidth="9" defaultRowHeight="15"/>
  <cols>
    <col min="2" max="2" width="4.28515625" customWidth="1"/>
    <col min="3" max="3" width="12.85546875" customWidth="1"/>
    <col min="4" max="4" width="60.28515625" bestFit="1" customWidth="1"/>
    <col min="5" max="5" width="67.85546875" bestFit="1" customWidth="1"/>
    <col min="6" max="6" width="50.42578125" style="104" customWidth="1"/>
    <col min="7" max="7" width="9.28515625" customWidth="1"/>
  </cols>
  <sheetData>
    <row r="2" spans="1:7" ht="27.6" customHeight="1" thickBot="1">
      <c r="A2" s="4" t="s">
        <v>0</v>
      </c>
      <c r="B2" s="5" t="s">
        <v>1</v>
      </c>
      <c r="C2" s="94" t="s">
        <v>2</v>
      </c>
      <c r="D2" s="12" t="s">
        <v>3</v>
      </c>
      <c r="E2" s="12" t="s">
        <v>4</v>
      </c>
      <c r="F2" s="94" t="s">
        <v>5</v>
      </c>
      <c r="G2" s="95" t="s">
        <v>6</v>
      </c>
    </row>
    <row r="3" spans="1:7" hidden="1">
      <c r="A3" s="146">
        <v>45778</v>
      </c>
      <c r="B3" s="125" t="s">
        <v>7</v>
      </c>
      <c r="C3" s="141"/>
      <c r="D3" s="15"/>
      <c r="E3" s="16"/>
      <c r="F3" s="97"/>
      <c r="G3" s="128"/>
    </row>
    <row r="4" spans="1:7" hidden="1">
      <c r="A4" s="147"/>
      <c r="B4" s="145"/>
      <c r="C4" s="142"/>
      <c r="D4" s="18"/>
      <c r="E4" s="19"/>
      <c r="F4" s="97"/>
      <c r="G4" s="128"/>
    </row>
    <row r="5" spans="1:7" hidden="1">
      <c r="A5" s="147"/>
      <c r="B5" s="145"/>
      <c r="C5" s="142"/>
      <c r="D5" s="18"/>
      <c r="E5" s="19"/>
      <c r="F5" s="97"/>
      <c r="G5" s="128"/>
    </row>
    <row r="6" spans="1:7" hidden="1">
      <c r="A6" s="147"/>
      <c r="B6" s="145"/>
      <c r="C6" s="142"/>
      <c r="D6" s="18"/>
      <c r="E6" s="56"/>
      <c r="F6" s="98"/>
      <c r="G6" s="125"/>
    </row>
    <row r="7" spans="1:7" hidden="1">
      <c r="A7" s="147"/>
      <c r="B7" s="143" t="s">
        <v>8</v>
      </c>
      <c r="C7" s="143"/>
      <c r="D7" s="20"/>
      <c r="E7" s="20"/>
      <c r="F7" s="99"/>
      <c r="G7" s="129"/>
    </row>
    <row r="8" spans="1:7" hidden="1">
      <c r="A8" s="147"/>
      <c r="B8" s="143"/>
      <c r="C8" s="143"/>
      <c r="D8" s="20"/>
      <c r="E8" s="20"/>
      <c r="F8" s="99"/>
      <c r="G8" s="130"/>
    </row>
    <row r="9" spans="1:7" hidden="1">
      <c r="A9" s="147"/>
      <c r="B9" s="143"/>
      <c r="C9" s="143"/>
      <c r="D9" s="20"/>
      <c r="E9" s="20"/>
      <c r="F9" s="99"/>
      <c r="G9" s="130"/>
    </row>
    <row r="10" spans="1:7" hidden="1">
      <c r="A10" s="147"/>
      <c r="B10" s="143"/>
      <c r="C10" s="143"/>
      <c r="D10" s="20"/>
      <c r="E10" s="20"/>
      <c r="F10" s="99"/>
      <c r="G10" s="130"/>
    </row>
    <row r="11" spans="1:7" hidden="1">
      <c r="A11" s="147"/>
      <c r="B11" s="143"/>
      <c r="C11" s="143"/>
      <c r="D11" s="20"/>
      <c r="E11" s="20"/>
      <c r="F11" s="99"/>
      <c r="G11" s="130"/>
    </row>
    <row r="12" spans="1:7" hidden="1">
      <c r="A12" s="147"/>
      <c r="B12" s="143"/>
      <c r="C12" s="143"/>
      <c r="D12" s="20"/>
      <c r="E12" s="20"/>
      <c r="F12" s="99"/>
      <c r="G12" s="131"/>
    </row>
    <row r="13" spans="1:7" hidden="1">
      <c r="A13" s="148"/>
      <c r="B13" s="144" t="s">
        <v>9</v>
      </c>
      <c r="C13" s="144"/>
      <c r="D13" s="55"/>
      <c r="E13" s="28"/>
      <c r="F13" s="100"/>
      <c r="G13" s="132"/>
    </row>
    <row r="14" spans="1:7" hidden="1">
      <c r="A14" s="148"/>
      <c r="B14" s="144"/>
      <c r="C14" s="144"/>
      <c r="D14" s="24"/>
      <c r="E14" s="24"/>
      <c r="F14" s="100"/>
      <c r="G14" s="133"/>
    </row>
    <row r="15" spans="1:7" hidden="1">
      <c r="A15" s="148"/>
      <c r="B15" s="144"/>
      <c r="C15" s="144"/>
      <c r="D15" s="52"/>
      <c r="E15" s="53"/>
      <c r="F15" s="101"/>
      <c r="G15" s="133"/>
    </row>
    <row r="16" spans="1:7" hidden="1">
      <c r="A16" s="148"/>
      <c r="B16" s="144"/>
      <c r="C16" s="144"/>
      <c r="D16" s="57"/>
      <c r="E16" s="53"/>
      <c r="F16" s="101"/>
      <c r="G16" s="134"/>
    </row>
    <row r="17" spans="1:7" hidden="1">
      <c r="A17" s="146">
        <v>45779</v>
      </c>
      <c r="B17" s="125" t="s">
        <v>7</v>
      </c>
      <c r="C17" s="141" t="s">
        <v>61</v>
      </c>
      <c r="D17" s="18" t="s">
        <v>233</v>
      </c>
      <c r="E17" s="16" t="s">
        <v>234</v>
      </c>
      <c r="F17" s="97">
        <v>25</v>
      </c>
      <c r="G17" s="128">
        <f>SUM(F17:F20)</f>
        <v>62</v>
      </c>
    </row>
    <row r="18" spans="1:7" hidden="1">
      <c r="A18" s="147"/>
      <c r="B18" s="145"/>
      <c r="C18" s="142"/>
      <c r="D18" s="18" t="s">
        <v>235</v>
      </c>
      <c r="E18" s="19" t="s">
        <v>236</v>
      </c>
      <c r="F18" s="97">
        <v>12</v>
      </c>
      <c r="G18" s="128"/>
    </row>
    <row r="19" spans="1:7" hidden="1">
      <c r="A19" s="147"/>
      <c r="B19" s="145"/>
      <c r="C19" s="142"/>
      <c r="D19" s="18" t="s">
        <v>237</v>
      </c>
      <c r="E19" s="19" t="s">
        <v>238</v>
      </c>
      <c r="F19" s="97">
        <v>11</v>
      </c>
      <c r="G19" s="128"/>
    </row>
    <row r="20" spans="1:7" hidden="1">
      <c r="A20" s="147"/>
      <c r="B20" s="145"/>
      <c r="C20" s="142"/>
      <c r="D20" s="18" t="s">
        <v>239</v>
      </c>
      <c r="E20" s="61" t="s">
        <v>240</v>
      </c>
      <c r="F20" s="98">
        <v>14</v>
      </c>
      <c r="G20" s="125"/>
    </row>
    <row r="21" spans="1:7" hidden="1">
      <c r="A21" s="147"/>
      <c r="B21" s="143" t="s">
        <v>8</v>
      </c>
      <c r="C21" s="143"/>
      <c r="D21" s="20"/>
      <c r="E21" s="20"/>
      <c r="F21" s="99"/>
      <c r="G21" s="129"/>
    </row>
    <row r="22" spans="1:7" hidden="1">
      <c r="A22" s="147"/>
      <c r="B22" s="143"/>
      <c r="C22" s="143"/>
      <c r="D22" s="20"/>
      <c r="E22" s="20"/>
      <c r="F22" s="99"/>
      <c r="G22" s="130"/>
    </row>
    <row r="23" spans="1:7" hidden="1">
      <c r="A23" s="147"/>
      <c r="B23" s="143"/>
      <c r="C23" s="143"/>
      <c r="D23" s="20"/>
      <c r="E23" s="20"/>
      <c r="F23" s="99"/>
      <c r="G23" s="130"/>
    </row>
    <row r="24" spans="1:7" hidden="1">
      <c r="A24" s="147"/>
      <c r="B24" s="143"/>
      <c r="C24" s="143"/>
      <c r="D24" s="20"/>
      <c r="E24" s="20"/>
      <c r="F24" s="99"/>
      <c r="G24" s="130"/>
    </row>
    <row r="25" spans="1:7" hidden="1">
      <c r="A25" s="147"/>
      <c r="B25" s="143"/>
      <c r="C25" s="143"/>
      <c r="D25" s="20"/>
      <c r="E25" s="20"/>
      <c r="F25" s="99"/>
      <c r="G25" s="130"/>
    </row>
    <row r="26" spans="1:7" hidden="1">
      <c r="A26" s="147"/>
      <c r="B26" s="143"/>
      <c r="C26" s="143"/>
      <c r="D26" s="20"/>
      <c r="E26" s="20"/>
      <c r="F26" s="99"/>
      <c r="G26" s="131"/>
    </row>
    <row r="27" spans="1:7" hidden="1">
      <c r="A27" s="148"/>
      <c r="B27" s="144" t="s">
        <v>9</v>
      </c>
      <c r="C27" s="144"/>
      <c r="D27" s="55"/>
      <c r="E27" s="28"/>
      <c r="F27" s="100"/>
      <c r="G27" s="132"/>
    </row>
    <row r="28" spans="1:7" hidden="1">
      <c r="A28" s="148"/>
      <c r="B28" s="144"/>
      <c r="C28" s="144"/>
      <c r="D28" s="24"/>
      <c r="E28" s="24"/>
      <c r="F28" s="100"/>
      <c r="G28" s="133"/>
    </row>
    <row r="29" spans="1:7" hidden="1">
      <c r="A29" s="148"/>
      <c r="B29" s="144"/>
      <c r="C29" s="144"/>
      <c r="D29" s="52"/>
      <c r="E29" s="53"/>
      <c r="F29" s="101"/>
      <c r="G29" s="133"/>
    </row>
    <row r="30" spans="1:7" hidden="1">
      <c r="A30" s="148"/>
      <c r="B30" s="144"/>
      <c r="C30" s="144"/>
      <c r="D30" s="57"/>
      <c r="E30" s="53"/>
      <c r="F30" s="101"/>
      <c r="G30" s="134"/>
    </row>
    <row r="31" spans="1:7" hidden="1">
      <c r="A31" s="146">
        <v>45780</v>
      </c>
      <c r="B31" s="125" t="s">
        <v>7</v>
      </c>
      <c r="C31" s="141" t="s">
        <v>19</v>
      </c>
      <c r="D31" s="15" t="s">
        <v>241</v>
      </c>
      <c r="E31" s="16" t="s">
        <v>242</v>
      </c>
      <c r="F31" s="97">
        <v>10</v>
      </c>
      <c r="G31" s="128"/>
    </row>
    <row r="32" spans="1:7" hidden="1">
      <c r="A32" s="147"/>
      <c r="B32" s="145"/>
      <c r="C32" s="142"/>
      <c r="D32" s="18" t="s">
        <v>243</v>
      </c>
      <c r="E32" s="19" t="s">
        <v>244</v>
      </c>
      <c r="F32" s="97">
        <v>5</v>
      </c>
      <c r="G32" s="128"/>
    </row>
    <row r="33" spans="1:7" hidden="1">
      <c r="A33" s="147"/>
      <c r="B33" s="145"/>
      <c r="C33" s="142"/>
      <c r="D33" s="18" t="s">
        <v>245</v>
      </c>
      <c r="E33" s="19" t="s">
        <v>246</v>
      </c>
      <c r="F33" s="97">
        <v>5</v>
      </c>
      <c r="G33" s="128"/>
    </row>
    <row r="34" spans="1:7" hidden="1">
      <c r="A34" s="147"/>
      <c r="B34" s="145"/>
      <c r="C34" s="142"/>
      <c r="D34" s="18" t="s">
        <v>249</v>
      </c>
      <c r="E34" s="19" t="s">
        <v>250</v>
      </c>
      <c r="F34" s="96">
        <v>5</v>
      </c>
      <c r="G34" s="128"/>
    </row>
    <row r="35" spans="1:7" hidden="1">
      <c r="A35" s="147"/>
      <c r="B35" s="145"/>
      <c r="C35" s="142"/>
      <c r="D35" s="18" t="s">
        <v>251</v>
      </c>
      <c r="E35" s="19" t="s">
        <v>252</v>
      </c>
      <c r="F35" s="102">
        <v>2</v>
      </c>
      <c r="G35" s="128"/>
    </row>
    <row r="36" spans="1:7" hidden="1">
      <c r="A36" s="147"/>
      <c r="B36" s="145"/>
      <c r="C36" s="142"/>
      <c r="D36" s="18" t="s">
        <v>253</v>
      </c>
      <c r="E36" s="19" t="s">
        <v>254</v>
      </c>
      <c r="F36" s="102">
        <v>3</v>
      </c>
      <c r="G36" s="128"/>
    </row>
    <row r="37" spans="1:7" hidden="1">
      <c r="A37" s="147"/>
      <c r="B37" s="145"/>
      <c r="C37" s="142"/>
      <c r="D37" s="18" t="s">
        <v>247</v>
      </c>
      <c r="E37" s="61" t="s">
        <v>248</v>
      </c>
      <c r="F37" s="103">
        <v>5</v>
      </c>
      <c r="G37" s="125"/>
    </row>
    <row r="38" spans="1:7" hidden="1">
      <c r="A38" s="147"/>
      <c r="B38" s="143" t="s">
        <v>8</v>
      </c>
      <c r="C38" s="143" t="s">
        <v>255</v>
      </c>
      <c r="D38" s="159" t="s">
        <v>256</v>
      </c>
      <c r="E38" s="20"/>
      <c r="F38" s="99"/>
      <c r="G38" s="129"/>
    </row>
    <row r="39" spans="1:7" hidden="1">
      <c r="A39" s="147"/>
      <c r="B39" s="143"/>
      <c r="C39" s="143"/>
      <c r="D39" s="160"/>
      <c r="E39" s="58"/>
      <c r="F39" s="99"/>
      <c r="G39" s="130"/>
    </row>
    <row r="40" spans="1:7" hidden="1">
      <c r="A40" s="147"/>
      <c r="B40" s="143"/>
      <c r="C40" s="143"/>
      <c r="D40" s="160"/>
      <c r="E40" s="20"/>
      <c r="F40" s="99"/>
      <c r="G40" s="130"/>
    </row>
    <row r="41" spans="1:7" hidden="1">
      <c r="A41" s="147"/>
      <c r="B41" s="143"/>
      <c r="C41" s="143"/>
      <c r="D41" s="160"/>
      <c r="E41" s="20"/>
      <c r="F41" s="99"/>
      <c r="G41" s="130"/>
    </row>
    <row r="42" spans="1:7" hidden="1">
      <c r="A42" s="147"/>
      <c r="B42" s="143"/>
      <c r="C42" s="143"/>
      <c r="D42" s="160"/>
      <c r="E42" s="20"/>
      <c r="F42" s="99"/>
      <c r="G42" s="130"/>
    </row>
    <row r="43" spans="1:7" hidden="1">
      <c r="A43" s="147"/>
      <c r="B43" s="143"/>
      <c r="C43" s="143"/>
      <c r="D43" s="161"/>
      <c r="E43" s="20"/>
      <c r="F43" s="99"/>
      <c r="G43" s="131"/>
    </row>
    <row r="44" spans="1:7" hidden="1">
      <c r="A44" s="148"/>
      <c r="B44" s="144" t="s">
        <v>9</v>
      </c>
      <c r="C44" s="144"/>
      <c r="D44" s="55"/>
      <c r="E44" s="28"/>
      <c r="F44" s="100"/>
      <c r="G44" s="132"/>
    </row>
    <row r="45" spans="1:7" hidden="1">
      <c r="A45" s="148"/>
      <c r="B45" s="144"/>
      <c r="C45" s="144"/>
      <c r="D45" s="24"/>
      <c r="E45" s="24"/>
      <c r="F45" s="100"/>
      <c r="G45" s="133"/>
    </row>
    <row r="46" spans="1:7" hidden="1">
      <c r="A46" s="148"/>
      <c r="B46" s="144"/>
      <c r="C46" s="144"/>
      <c r="D46" s="52"/>
      <c r="E46" s="53"/>
      <c r="F46" s="101"/>
      <c r="G46" s="133"/>
    </row>
    <row r="47" spans="1:7" hidden="1">
      <c r="A47" s="148"/>
      <c r="B47" s="144"/>
      <c r="C47" s="144"/>
      <c r="D47" s="57"/>
      <c r="E47" s="53"/>
      <c r="F47" s="101"/>
      <c r="G47" s="134"/>
    </row>
    <row r="48" spans="1:7" hidden="1">
      <c r="A48" s="146">
        <v>45781</v>
      </c>
      <c r="B48" s="125" t="s">
        <v>7</v>
      </c>
      <c r="C48" s="141"/>
      <c r="D48" s="15"/>
      <c r="E48" s="16"/>
      <c r="F48" s="97"/>
      <c r="G48" s="128"/>
    </row>
    <row r="49" spans="1:7" hidden="1">
      <c r="A49" s="147"/>
      <c r="B49" s="145"/>
      <c r="C49" s="142"/>
      <c r="D49" s="18"/>
      <c r="E49" s="19"/>
      <c r="F49" s="97"/>
      <c r="G49" s="128"/>
    </row>
    <row r="50" spans="1:7" hidden="1">
      <c r="A50" s="147"/>
      <c r="B50" s="145"/>
      <c r="C50" s="142"/>
      <c r="D50" s="18"/>
      <c r="E50" s="19"/>
      <c r="F50" s="97"/>
      <c r="G50" s="128"/>
    </row>
    <row r="51" spans="1:7" hidden="1">
      <c r="A51" s="147"/>
      <c r="B51" s="145"/>
      <c r="C51" s="142"/>
      <c r="D51" s="18"/>
      <c r="E51" s="56"/>
      <c r="F51" s="98"/>
      <c r="G51" s="125"/>
    </row>
    <row r="52" spans="1:7" hidden="1">
      <c r="A52" s="147"/>
      <c r="B52" s="143" t="s">
        <v>8</v>
      </c>
      <c r="C52" s="143"/>
      <c r="D52" s="20"/>
      <c r="E52" s="20"/>
      <c r="F52" s="99"/>
      <c r="G52" s="129"/>
    </row>
    <row r="53" spans="1:7" hidden="1">
      <c r="A53" s="147"/>
      <c r="B53" s="143"/>
      <c r="C53" s="143"/>
      <c r="D53" s="20"/>
      <c r="E53" s="20"/>
      <c r="F53" s="99"/>
      <c r="G53" s="130"/>
    </row>
    <row r="54" spans="1:7" hidden="1">
      <c r="A54" s="147"/>
      <c r="B54" s="143"/>
      <c r="C54" s="143"/>
      <c r="D54" s="20"/>
      <c r="E54" s="20"/>
      <c r="F54" s="99"/>
      <c r="G54" s="130"/>
    </row>
    <row r="55" spans="1:7" hidden="1">
      <c r="A55" s="147"/>
      <c r="B55" s="143"/>
      <c r="C55" s="143"/>
      <c r="D55" s="20"/>
      <c r="E55" s="20"/>
      <c r="F55" s="99"/>
      <c r="G55" s="130"/>
    </row>
    <row r="56" spans="1:7" hidden="1">
      <c r="A56" s="147"/>
      <c r="B56" s="143"/>
      <c r="C56" s="143"/>
      <c r="D56" s="20"/>
      <c r="E56" s="20"/>
      <c r="F56" s="99"/>
      <c r="G56" s="130"/>
    </row>
    <row r="57" spans="1:7" hidden="1">
      <c r="A57" s="147"/>
      <c r="B57" s="143"/>
      <c r="C57" s="143"/>
      <c r="D57" s="20"/>
      <c r="E57" s="20"/>
      <c r="F57" s="99"/>
      <c r="G57" s="131"/>
    </row>
    <row r="58" spans="1:7" hidden="1">
      <c r="A58" s="148"/>
      <c r="B58" s="144" t="s">
        <v>9</v>
      </c>
      <c r="C58" s="144"/>
      <c r="D58" s="55"/>
      <c r="E58" s="28"/>
      <c r="F58" s="100"/>
      <c r="G58" s="132"/>
    </row>
    <row r="59" spans="1:7" hidden="1">
      <c r="A59" s="148"/>
      <c r="B59" s="144"/>
      <c r="C59" s="144"/>
      <c r="D59" s="24"/>
      <c r="E59" s="24"/>
      <c r="F59" s="100"/>
      <c r="G59" s="133"/>
    </row>
    <row r="60" spans="1:7" hidden="1">
      <c r="A60" s="148"/>
      <c r="B60" s="144"/>
      <c r="C60" s="144"/>
      <c r="D60" s="52"/>
      <c r="E60" s="53"/>
      <c r="F60" s="101"/>
      <c r="G60" s="133"/>
    </row>
    <row r="61" spans="1:7" hidden="1">
      <c r="A61" s="148"/>
      <c r="B61" s="144"/>
      <c r="C61" s="144"/>
      <c r="D61" s="57"/>
      <c r="E61" s="53"/>
      <c r="F61" s="101"/>
      <c r="G61" s="134"/>
    </row>
    <row r="62" spans="1:7" hidden="1">
      <c r="A62" s="146">
        <v>45782</v>
      </c>
      <c r="B62" s="125" t="s">
        <v>7</v>
      </c>
      <c r="C62" s="141" t="s">
        <v>255</v>
      </c>
      <c r="D62" s="124" t="s">
        <v>256</v>
      </c>
      <c r="E62" s="124" t="s">
        <v>258</v>
      </c>
      <c r="F62" s="126">
        <v>65</v>
      </c>
      <c r="G62" s="128">
        <v>65</v>
      </c>
    </row>
    <row r="63" spans="1:7" hidden="1">
      <c r="A63" s="147"/>
      <c r="B63" s="145"/>
      <c r="C63" s="142"/>
      <c r="D63" s="128"/>
      <c r="E63" s="128"/>
      <c r="F63" s="158"/>
      <c r="G63" s="128"/>
    </row>
    <row r="64" spans="1:7" hidden="1">
      <c r="A64" s="147"/>
      <c r="B64" s="145"/>
      <c r="C64" s="142"/>
      <c r="D64" s="128"/>
      <c r="E64" s="128"/>
      <c r="F64" s="158"/>
      <c r="G64" s="128"/>
    </row>
    <row r="65" spans="1:7" hidden="1">
      <c r="A65" s="147"/>
      <c r="B65" s="145"/>
      <c r="C65" s="142"/>
      <c r="D65" s="125"/>
      <c r="E65" s="125"/>
      <c r="F65" s="127"/>
      <c r="G65" s="125"/>
    </row>
    <row r="66" spans="1:7" hidden="1">
      <c r="A66" s="147"/>
      <c r="B66" s="143" t="s">
        <v>8</v>
      </c>
      <c r="C66" s="143"/>
      <c r="D66" s="20"/>
      <c r="E66" s="20"/>
      <c r="F66" s="99"/>
      <c r="G66" s="129"/>
    </row>
    <row r="67" spans="1:7" hidden="1">
      <c r="A67" s="147"/>
      <c r="B67" s="143"/>
      <c r="C67" s="143"/>
      <c r="D67" s="20"/>
      <c r="E67" s="20"/>
      <c r="F67" s="99"/>
      <c r="G67" s="130"/>
    </row>
    <row r="68" spans="1:7" hidden="1">
      <c r="A68" s="147"/>
      <c r="B68" s="143"/>
      <c r="C68" s="143"/>
      <c r="D68" s="20"/>
      <c r="E68" s="20"/>
      <c r="F68" s="99"/>
      <c r="G68" s="130"/>
    </row>
    <row r="69" spans="1:7" hidden="1">
      <c r="A69" s="147"/>
      <c r="B69" s="143"/>
      <c r="C69" s="143"/>
      <c r="D69" s="20"/>
      <c r="E69" s="20"/>
      <c r="F69" s="99"/>
      <c r="G69" s="130"/>
    </row>
    <row r="70" spans="1:7" hidden="1">
      <c r="A70" s="147"/>
      <c r="B70" s="143"/>
      <c r="C70" s="143"/>
      <c r="D70" s="20"/>
      <c r="E70" s="20"/>
      <c r="F70" s="99"/>
      <c r="G70" s="130"/>
    </row>
    <row r="71" spans="1:7" hidden="1">
      <c r="A71" s="147"/>
      <c r="B71" s="143"/>
      <c r="C71" s="143"/>
      <c r="D71" s="20"/>
      <c r="E71" s="20"/>
      <c r="F71" s="99"/>
      <c r="G71" s="131"/>
    </row>
    <row r="72" spans="1:7" hidden="1">
      <c r="A72" s="148"/>
      <c r="B72" s="144" t="s">
        <v>9</v>
      </c>
      <c r="C72" s="144"/>
      <c r="D72" s="55"/>
      <c r="E72" s="28"/>
      <c r="F72" s="100"/>
      <c r="G72" s="132"/>
    </row>
    <row r="73" spans="1:7" hidden="1">
      <c r="A73" s="148"/>
      <c r="B73" s="144"/>
      <c r="C73" s="144"/>
      <c r="D73" s="24"/>
      <c r="E73" s="24"/>
      <c r="F73" s="100"/>
      <c r="G73" s="133"/>
    </row>
    <row r="74" spans="1:7" hidden="1">
      <c r="A74" s="148"/>
      <c r="B74" s="144"/>
      <c r="C74" s="144"/>
      <c r="D74" s="52"/>
      <c r="E74" s="53"/>
      <c r="F74" s="101"/>
      <c r="G74" s="133"/>
    </row>
    <row r="75" spans="1:7" hidden="1">
      <c r="A75" s="148"/>
      <c r="B75" s="144"/>
      <c r="C75" s="144"/>
      <c r="D75" s="57"/>
      <c r="E75" s="53"/>
      <c r="F75" s="101"/>
      <c r="G75" s="134"/>
    </row>
    <row r="76" spans="1:7" hidden="1">
      <c r="A76" s="146">
        <v>45783</v>
      </c>
      <c r="B76" s="125" t="s">
        <v>7</v>
      </c>
      <c r="C76" s="141" t="s">
        <v>255</v>
      </c>
      <c r="D76" s="124" t="s">
        <v>259</v>
      </c>
      <c r="E76" s="124"/>
      <c r="F76" s="126"/>
      <c r="G76" s="128"/>
    </row>
    <row r="77" spans="1:7" hidden="1">
      <c r="A77" s="147"/>
      <c r="B77" s="145"/>
      <c r="C77" s="142"/>
      <c r="D77" s="128"/>
      <c r="E77" s="128"/>
      <c r="F77" s="158"/>
      <c r="G77" s="128"/>
    </row>
    <row r="78" spans="1:7" hidden="1">
      <c r="A78" s="147"/>
      <c r="B78" s="145"/>
      <c r="C78" s="142"/>
      <c r="D78" s="128"/>
      <c r="E78" s="128"/>
      <c r="F78" s="158"/>
      <c r="G78" s="128"/>
    </row>
    <row r="79" spans="1:7" hidden="1">
      <c r="A79" s="147"/>
      <c r="B79" s="145"/>
      <c r="C79" s="142"/>
      <c r="D79" s="125"/>
      <c r="E79" s="125"/>
      <c r="F79" s="127"/>
      <c r="G79" s="125"/>
    </row>
    <row r="80" spans="1:7" hidden="1">
      <c r="A80" s="147"/>
      <c r="B80" s="143" t="s">
        <v>8</v>
      </c>
      <c r="C80" s="143"/>
      <c r="D80" s="20"/>
      <c r="E80" s="20"/>
      <c r="F80" s="99"/>
      <c r="G80" s="129"/>
    </row>
    <row r="81" spans="1:7" hidden="1">
      <c r="A81" s="147"/>
      <c r="B81" s="143"/>
      <c r="C81" s="143"/>
      <c r="D81" s="20"/>
      <c r="E81" s="20"/>
      <c r="F81" s="99"/>
      <c r="G81" s="130"/>
    </row>
    <row r="82" spans="1:7" hidden="1">
      <c r="A82" s="147"/>
      <c r="B82" s="143"/>
      <c r="C82" s="143"/>
      <c r="D82" s="20"/>
      <c r="E82" s="20"/>
      <c r="F82" s="99"/>
      <c r="G82" s="130"/>
    </row>
    <row r="83" spans="1:7" hidden="1">
      <c r="A83" s="147"/>
      <c r="B83" s="143"/>
      <c r="C83" s="143"/>
      <c r="D83" s="20"/>
      <c r="E83" s="20"/>
      <c r="F83" s="99"/>
      <c r="G83" s="130"/>
    </row>
    <row r="84" spans="1:7" hidden="1">
      <c r="A84" s="147"/>
      <c r="B84" s="143"/>
      <c r="C84" s="143"/>
      <c r="D84" s="20"/>
      <c r="E84" s="20"/>
      <c r="F84" s="99"/>
      <c r="G84" s="130"/>
    </row>
    <row r="85" spans="1:7" hidden="1">
      <c r="A85" s="147"/>
      <c r="B85" s="143"/>
      <c r="C85" s="143"/>
      <c r="D85" s="20"/>
      <c r="E85" s="20"/>
      <c r="F85" s="99"/>
      <c r="G85" s="131"/>
    </row>
    <row r="86" spans="1:7" hidden="1">
      <c r="A86" s="148"/>
      <c r="B86" s="144" t="s">
        <v>9</v>
      </c>
      <c r="C86" s="144"/>
      <c r="D86" s="55"/>
      <c r="E86" s="28"/>
      <c r="F86" s="100"/>
      <c r="G86" s="132"/>
    </row>
    <row r="87" spans="1:7" hidden="1">
      <c r="A87" s="148"/>
      <c r="B87" s="144"/>
      <c r="C87" s="144"/>
      <c r="D87" s="24"/>
      <c r="E87" s="24"/>
      <c r="F87" s="100"/>
      <c r="G87" s="133"/>
    </row>
    <row r="88" spans="1:7" hidden="1">
      <c r="A88" s="148"/>
      <c r="B88" s="144"/>
      <c r="C88" s="144"/>
      <c r="D88" s="52"/>
      <c r="E88" s="53"/>
      <c r="F88" s="101"/>
      <c r="G88" s="133"/>
    </row>
    <row r="89" spans="1:7" hidden="1">
      <c r="A89" s="148"/>
      <c r="B89" s="144"/>
      <c r="C89" s="144"/>
      <c r="D89" s="57"/>
      <c r="E89" s="53"/>
      <c r="F89" s="101"/>
      <c r="G89" s="134"/>
    </row>
    <row r="90" spans="1:7" hidden="1">
      <c r="A90" s="146">
        <v>45784</v>
      </c>
      <c r="B90" s="125" t="s">
        <v>7</v>
      </c>
      <c r="C90" s="141" t="s">
        <v>255</v>
      </c>
      <c r="D90" s="124" t="s">
        <v>260</v>
      </c>
      <c r="E90" s="124"/>
      <c r="F90" s="97"/>
      <c r="G90" s="128">
        <v>120</v>
      </c>
    </row>
    <row r="91" spans="1:7" hidden="1">
      <c r="A91" s="147"/>
      <c r="B91" s="145"/>
      <c r="C91" s="142"/>
      <c r="D91" s="125"/>
      <c r="E91" s="125"/>
      <c r="F91" s="97"/>
      <c r="G91" s="128"/>
    </row>
    <row r="92" spans="1:7" hidden="1">
      <c r="A92" s="147"/>
      <c r="B92" s="145"/>
      <c r="C92" s="142"/>
      <c r="D92" s="124" t="s">
        <v>261</v>
      </c>
      <c r="E92" s="124"/>
      <c r="F92" s="126">
        <v>120</v>
      </c>
      <c r="G92" s="128"/>
    </row>
    <row r="93" spans="1:7" hidden="1">
      <c r="A93" s="147"/>
      <c r="B93" s="145"/>
      <c r="C93" s="142"/>
      <c r="D93" s="125"/>
      <c r="E93" s="125"/>
      <c r="F93" s="127"/>
      <c r="G93" s="125"/>
    </row>
    <row r="94" spans="1:7" hidden="1">
      <c r="A94" s="147"/>
      <c r="B94" s="143" t="s">
        <v>8</v>
      </c>
      <c r="C94" s="143"/>
      <c r="D94" s="20"/>
      <c r="E94" s="20"/>
      <c r="F94" s="99"/>
      <c r="G94" s="129"/>
    </row>
    <row r="95" spans="1:7" hidden="1">
      <c r="A95" s="147"/>
      <c r="B95" s="143"/>
      <c r="C95" s="143"/>
      <c r="D95" s="20"/>
      <c r="E95" s="20"/>
      <c r="F95" s="99"/>
      <c r="G95" s="130"/>
    </row>
    <row r="96" spans="1:7" hidden="1">
      <c r="A96" s="147"/>
      <c r="B96" s="143"/>
      <c r="C96" s="143"/>
      <c r="D96" s="20"/>
      <c r="E96" s="20"/>
      <c r="F96" s="99"/>
      <c r="G96" s="130"/>
    </row>
    <row r="97" spans="1:7" hidden="1">
      <c r="A97" s="147"/>
      <c r="B97" s="143"/>
      <c r="C97" s="143"/>
      <c r="D97" s="20"/>
      <c r="E97" s="20"/>
      <c r="F97" s="99"/>
      <c r="G97" s="130"/>
    </row>
    <row r="98" spans="1:7" hidden="1">
      <c r="A98" s="147"/>
      <c r="B98" s="143"/>
      <c r="C98" s="143"/>
      <c r="D98" s="20"/>
      <c r="E98" s="20"/>
      <c r="F98" s="99"/>
      <c r="G98" s="130"/>
    </row>
    <row r="99" spans="1:7" hidden="1">
      <c r="A99" s="147"/>
      <c r="B99" s="143"/>
      <c r="C99" s="143"/>
      <c r="D99" s="20"/>
      <c r="E99" s="20"/>
      <c r="F99" s="99"/>
      <c r="G99" s="131"/>
    </row>
    <row r="100" spans="1:7" hidden="1">
      <c r="A100" s="148"/>
      <c r="B100" s="144" t="s">
        <v>9</v>
      </c>
      <c r="C100" s="144"/>
      <c r="D100" s="55"/>
      <c r="E100" s="28"/>
      <c r="F100" s="100"/>
      <c r="G100" s="132"/>
    </row>
    <row r="101" spans="1:7" hidden="1">
      <c r="A101" s="148"/>
      <c r="B101" s="144"/>
      <c r="C101" s="144"/>
      <c r="D101" s="24"/>
      <c r="E101" s="24"/>
      <c r="F101" s="100"/>
      <c r="G101" s="133"/>
    </row>
    <row r="102" spans="1:7" hidden="1">
      <c r="A102" s="148"/>
      <c r="B102" s="144"/>
      <c r="C102" s="144"/>
      <c r="D102" s="52"/>
      <c r="E102" s="53"/>
      <c r="F102" s="101"/>
      <c r="G102" s="133"/>
    </row>
    <row r="103" spans="1:7" hidden="1">
      <c r="A103" s="148"/>
      <c r="B103" s="144"/>
      <c r="C103" s="144"/>
      <c r="D103" s="57"/>
      <c r="E103" s="53"/>
      <c r="F103" s="101"/>
      <c r="G103" s="134"/>
    </row>
    <row r="104" spans="1:7" ht="24" hidden="1">
      <c r="A104" s="146">
        <v>45785</v>
      </c>
      <c r="B104" s="125" t="s">
        <v>7</v>
      </c>
      <c r="C104" s="141" t="s">
        <v>255</v>
      </c>
      <c r="D104" s="15" t="s">
        <v>262</v>
      </c>
      <c r="E104" s="16" t="s">
        <v>263</v>
      </c>
      <c r="F104" s="97">
        <v>29</v>
      </c>
      <c r="G104" s="128"/>
    </row>
    <row r="105" spans="1:7" hidden="1">
      <c r="A105" s="147"/>
      <c r="B105" s="145"/>
      <c r="C105" s="142"/>
      <c r="D105" s="18"/>
      <c r="E105" s="19"/>
      <c r="F105" s="97"/>
      <c r="G105" s="128"/>
    </row>
    <row r="106" spans="1:7" hidden="1">
      <c r="A106" s="147"/>
      <c r="B106" s="145"/>
      <c r="C106" s="142"/>
      <c r="D106" s="18"/>
      <c r="E106" s="19"/>
      <c r="F106" s="97"/>
      <c r="G106" s="128"/>
    </row>
    <row r="107" spans="1:7" hidden="1">
      <c r="A107" s="147"/>
      <c r="B107" s="145"/>
      <c r="C107" s="142"/>
      <c r="D107" s="18"/>
      <c r="E107" s="56"/>
      <c r="F107" s="98"/>
      <c r="G107" s="125"/>
    </row>
    <row r="108" spans="1:7" hidden="1">
      <c r="A108" s="147"/>
      <c r="B108" s="143" t="s">
        <v>8</v>
      </c>
      <c r="C108" s="143" t="s">
        <v>270</v>
      </c>
      <c r="D108" s="20"/>
      <c r="E108" s="20" t="s">
        <v>264</v>
      </c>
      <c r="F108" s="99"/>
      <c r="G108" s="129"/>
    </row>
    <row r="109" spans="1:7" hidden="1">
      <c r="A109" s="147"/>
      <c r="B109" s="143"/>
      <c r="C109" s="143"/>
      <c r="D109" s="20" t="s">
        <v>265</v>
      </c>
      <c r="E109" s="20" t="s">
        <v>266</v>
      </c>
      <c r="F109" s="99"/>
      <c r="G109" s="130"/>
    </row>
    <row r="110" spans="1:7" hidden="1">
      <c r="A110" s="147"/>
      <c r="B110" s="143"/>
      <c r="C110" s="143"/>
      <c r="D110" s="20" t="s">
        <v>267</v>
      </c>
      <c r="E110" s="20" t="s">
        <v>28</v>
      </c>
      <c r="F110" s="99"/>
      <c r="G110" s="130"/>
    </row>
    <row r="111" spans="1:7" hidden="1">
      <c r="A111" s="147"/>
      <c r="B111" s="143"/>
      <c r="C111" s="143"/>
      <c r="D111" s="20" t="s">
        <v>253</v>
      </c>
      <c r="E111" s="20" t="s">
        <v>254</v>
      </c>
      <c r="F111" s="99"/>
      <c r="G111" s="130"/>
    </row>
    <row r="112" spans="1:7" hidden="1">
      <c r="A112" s="147"/>
      <c r="B112" s="143"/>
      <c r="C112" s="143"/>
      <c r="D112" s="20" t="s">
        <v>210</v>
      </c>
      <c r="E112" s="20" t="s">
        <v>211</v>
      </c>
      <c r="F112" s="99"/>
      <c r="G112" s="130"/>
    </row>
    <row r="113" spans="1:7" hidden="1">
      <c r="A113" s="147"/>
      <c r="B113" s="143"/>
      <c r="C113" s="143"/>
      <c r="D113" s="20" t="s">
        <v>271</v>
      </c>
      <c r="E113" s="20" t="s">
        <v>28</v>
      </c>
      <c r="F113" s="99"/>
      <c r="G113" s="130"/>
    </row>
    <row r="114" spans="1:7" hidden="1">
      <c r="A114" s="147"/>
      <c r="B114" s="143"/>
      <c r="C114" s="143"/>
      <c r="D114" s="20" t="s">
        <v>268</v>
      </c>
      <c r="E114" s="20" t="s">
        <v>269</v>
      </c>
      <c r="F114" s="99"/>
      <c r="G114" s="131"/>
    </row>
    <row r="115" spans="1:7" hidden="1">
      <c r="A115" s="148"/>
      <c r="B115" s="144" t="s">
        <v>9</v>
      </c>
      <c r="C115" s="144" t="s">
        <v>273</v>
      </c>
      <c r="D115" s="55" t="s">
        <v>272</v>
      </c>
      <c r="E115" s="28"/>
      <c r="F115" s="100"/>
      <c r="G115" s="132"/>
    </row>
    <row r="116" spans="1:7" hidden="1">
      <c r="A116" s="148"/>
      <c r="B116" s="144"/>
      <c r="C116" s="144"/>
      <c r="D116" s="24"/>
      <c r="E116" s="24"/>
      <c r="F116" s="100"/>
      <c r="G116" s="133"/>
    </row>
    <row r="117" spans="1:7" hidden="1">
      <c r="A117" s="148"/>
      <c r="B117" s="144"/>
      <c r="C117" s="144"/>
      <c r="D117" s="52"/>
      <c r="E117" s="53"/>
      <c r="F117" s="101"/>
      <c r="G117" s="133"/>
    </row>
    <row r="118" spans="1:7" hidden="1">
      <c r="A118" s="148"/>
      <c r="B118" s="144"/>
      <c r="C118" s="144"/>
      <c r="D118" s="57"/>
      <c r="E118" s="53"/>
      <c r="F118" s="101"/>
      <c r="G118" s="134"/>
    </row>
    <row r="119" spans="1:7" hidden="1">
      <c r="A119" s="146">
        <v>45786</v>
      </c>
      <c r="B119" s="125" t="s">
        <v>7</v>
      </c>
      <c r="C119" s="141" t="s">
        <v>61</v>
      </c>
      <c r="D119" s="15" t="s">
        <v>272</v>
      </c>
      <c r="E119" s="16"/>
      <c r="F119" s="97"/>
      <c r="G119" s="128"/>
    </row>
    <row r="120" spans="1:7" hidden="1">
      <c r="A120" s="147"/>
      <c r="B120" s="145"/>
      <c r="C120" s="142"/>
      <c r="D120" s="122" t="s">
        <v>274</v>
      </c>
      <c r="E120" s="123"/>
      <c r="F120" s="97"/>
      <c r="G120" s="128"/>
    </row>
    <row r="121" spans="1:7" hidden="1">
      <c r="A121" s="147"/>
      <c r="B121" s="145"/>
      <c r="C121" s="142"/>
      <c r="D121" s="18"/>
      <c r="E121" s="19"/>
      <c r="F121" s="97"/>
      <c r="G121" s="128"/>
    </row>
    <row r="122" spans="1:7" hidden="1">
      <c r="A122" s="147"/>
      <c r="B122" s="145"/>
      <c r="C122" s="142"/>
      <c r="D122" s="18"/>
      <c r="E122" s="56"/>
      <c r="F122" s="98"/>
      <c r="G122" s="125"/>
    </row>
    <row r="123" spans="1:7" ht="24.75" hidden="1">
      <c r="A123" s="147"/>
      <c r="B123" s="143" t="s">
        <v>8</v>
      </c>
      <c r="C123" s="143" t="s">
        <v>275</v>
      </c>
      <c r="D123" s="20" t="s">
        <v>276</v>
      </c>
      <c r="E123" s="20" t="s">
        <v>277</v>
      </c>
      <c r="F123" s="99"/>
      <c r="G123" s="129"/>
    </row>
    <row r="124" spans="1:7" hidden="1">
      <c r="A124" s="147"/>
      <c r="B124" s="143"/>
      <c r="C124" s="143"/>
      <c r="D124" s="20" t="s">
        <v>278</v>
      </c>
      <c r="E124" s="20" t="s">
        <v>279</v>
      </c>
      <c r="F124" s="99">
        <v>5</v>
      </c>
      <c r="G124" s="130"/>
    </row>
    <row r="125" spans="1:7" hidden="1">
      <c r="A125" s="147"/>
      <c r="B125" s="143"/>
      <c r="C125" s="143"/>
      <c r="D125" s="20"/>
      <c r="E125" s="20" t="s">
        <v>280</v>
      </c>
      <c r="F125" s="99"/>
      <c r="G125" s="130"/>
    </row>
    <row r="126" spans="1:7" hidden="1">
      <c r="A126" s="148"/>
      <c r="B126" s="144" t="s">
        <v>9</v>
      </c>
      <c r="C126" s="144" t="s">
        <v>273</v>
      </c>
      <c r="D126" s="55" t="s">
        <v>272</v>
      </c>
      <c r="E126" s="28"/>
      <c r="F126" s="100"/>
      <c r="G126" s="132"/>
    </row>
    <row r="127" spans="1:7" hidden="1">
      <c r="A127" s="148"/>
      <c r="B127" s="144"/>
      <c r="C127" s="144"/>
      <c r="D127" s="24"/>
      <c r="E127" s="24"/>
      <c r="F127" s="100"/>
      <c r="G127" s="133"/>
    </row>
    <row r="128" spans="1:7" hidden="1">
      <c r="A128" s="148"/>
      <c r="B128" s="144"/>
      <c r="C128" s="144"/>
      <c r="D128" s="52"/>
      <c r="E128" s="53"/>
      <c r="F128" s="101"/>
      <c r="G128" s="133"/>
    </row>
    <row r="129" spans="1:7" hidden="1">
      <c r="A129" s="148"/>
      <c r="B129" s="144"/>
      <c r="C129" s="144"/>
      <c r="D129" s="57"/>
      <c r="E129" s="53"/>
      <c r="F129" s="101"/>
      <c r="G129" s="134"/>
    </row>
    <row r="130" spans="1:7" hidden="1">
      <c r="A130" s="146">
        <v>45787</v>
      </c>
      <c r="B130" s="125" t="s">
        <v>7</v>
      </c>
      <c r="C130" s="124" t="s">
        <v>61</v>
      </c>
      <c r="D130" s="15" t="s">
        <v>281</v>
      </c>
      <c r="E130" s="16" t="s">
        <v>282</v>
      </c>
      <c r="F130" s="97">
        <v>29</v>
      </c>
      <c r="G130" s="128"/>
    </row>
    <row r="131" spans="1:7" hidden="1">
      <c r="A131" s="147"/>
      <c r="B131" s="145"/>
      <c r="C131" s="128"/>
      <c r="D131" s="18"/>
      <c r="E131" s="19"/>
      <c r="F131" s="97"/>
      <c r="G131" s="128"/>
    </row>
    <row r="132" spans="1:7" hidden="1">
      <c r="A132" s="147"/>
      <c r="B132" s="145"/>
      <c r="C132" s="128"/>
      <c r="D132" s="18"/>
      <c r="E132" s="19"/>
      <c r="F132" s="97"/>
      <c r="G132" s="128"/>
    </row>
    <row r="133" spans="1:7" hidden="1">
      <c r="A133" s="147"/>
      <c r="B133" s="145"/>
      <c r="C133" s="125"/>
      <c r="D133" s="18"/>
      <c r="E133" s="56"/>
      <c r="F133" s="98"/>
      <c r="G133" s="125"/>
    </row>
    <row r="134" spans="1:7" ht="24.75" hidden="1">
      <c r="A134" s="147"/>
      <c r="B134" s="143" t="s">
        <v>8</v>
      </c>
      <c r="C134" s="143" t="s">
        <v>42</v>
      </c>
      <c r="D134" s="58" t="s">
        <v>283</v>
      </c>
      <c r="E134" s="20" t="s">
        <v>287</v>
      </c>
      <c r="F134" s="99"/>
      <c r="G134" s="129"/>
    </row>
    <row r="135" spans="1:7" ht="24.75" hidden="1">
      <c r="A135" s="147"/>
      <c r="B135" s="143"/>
      <c r="C135" s="143"/>
      <c r="D135" s="20"/>
      <c r="E135" s="20" t="s">
        <v>284</v>
      </c>
      <c r="F135" s="99"/>
      <c r="G135" s="130"/>
    </row>
    <row r="136" spans="1:7" hidden="1">
      <c r="A136" s="147"/>
      <c r="B136" s="143"/>
      <c r="C136" s="143"/>
      <c r="D136" s="20" t="s">
        <v>285</v>
      </c>
      <c r="E136" s="20" t="s">
        <v>286</v>
      </c>
      <c r="F136" s="99"/>
      <c r="G136" s="130"/>
    </row>
    <row r="137" spans="1:7" hidden="1">
      <c r="A137" s="148"/>
      <c r="B137" s="144" t="s">
        <v>9</v>
      </c>
      <c r="C137" s="144" t="s">
        <v>132</v>
      </c>
      <c r="D137" s="55" t="s">
        <v>288</v>
      </c>
      <c r="E137" s="28"/>
      <c r="F137" s="100"/>
      <c r="G137" s="132"/>
    </row>
    <row r="138" spans="1:7" hidden="1">
      <c r="A138" s="148"/>
      <c r="B138" s="144"/>
      <c r="C138" s="144"/>
      <c r="D138" s="24"/>
      <c r="E138" s="24"/>
      <c r="F138" s="100"/>
      <c r="G138" s="133"/>
    </row>
    <row r="139" spans="1:7" hidden="1">
      <c r="A139" s="148"/>
      <c r="B139" s="144"/>
      <c r="C139" s="144"/>
      <c r="D139" s="52"/>
      <c r="E139" s="53"/>
      <c r="F139" s="101"/>
      <c r="G139" s="133"/>
    </row>
    <row r="140" spans="1:7" hidden="1">
      <c r="A140" s="148"/>
      <c r="B140" s="144"/>
      <c r="C140" s="144"/>
      <c r="D140" s="57"/>
      <c r="E140" s="53"/>
      <c r="F140" s="101"/>
      <c r="G140" s="134"/>
    </row>
    <row r="141" spans="1:7" hidden="1">
      <c r="A141" s="146">
        <v>45789</v>
      </c>
      <c r="B141" s="125" t="s">
        <v>7</v>
      </c>
      <c r="C141" s="141" t="s">
        <v>290</v>
      </c>
      <c r="D141" s="15" t="s">
        <v>245</v>
      </c>
      <c r="E141" s="16" t="s">
        <v>291</v>
      </c>
      <c r="F141" s="97"/>
      <c r="G141" s="128"/>
    </row>
    <row r="142" spans="1:7" hidden="1">
      <c r="A142" s="147"/>
      <c r="B142" s="145"/>
      <c r="C142" s="142"/>
      <c r="D142" s="18" t="s">
        <v>247</v>
      </c>
      <c r="E142" s="19" t="s">
        <v>291</v>
      </c>
      <c r="F142" s="97"/>
      <c r="G142" s="128"/>
    </row>
    <row r="143" spans="1:7" hidden="1">
      <c r="A143" s="147"/>
      <c r="B143" s="145"/>
      <c r="C143" s="142"/>
      <c r="D143" s="18" t="s">
        <v>292</v>
      </c>
      <c r="E143" s="19" t="s">
        <v>293</v>
      </c>
      <c r="F143" s="97"/>
      <c r="G143" s="128"/>
    </row>
    <row r="144" spans="1:7" hidden="1">
      <c r="A144" s="147"/>
      <c r="B144" s="145"/>
      <c r="C144" s="142"/>
      <c r="D144" s="18" t="s">
        <v>294</v>
      </c>
      <c r="E144" s="56" t="s">
        <v>295</v>
      </c>
      <c r="F144" s="98"/>
      <c r="G144" s="125"/>
    </row>
    <row r="145" spans="1:7" hidden="1">
      <c r="A145" s="147"/>
      <c r="B145" s="116"/>
      <c r="C145" s="117"/>
      <c r="D145" s="18" t="s">
        <v>296</v>
      </c>
      <c r="E145" s="56" t="s">
        <v>297</v>
      </c>
      <c r="F145" s="98"/>
      <c r="G145" s="115"/>
    </row>
    <row r="146" spans="1:7" hidden="1">
      <c r="A146" s="147"/>
      <c r="B146" s="143" t="s">
        <v>8</v>
      </c>
      <c r="C146" s="143"/>
      <c r="D146" s="55" t="s">
        <v>288</v>
      </c>
      <c r="E146" s="20"/>
      <c r="F146" s="99"/>
      <c r="G146" s="129"/>
    </row>
    <row r="147" spans="1:7" hidden="1">
      <c r="A147" s="147"/>
      <c r="B147" s="143"/>
      <c r="C147" s="143"/>
      <c r="D147" s="20"/>
      <c r="E147" s="20"/>
      <c r="F147" s="99"/>
      <c r="G147" s="130"/>
    </row>
    <row r="148" spans="1:7" hidden="1">
      <c r="A148" s="147"/>
      <c r="B148" s="143"/>
      <c r="C148" s="143"/>
      <c r="D148" s="20"/>
      <c r="E148" s="20"/>
      <c r="F148" s="99"/>
      <c r="G148" s="130"/>
    </row>
    <row r="149" spans="1:7" hidden="1">
      <c r="A149" s="147"/>
      <c r="B149" s="143"/>
      <c r="C149" s="143"/>
      <c r="D149" s="20"/>
      <c r="E149" s="20"/>
      <c r="F149" s="99"/>
      <c r="G149" s="130"/>
    </row>
    <row r="150" spans="1:7" hidden="1">
      <c r="A150" s="147"/>
      <c r="B150" s="143"/>
      <c r="C150" s="143"/>
      <c r="D150" s="20"/>
      <c r="E150" s="20"/>
      <c r="F150" s="99"/>
      <c r="G150" s="130"/>
    </row>
    <row r="151" spans="1:7" hidden="1">
      <c r="A151" s="147"/>
      <c r="B151" s="143"/>
      <c r="C151" s="143"/>
      <c r="D151" s="20"/>
      <c r="E151" s="20"/>
      <c r="F151" s="99"/>
      <c r="G151" s="131"/>
    </row>
    <row r="152" spans="1:7" hidden="1">
      <c r="A152" s="148"/>
      <c r="B152" s="144" t="s">
        <v>9</v>
      </c>
      <c r="C152" s="144" t="s">
        <v>255</v>
      </c>
      <c r="D152" s="108" t="s">
        <v>299</v>
      </c>
      <c r="E152" s="28" t="s">
        <v>300</v>
      </c>
      <c r="F152" s="100">
        <v>19</v>
      </c>
      <c r="G152" s="132">
        <v>35</v>
      </c>
    </row>
    <row r="153" spans="1:7" hidden="1">
      <c r="A153" s="148"/>
      <c r="B153" s="144"/>
      <c r="C153" s="144"/>
      <c r="D153" s="108" t="s">
        <v>301</v>
      </c>
      <c r="E153" s="24" t="s">
        <v>302</v>
      </c>
      <c r="F153" s="100">
        <v>16</v>
      </c>
      <c r="G153" s="133"/>
    </row>
    <row r="154" spans="1:7" hidden="1">
      <c r="A154" s="148"/>
      <c r="B154" s="144"/>
      <c r="C154" s="144"/>
      <c r="D154" s="108"/>
      <c r="E154" s="53"/>
      <c r="F154" s="101"/>
      <c r="G154" s="133"/>
    </row>
    <row r="155" spans="1:7" hidden="1">
      <c r="A155" s="148"/>
      <c r="B155" s="144"/>
      <c r="C155" s="144"/>
      <c r="D155" s="108"/>
      <c r="E155" s="53"/>
      <c r="F155" s="101"/>
      <c r="G155" s="134"/>
    </row>
    <row r="156" spans="1:7" hidden="1">
      <c r="A156" s="146">
        <v>45790</v>
      </c>
      <c r="B156" s="125" t="s">
        <v>7</v>
      </c>
      <c r="C156" s="141"/>
      <c r="D156" s="15"/>
      <c r="E156" s="16"/>
      <c r="F156" s="97"/>
      <c r="G156" s="128"/>
    </row>
    <row r="157" spans="1:7" hidden="1">
      <c r="A157" s="147"/>
      <c r="B157" s="145"/>
      <c r="C157" s="142"/>
      <c r="D157" s="18"/>
      <c r="E157" s="19"/>
      <c r="F157" s="97"/>
      <c r="G157" s="128"/>
    </row>
    <row r="158" spans="1:7" hidden="1">
      <c r="A158" s="147"/>
      <c r="B158" s="145"/>
      <c r="C158" s="142"/>
      <c r="D158" s="18"/>
      <c r="E158" s="19"/>
      <c r="F158" s="97"/>
      <c r="G158" s="128"/>
    </row>
    <row r="159" spans="1:7" hidden="1">
      <c r="A159" s="147"/>
      <c r="B159" s="145"/>
      <c r="C159" s="142"/>
      <c r="D159" s="18"/>
      <c r="E159" s="56"/>
      <c r="F159" s="98"/>
      <c r="G159" s="125"/>
    </row>
    <row r="160" spans="1:7" hidden="1">
      <c r="A160" s="147"/>
      <c r="B160" s="152" t="s">
        <v>8</v>
      </c>
      <c r="C160" s="152" t="s">
        <v>308</v>
      </c>
      <c r="D160" s="135" t="s">
        <v>317</v>
      </c>
      <c r="E160" s="136"/>
      <c r="F160" s="137"/>
      <c r="G160" s="138"/>
    </row>
    <row r="161" spans="1:7" hidden="1">
      <c r="A161" s="147"/>
      <c r="B161" s="153"/>
      <c r="C161" s="153"/>
      <c r="D161" s="109" t="s">
        <v>313</v>
      </c>
      <c r="E161" s="111" t="s">
        <v>312</v>
      </c>
      <c r="F161" s="110"/>
      <c r="G161" s="139"/>
    </row>
    <row r="162" spans="1:7" hidden="1">
      <c r="A162" s="147"/>
      <c r="B162" s="153"/>
      <c r="C162" s="153"/>
      <c r="D162" s="47" t="s">
        <v>303</v>
      </c>
      <c r="E162" s="112" t="s">
        <v>304</v>
      </c>
      <c r="F162" s="110"/>
      <c r="G162" s="139"/>
    </row>
    <row r="163" spans="1:7" hidden="1">
      <c r="A163" s="147"/>
      <c r="B163" s="153"/>
      <c r="C163" s="153"/>
      <c r="D163" s="47" t="s">
        <v>305</v>
      </c>
      <c r="E163" s="112" t="s">
        <v>306</v>
      </c>
      <c r="F163" s="110"/>
      <c r="G163" s="139"/>
    </row>
    <row r="164" spans="1:7" hidden="1">
      <c r="A164" s="147"/>
      <c r="B164" s="153"/>
      <c r="C164" s="153"/>
      <c r="D164" s="47" t="s">
        <v>309</v>
      </c>
      <c r="E164" s="112" t="s">
        <v>307</v>
      </c>
      <c r="F164" s="110"/>
      <c r="G164" s="139"/>
    </row>
    <row r="165" spans="1:7" hidden="1">
      <c r="A165" s="147"/>
      <c r="B165" s="153"/>
      <c r="C165" s="153"/>
      <c r="D165" s="47" t="s">
        <v>310</v>
      </c>
      <c r="E165" s="112" t="s">
        <v>311</v>
      </c>
      <c r="F165" s="110"/>
      <c r="G165" s="139"/>
    </row>
    <row r="166" spans="1:7" hidden="1">
      <c r="A166" s="147"/>
      <c r="B166" s="153"/>
      <c r="C166" s="153"/>
      <c r="D166" s="47" t="s">
        <v>318</v>
      </c>
      <c r="E166" s="112" t="s">
        <v>319</v>
      </c>
      <c r="F166" s="110"/>
      <c r="G166" s="139"/>
    </row>
    <row r="167" spans="1:7" hidden="1">
      <c r="A167" s="147"/>
      <c r="B167" s="153"/>
      <c r="C167" s="153"/>
      <c r="D167" s="47" t="s">
        <v>314</v>
      </c>
      <c r="E167" s="47" t="s">
        <v>315</v>
      </c>
      <c r="F167" s="110"/>
      <c r="G167" s="140"/>
    </row>
    <row r="168" spans="1:7" hidden="1">
      <c r="A168" s="147"/>
      <c r="B168" s="154"/>
      <c r="C168" s="154"/>
      <c r="D168" s="47" t="s">
        <v>316</v>
      </c>
      <c r="E168" s="47"/>
      <c r="F168" s="110"/>
      <c r="G168" s="118"/>
    </row>
    <row r="169" spans="1:7" hidden="1">
      <c r="A169" s="148"/>
      <c r="B169" s="144" t="s">
        <v>9</v>
      </c>
      <c r="C169" s="144" t="s">
        <v>255</v>
      </c>
      <c r="D169" s="216" t="s">
        <v>354</v>
      </c>
      <c r="E169" s="28"/>
      <c r="F169" s="100"/>
      <c r="G169" s="132"/>
    </row>
    <row r="170" spans="1:7" hidden="1">
      <c r="A170" s="148"/>
      <c r="B170" s="144"/>
      <c r="C170" s="144"/>
      <c r="D170" s="217"/>
      <c r="E170" s="24"/>
      <c r="F170" s="100"/>
      <c r="G170" s="133"/>
    </row>
    <row r="171" spans="1:7" hidden="1">
      <c r="A171" s="148"/>
      <c r="B171" s="144"/>
      <c r="C171" s="144"/>
      <c r="D171" s="217"/>
      <c r="E171" s="53"/>
      <c r="F171" s="101"/>
      <c r="G171" s="133"/>
    </row>
    <row r="172" spans="1:7" hidden="1">
      <c r="A172" s="148"/>
      <c r="B172" s="144"/>
      <c r="C172" s="144"/>
      <c r="D172" s="218"/>
      <c r="E172" s="53"/>
      <c r="F172" s="101"/>
      <c r="G172" s="134"/>
    </row>
    <row r="173" spans="1:7" ht="24" hidden="1">
      <c r="A173" s="146">
        <v>45791</v>
      </c>
      <c r="B173" s="125" t="s">
        <v>7</v>
      </c>
      <c r="C173" s="141" t="s">
        <v>321</v>
      </c>
      <c r="D173" s="15" t="s">
        <v>276</v>
      </c>
      <c r="E173" s="16" t="s">
        <v>322</v>
      </c>
      <c r="F173" s="97"/>
      <c r="G173" s="128"/>
    </row>
    <row r="174" spans="1:7" hidden="1">
      <c r="A174" s="147"/>
      <c r="B174" s="145"/>
      <c r="C174" s="142"/>
      <c r="D174" s="18" t="s">
        <v>324</v>
      </c>
      <c r="E174" s="19" t="s">
        <v>323</v>
      </c>
      <c r="F174" s="97"/>
      <c r="G174" s="128"/>
    </row>
    <row r="175" spans="1:7" hidden="1">
      <c r="A175" s="147"/>
      <c r="B175" s="145"/>
      <c r="C175" s="142"/>
      <c r="D175" s="18" t="s">
        <v>325</v>
      </c>
      <c r="E175" s="19" t="s">
        <v>326</v>
      </c>
      <c r="F175" s="97"/>
      <c r="G175" s="128"/>
    </row>
    <row r="176" spans="1:7" hidden="1">
      <c r="A176" s="147"/>
      <c r="B176" s="143" t="s">
        <v>8</v>
      </c>
      <c r="C176" s="143"/>
      <c r="D176" s="20"/>
      <c r="E176" s="119"/>
      <c r="F176" s="99"/>
      <c r="G176" s="129"/>
    </row>
    <row r="177" spans="1:7" hidden="1">
      <c r="A177" s="147"/>
      <c r="B177" s="143"/>
      <c r="C177" s="143"/>
      <c r="D177" s="20"/>
      <c r="E177" s="20"/>
      <c r="F177" s="99"/>
      <c r="G177" s="130"/>
    </row>
    <row r="178" spans="1:7" hidden="1">
      <c r="A178" s="147"/>
      <c r="B178" s="143"/>
      <c r="C178" s="143"/>
      <c r="D178" s="20"/>
      <c r="E178" s="20"/>
      <c r="F178" s="99"/>
      <c r="G178" s="130"/>
    </row>
    <row r="179" spans="1:7" hidden="1">
      <c r="A179" s="147"/>
      <c r="B179" s="143"/>
      <c r="C179" s="143"/>
      <c r="D179" s="20"/>
      <c r="E179" s="20"/>
      <c r="F179" s="99"/>
      <c r="G179" s="130"/>
    </row>
    <row r="180" spans="1:7" hidden="1">
      <c r="A180" s="147"/>
      <c r="B180" s="143"/>
      <c r="C180" s="143"/>
      <c r="D180" s="20"/>
      <c r="E180" s="20"/>
      <c r="F180" s="99"/>
      <c r="G180" s="130"/>
    </row>
    <row r="181" spans="1:7" hidden="1">
      <c r="A181" s="147"/>
      <c r="B181" s="143"/>
      <c r="C181" s="143"/>
      <c r="D181" s="20"/>
      <c r="E181" s="20"/>
      <c r="F181" s="99"/>
      <c r="G181" s="131"/>
    </row>
    <row r="182" spans="1:7" ht="24" hidden="1">
      <c r="A182" s="148"/>
      <c r="B182" s="149" t="s">
        <v>9</v>
      </c>
      <c r="C182" s="144" t="s">
        <v>61</v>
      </c>
      <c r="D182" s="55" t="s">
        <v>328</v>
      </c>
      <c r="E182" s="28" t="s">
        <v>329</v>
      </c>
      <c r="F182" s="114"/>
      <c r="G182" s="132"/>
    </row>
    <row r="183" spans="1:7" hidden="1">
      <c r="A183" s="148"/>
      <c r="B183" s="150"/>
      <c r="C183" s="144"/>
      <c r="D183" s="24"/>
      <c r="E183" s="24"/>
      <c r="F183" s="100"/>
      <c r="G183" s="133"/>
    </row>
    <row r="184" spans="1:7" hidden="1">
      <c r="A184" s="148"/>
      <c r="B184" s="150"/>
      <c r="C184" s="144"/>
      <c r="D184" s="52"/>
      <c r="E184" s="53"/>
      <c r="F184" s="101"/>
      <c r="G184" s="133"/>
    </row>
    <row r="185" spans="1:7" hidden="1">
      <c r="A185" s="148"/>
      <c r="B185" s="151"/>
      <c r="C185" s="144"/>
      <c r="D185" s="57"/>
      <c r="E185" s="53"/>
      <c r="F185" s="101"/>
      <c r="G185" s="134"/>
    </row>
    <row r="186" spans="1:7" ht="24" hidden="1">
      <c r="A186" s="212">
        <v>45792</v>
      </c>
      <c r="B186" s="125" t="s">
        <v>7</v>
      </c>
      <c r="C186" s="141" t="s">
        <v>327</v>
      </c>
      <c r="D186" s="15" t="s">
        <v>330</v>
      </c>
      <c r="E186" s="16" t="s">
        <v>331</v>
      </c>
      <c r="F186" s="97">
        <v>8</v>
      </c>
      <c r="G186" s="128">
        <f>SUM(F186:F189)</f>
        <v>23</v>
      </c>
    </row>
    <row r="187" spans="1:7" ht="24" hidden="1">
      <c r="A187" s="213"/>
      <c r="B187" s="145"/>
      <c r="C187" s="142"/>
      <c r="D187" s="18" t="s">
        <v>332</v>
      </c>
      <c r="E187" s="19" t="s">
        <v>333</v>
      </c>
      <c r="F187" s="97">
        <v>10</v>
      </c>
      <c r="G187" s="128"/>
    </row>
    <row r="188" spans="1:7" ht="24" hidden="1">
      <c r="A188" s="213"/>
      <c r="B188" s="145"/>
      <c r="C188" s="142"/>
      <c r="D188" s="18" t="s">
        <v>334</v>
      </c>
      <c r="E188" s="19" t="s">
        <v>335</v>
      </c>
      <c r="F188" s="97">
        <v>5</v>
      </c>
      <c r="G188" s="128"/>
    </row>
    <row r="189" spans="1:7" ht="36" hidden="1" customHeight="1">
      <c r="A189" s="213"/>
      <c r="B189" s="145"/>
      <c r="C189" s="142"/>
      <c r="D189" s="18" t="s">
        <v>336</v>
      </c>
      <c r="E189" s="120" t="s">
        <v>337</v>
      </c>
      <c r="F189" s="121"/>
      <c r="G189" s="125"/>
    </row>
    <row r="190" spans="1:7" hidden="1">
      <c r="A190" s="213"/>
      <c r="B190" s="143" t="s">
        <v>8</v>
      </c>
      <c r="C190" s="143" t="s">
        <v>308</v>
      </c>
      <c r="D190" s="47" t="s">
        <v>338</v>
      </c>
      <c r="E190" s="47" t="s">
        <v>339</v>
      </c>
      <c r="F190" s="99">
        <v>20</v>
      </c>
      <c r="G190" s="168">
        <v>45</v>
      </c>
    </row>
    <row r="191" spans="1:7" ht="24.75" hidden="1">
      <c r="A191" s="213"/>
      <c r="B191" s="143"/>
      <c r="C191" s="143"/>
      <c r="D191" s="47" t="s">
        <v>342</v>
      </c>
      <c r="E191" s="47" t="s">
        <v>340</v>
      </c>
      <c r="F191" s="99">
        <v>25</v>
      </c>
      <c r="G191" s="169"/>
    </row>
    <row r="192" spans="1:7" hidden="1">
      <c r="A192" s="213"/>
      <c r="B192" s="143"/>
      <c r="C192" s="143"/>
      <c r="D192" s="47" t="s">
        <v>341</v>
      </c>
      <c r="E192" s="47" t="s">
        <v>341</v>
      </c>
      <c r="F192" s="99"/>
      <c r="G192" s="169"/>
    </row>
    <row r="193" spans="1:7" ht="24" hidden="1" customHeight="1">
      <c r="A193" s="213"/>
      <c r="B193" s="144" t="s">
        <v>9</v>
      </c>
      <c r="C193" s="144" t="s">
        <v>61</v>
      </c>
      <c r="D193" s="149" t="s">
        <v>343</v>
      </c>
      <c r="E193" s="219" t="s">
        <v>344</v>
      </c>
      <c r="F193" s="222">
        <v>41</v>
      </c>
      <c r="G193" s="132">
        <v>41</v>
      </c>
    </row>
    <row r="194" spans="1:7" hidden="1">
      <c r="A194" s="213"/>
      <c r="B194" s="144"/>
      <c r="C194" s="144"/>
      <c r="D194" s="150"/>
      <c r="E194" s="220"/>
      <c r="F194" s="223"/>
      <c r="G194" s="133"/>
    </row>
    <row r="195" spans="1:7" hidden="1">
      <c r="A195" s="213"/>
      <c r="B195" s="144"/>
      <c r="C195" s="144"/>
      <c r="D195" s="150"/>
      <c r="E195" s="220"/>
      <c r="F195" s="223"/>
      <c r="G195" s="133"/>
    </row>
    <row r="196" spans="1:7" hidden="1">
      <c r="A196" s="146"/>
      <c r="B196" s="144"/>
      <c r="C196" s="144"/>
      <c r="D196" s="151"/>
      <c r="E196" s="221"/>
      <c r="F196" s="224"/>
      <c r="G196" s="134"/>
    </row>
    <row r="197" spans="1:7" ht="24">
      <c r="A197" s="146">
        <v>45793</v>
      </c>
      <c r="B197" s="125" t="s">
        <v>7</v>
      </c>
      <c r="C197" s="141" t="s">
        <v>30</v>
      </c>
      <c r="D197" s="15" t="s">
        <v>345</v>
      </c>
      <c r="E197" s="16" t="s">
        <v>346</v>
      </c>
      <c r="F197" s="97">
        <v>25</v>
      </c>
      <c r="G197" s="128">
        <f>SUM(F197:F200)</f>
        <v>39</v>
      </c>
    </row>
    <row r="198" spans="1:7" ht="24">
      <c r="A198" s="147"/>
      <c r="B198" s="145"/>
      <c r="C198" s="142"/>
      <c r="D198" s="18" t="s">
        <v>347</v>
      </c>
      <c r="E198" s="19" t="s">
        <v>348</v>
      </c>
      <c r="F198" s="97">
        <v>5</v>
      </c>
      <c r="G198" s="128"/>
    </row>
    <row r="199" spans="1:7">
      <c r="A199" s="147"/>
      <c r="B199" s="145"/>
      <c r="C199" s="142"/>
      <c r="D199" s="18" t="s">
        <v>349</v>
      </c>
      <c r="E199" s="19" t="s">
        <v>350</v>
      </c>
      <c r="F199" s="97">
        <v>4</v>
      </c>
      <c r="G199" s="128"/>
    </row>
    <row r="200" spans="1:7">
      <c r="A200" s="147"/>
      <c r="B200" s="145"/>
      <c r="C200" s="142"/>
      <c r="D200" s="18" t="s">
        <v>351</v>
      </c>
      <c r="E200" s="56" t="s">
        <v>352</v>
      </c>
      <c r="F200" s="98">
        <v>5</v>
      </c>
      <c r="G200" s="125"/>
    </row>
    <row r="201" spans="1:7">
      <c r="A201" s="147"/>
      <c r="B201" s="143" t="s">
        <v>8</v>
      </c>
      <c r="C201" s="143"/>
      <c r="D201" s="20"/>
      <c r="E201" s="20"/>
      <c r="F201" s="99"/>
      <c r="G201" s="129"/>
    </row>
    <row r="202" spans="1:7">
      <c r="A202" s="147"/>
      <c r="B202" s="143"/>
      <c r="C202" s="143"/>
      <c r="D202" s="20"/>
      <c r="E202" s="20"/>
      <c r="F202" s="99"/>
      <c r="G202" s="130"/>
    </row>
    <row r="203" spans="1:7">
      <c r="A203" s="147"/>
      <c r="B203" s="143"/>
      <c r="C203" s="143"/>
      <c r="D203" s="20"/>
      <c r="E203" s="20"/>
      <c r="F203" s="99"/>
      <c r="G203" s="130"/>
    </row>
    <row r="204" spans="1:7">
      <c r="A204" s="147"/>
      <c r="B204" s="143"/>
      <c r="C204" s="143"/>
      <c r="D204" s="20"/>
      <c r="E204" s="20"/>
      <c r="F204" s="99"/>
      <c r="G204" s="130"/>
    </row>
    <row r="205" spans="1:7">
      <c r="A205" s="147"/>
      <c r="B205" s="143"/>
      <c r="C205" s="143"/>
      <c r="D205" s="20"/>
      <c r="E205" s="20"/>
      <c r="F205" s="99"/>
      <c r="G205" s="130"/>
    </row>
    <row r="206" spans="1:7">
      <c r="A206" s="147"/>
      <c r="B206" s="143"/>
      <c r="C206" s="143"/>
      <c r="D206" s="20"/>
      <c r="E206" s="20"/>
      <c r="F206" s="99"/>
      <c r="G206" s="131"/>
    </row>
    <row r="207" spans="1:7">
      <c r="A207" s="148"/>
      <c r="B207" s="144" t="s">
        <v>9</v>
      </c>
      <c r="C207" s="144" t="s">
        <v>353</v>
      </c>
      <c r="D207" s="225" t="s">
        <v>354</v>
      </c>
      <c r="E207" s="149"/>
      <c r="F207" s="222"/>
      <c r="G207" s="132"/>
    </row>
    <row r="208" spans="1:7">
      <c r="A208" s="148"/>
      <c r="B208" s="144"/>
      <c r="C208" s="144"/>
      <c r="D208" s="226"/>
      <c r="E208" s="150"/>
      <c r="F208" s="223"/>
      <c r="G208" s="133"/>
    </row>
    <row r="209" spans="1:7">
      <c r="A209" s="148"/>
      <c r="B209" s="144"/>
      <c r="C209" s="144"/>
      <c r="D209" s="226"/>
      <c r="E209" s="150"/>
      <c r="F209" s="223"/>
      <c r="G209" s="133"/>
    </row>
    <row r="210" spans="1:7">
      <c r="A210" s="148"/>
      <c r="B210" s="144"/>
      <c r="C210" s="144"/>
      <c r="D210" s="227"/>
      <c r="E210" s="151"/>
      <c r="F210" s="224"/>
      <c r="G210" s="134"/>
    </row>
    <row r="211" spans="1:7">
      <c r="A211" s="146">
        <v>45794</v>
      </c>
      <c r="B211" s="125" t="s">
        <v>7</v>
      </c>
      <c r="C211" s="141"/>
      <c r="D211" s="15"/>
      <c r="E211" s="16"/>
      <c r="F211" s="97"/>
      <c r="G211" s="128"/>
    </row>
    <row r="212" spans="1:7">
      <c r="A212" s="147"/>
      <c r="B212" s="145"/>
      <c r="C212" s="142"/>
      <c r="D212" s="18"/>
      <c r="E212" s="19"/>
      <c r="F212" s="97"/>
      <c r="G212" s="128"/>
    </row>
    <row r="213" spans="1:7">
      <c r="A213" s="147"/>
      <c r="B213" s="145"/>
      <c r="C213" s="142"/>
      <c r="D213" s="18"/>
      <c r="E213" s="19"/>
      <c r="F213" s="97"/>
      <c r="G213" s="128"/>
    </row>
    <row r="214" spans="1:7">
      <c r="A214" s="147"/>
      <c r="B214" s="145"/>
      <c r="C214" s="142"/>
      <c r="D214" s="18"/>
      <c r="E214" s="56"/>
      <c r="F214" s="98"/>
      <c r="G214" s="125"/>
    </row>
    <row r="215" spans="1:7">
      <c r="A215" s="147"/>
      <c r="B215" s="143" t="s">
        <v>8</v>
      </c>
      <c r="C215" s="143"/>
      <c r="D215" s="20"/>
      <c r="E215" s="20"/>
      <c r="F215" s="99"/>
      <c r="G215" s="129"/>
    </row>
    <row r="216" spans="1:7">
      <c r="A216" s="147"/>
      <c r="B216" s="143"/>
      <c r="C216" s="143"/>
      <c r="D216" s="20"/>
      <c r="E216" s="20"/>
      <c r="F216" s="99"/>
      <c r="G216" s="130"/>
    </row>
    <row r="217" spans="1:7">
      <c r="A217" s="147"/>
      <c r="B217" s="143"/>
      <c r="C217" s="143"/>
      <c r="D217" s="20"/>
      <c r="E217" s="20"/>
      <c r="F217" s="99"/>
      <c r="G217" s="130"/>
    </row>
    <row r="218" spans="1:7">
      <c r="A218" s="147"/>
      <c r="B218" s="143"/>
      <c r="C218" s="143"/>
      <c r="D218" s="20"/>
      <c r="E218" s="20"/>
      <c r="F218" s="99"/>
      <c r="G218" s="130"/>
    </row>
    <row r="219" spans="1:7">
      <c r="A219" s="147"/>
      <c r="B219" s="143"/>
      <c r="C219" s="143"/>
      <c r="D219" s="20"/>
      <c r="E219" s="20"/>
      <c r="F219" s="99"/>
      <c r="G219" s="130"/>
    </row>
    <row r="220" spans="1:7">
      <c r="A220" s="147"/>
      <c r="B220" s="143"/>
      <c r="C220" s="143"/>
      <c r="D220" s="20"/>
      <c r="E220" s="20"/>
      <c r="F220" s="99"/>
      <c r="G220" s="131"/>
    </row>
    <row r="221" spans="1:7">
      <c r="A221" s="148"/>
      <c r="B221" s="144" t="s">
        <v>9</v>
      </c>
      <c r="C221" s="144"/>
      <c r="D221" s="55"/>
      <c r="E221" s="28"/>
      <c r="F221" s="100"/>
      <c r="G221" s="132"/>
    </row>
    <row r="222" spans="1:7">
      <c r="A222" s="148"/>
      <c r="B222" s="144"/>
      <c r="C222" s="144"/>
      <c r="D222" s="24"/>
      <c r="E222" s="24"/>
      <c r="F222" s="100"/>
      <c r="G222" s="133"/>
    </row>
    <row r="223" spans="1:7">
      <c r="A223" s="148"/>
      <c r="B223" s="144"/>
      <c r="C223" s="144"/>
      <c r="D223" s="52"/>
      <c r="E223" s="53"/>
      <c r="F223" s="101"/>
      <c r="G223" s="133"/>
    </row>
    <row r="224" spans="1:7">
      <c r="A224" s="148"/>
      <c r="B224" s="144"/>
      <c r="C224" s="144"/>
      <c r="D224" s="57"/>
      <c r="E224" s="53"/>
      <c r="F224" s="101"/>
      <c r="G224" s="134"/>
    </row>
    <row r="225" spans="1:7">
      <c r="A225" s="146">
        <v>45795</v>
      </c>
      <c r="B225" s="125" t="s">
        <v>7</v>
      </c>
      <c r="C225" s="141"/>
      <c r="D225" s="15"/>
      <c r="E225" s="16"/>
      <c r="F225" s="97"/>
      <c r="G225" s="128"/>
    </row>
    <row r="226" spans="1:7">
      <c r="A226" s="147"/>
      <c r="B226" s="145"/>
      <c r="C226" s="142"/>
      <c r="D226" s="18"/>
      <c r="E226" s="19"/>
      <c r="F226" s="97"/>
      <c r="G226" s="128"/>
    </row>
    <row r="227" spans="1:7">
      <c r="A227" s="147"/>
      <c r="B227" s="145"/>
      <c r="C227" s="142"/>
      <c r="D227" s="18"/>
      <c r="E227" s="19"/>
      <c r="F227" s="97"/>
      <c r="G227" s="128"/>
    </row>
    <row r="228" spans="1:7">
      <c r="A228" s="147"/>
      <c r="B228" s="145"/>
      <c r="C228" s="142"/>
      <c r="D228" s="18"/>
      <c r="E228" s="56"/>
      <c r="F228" s="98"/>
      <c r="G228" s="125"/>
    </row>
    <row r="229" spans="1:7">
      <c r="A229" s="147"/>
      <c r="B229" s="143" t="s">
        <v>8</v>
      </c>
      <c r="C229" s="143"/>
      <c r="D229" s="20"/>
      <c r="E229" s="20"/>
      <c r="F229" s="99"/>
      <c r="G229" s="129"/>
    </row>
    <row r="230" spans="1:7">
      <c r="A230" s="147"/>
      <c r="B230" s="143"/>
      <c r="C230" s="143"/>
      <c r="D230" s="20"/>
      <c r="E230" s="20"/>
      <c r="F230" s="99"/>
      <c r="G230" s="130"/>
    </row>
    <row r="231" spans="1:7">
      <c r="A231" s="147"/>
      <c r="B231" s="143"/>
      <c r="C231" s="143"/>
      <c r="D231" s="20"/>
      <c r="E231" s="20"/>
      <c r="F231" s="99"/>
      <c r="G231" s="130"/>
    </row>
    <row r="232" spans="1:7">
      <c r="A232" s="147"/>
      <c r="B232" s="143"/>
      <c r="C232" s="143"/>
      <c r="D232" s="20"/>
      <c r="E232" s="20"/>
      <c r="F232" s="99"/>
      <c r="G232" s="130"/>
    </row>
    <row r="233" spans="1:7">
      <c r="A233" s="147"/>
      <c r="B233" s="143"/>
      <c r="C233" s="143"/>
      <c r="D233" s="20"/>
      <c r="E233" s="20"/>
      <c r="F233" s="99"/>
      <c r="G233" s="130"/>
    </row>
    <row r="234" spans="1:7">
      <c r="A234" s="147"/>
      <c r="B234" s="143"/>
      <c r="C234" s="143"/>
      <c r="D234" s="20"/>
      <c r="E234" s="20"/>
      <c r="F234" s="99"/>
      <c r="G234" s="131"/>
    </row>
    <row r="235" spans="1:7">
      <c r="A235" s="148"/>
      <c r="B235" s="144" t="s">
        <v>9</v>
      </c>
      <c r="C235" s="144"/>
      <c r="D235" s="55"/>
      <c r="E235" s="28"/>
      <c r="F235" s="100"/>
      <c r="G235" s="132"/>
    </row>
    <row r="236" spans="1:7">
      <c r="A236" s="148"/>
      <c r="B236" s="144"/>
      <c r="C236" s="144"/>
      <c r="D236" s="24"/>
      <c r="E236" s="24"/>
      <c r="F236" s="100"/>
      <c r="G236" s="133"/>
    </row>
    <row r="237" spans="1:7">
      <c r="A237" s="148"/>
      <c r="B237" s="144"/>
      <c r="C237" s="144"/>
      <c r="D237" s="52"/>
      <c r="E237" s="53"/>
      <c r="F237" s="101"/>
      <c r="G237" s="133"/>
    </row>
    <row r="238" spans="1:7">
      <c r="A238" s="148"/>
      <c r="B238" s="144"/>
      <c r="C238" s="144"/>
      <c r="D238" s="57"/>
      <c r="E238" s="53"/>
      <c r="F238" s="101"/>
      <c r="G238" s="134"/>
    </row>
    <row r="239" spans="1:7">
      <c r="A239" s="146">
        <v>45796</v>
      </c>
      <c r="B239" s="125" t="s">
        <v>7</v>
      </c>
      <c r="C239" s="141"/>
      <c r="D239" s="15"/>
      <c r="E239" s="16"/>
      <c r="F239" s="97"/>
      <c r="G239" s="128"/>
    </row>
    <row r="240" spans="1:7">
      <c r="A240" s="147"/>
      <c r="B240" s="145"/>
      <c r="C240" s="142"/>
      <c r="D240" s="18"/>
      <c r="E240" s="19"/>
      <c r="F240" s="97"/>
      <c r="G240" s="128"/>
    </row>
    <row r="241" spans="1:7">
      <c r="A241" s="147"/>
      <c r="B241" s="145"/>
      <c r="C241" s="142"/>
      <c r="D241" s="18"/>
      <c r="E241" s="19"/>
      <c r="F241" s="97"/>
      <c r="G241" s="128"/>
    </row>
    <row r="242" spans="1:7">
      <c r="A242" s="147"/>
      <c r="B242" s="145"/>
      <c r="C242" s="142"/>
      <c r="D242" s="18"/>
      <c r="E242" s="56"/>
      <c r="F242" s="98"/>
      <c r="G242" s="125"/>
    </row>
    <row r="243" spans="1:7">
      <c r="A243" s="147"/>
      <c r="B243" s="143" t="s">
        <v>8</v>
      </c>
      <c r="C243" s="143"/>
      <c r="D243" s="20"/>
      <c r="E243" s="20"/>
      <c r="F243" s="99"/>
      <c r="G243" s="129"/>
    </row>
    <row r="244" spans="1:7">
      <c r="A244" s="147"/>
      <c r="B244" s="143"/>
      <c r="C244" s="143"/>
      <c r="D244" s="20"/>
      <c r="E244" s="20"/>
      <c r="F244" s="99"/>
      <c r="G244" s="130"/>
    </row>
    <row r="245" spans="1:7">
      <c r="A245" s="147"/>
      <c r="B245" s="143"/>
      <c r="C245" s="143"/>
      <c r="D245" s="20"/>
      <c r="E245" s="20"/>
      <c r="F245" s="99"/>
      <c r="G245" s="130"/>
    </row>
    <row r="246" spans="1:7">
      <c r="A246" s="147"/>
      <c r="B246" s="143"/>
      <c r="C246" s="143"/>
      <c r="D246" s="20"/>
      <c r="E246" s="20"/>
      <c r="F246" s="99"/>
      <c r="G246" s="130"/>
    </row>
    <row r="247" spans="1:7">
      <c r="A247" s="147"/>
      <c r="B247" s="143"/>
      <c r="C247" s="143"/>
      <c r="D247" s="20"/>
      <c r="E247" s="20"/>
      <c r="F247" s="99"/>
      <c r="G247" s="130"/>
    </row>
    <row r="248" spans="1:7">
      <c r="A248" s="147"/>
      <c r="B248" s="143"/>
      <c r="C248" s="143"/>
      <c r="D248" s="20"/>
      <c r="E248" s="20"/>
      <c r="F248" s="99"/>
      <c r="G248" s="131"/>
    </row>
    <row r="249" spans="1:7">
      <c r="A249" s="148"/>
      <c r="B249" s="144" t="s">
        <v>9</v>
      </c>
      <c r="C249" s="144"/>
      <c r="D249" s="55"/>
      <c r="E249" s="28"/>
      <c r="F249" s="100"/>
      <c r="G249" s="132"/>
    </row>
    <row r="250" spans="1:7">
      <c r="A250" s="148"/>
      <c r="B250" s="144"/>
      <c r="C250" s="144"/>
      <c r="D250" s="24"/>
      <c r="E250" s="24"/>
      <c r="F250" s="100"/>
      <c r="G250" s="133"/>
    </row>
    <row r="251" spans="1:7">
      <c r="A251" s="148"/>
      <c r="B251" s="144"/>
      <c r="C251" s="144"/>
      <c r="D251" s="52"/>
      <c r="E251" s="53"/>
      <c r="F251" s="101"/>
      <c r="G251" s="133"/>
    </row>
    <row r="252" spans="1:7">
      <c r="A252" s="148"/>
      <c r="B252" s="144"/>
      <c r="C252" s="144"/>
      <c r="D252" s="57"/>
      <c r="E252" s="53"/>
      <c r="F252" s="101"/>
      <c r="G252" s="134"/>
    </row>
    <row r="253" spans="1:7">
      <c r="A253" s="146">
        <v>45797</v>
      </c>
      <c r="B253" s="125" t="s">
        <v>7</v>
      </c>
      <c r="C253" s="141"/>
      <c r="D253" s="15"/>
      <c r="E253" s="16"/>
      <c r="F253" s="97"/>
      <c r="G253" s="128"/>
    </row>
    <row r="254" spans="1:7">
      <c r="A254" s="147"/>
      <c r="B254" s="145"/>
      <c r="C254" s="142"/>
      <c r="D254" s="18"/>
      <c r="E254" s="19"/>
      <c r="F254" s="97"/>
      <c r="G254" s="128"/>
    </row>
    <row r="255" spans="1:7">
      <c r="A255" s="147"/>
      <c r="B255" s="145"/>
      <c r="C255" s="142"/>
      <c r="D255" s="18"/>
      <c r="E255" s="19"/>
      <c r="F255" s="97"/>
      <c r="G255" s="128"/>
    </row>
    <row r="256" spans="1:7">
      <c r="A256" s="147"/>
      <c r="B256" s="145"/>
      <c r="C256" s="142"/>
      <c r="D256" s="18"/>
      <c r="E256" s="56"/>
      <c r="F256" s="98"/>
      <c r="G256" s="125"/>
    </row>
    <row r="257" spans="1:7">
      <c r="A257" s="147"/>
      <c r="B257" s="143" t="s">
        <v>8</v>
      </c>
      <c r="C257" s="143"/>
      <c r="D257" s="20"/>
      <c r="E257" s="20"/>
      <c r="F257" s="99"/>
      <c r="G257" s="129"/>
    </row>
    <row r="258" spans="1:7">
      <c r="A258" s="147"/>
      <c r="B258" s="143"/>
      <c r="C258" s="143"/>
      <c r="D258" s="20"/>
      <c r="E258" s="20"/>
      <c r="F258" s="99"/>
      <c r="G258" s="130"/>
    </row>
    <row r="259" spans="1:7">
      <c r="A259" s="147"/>
      <c r="B259" s="143"/>
      <c r="C259" s="143"/>
      <c r="D259" s="20"/>
      <c r="E259" s="20"/>
      <c r="F259" s="99"/>
      <c r="G259" s="130"/>
    </row>
    <row r="260" spans="1:7">
      <c r="A260" s="147"/>
      <c r="B260" s="143"/>
      <c r="C260" s="143"/>
      <c r="D260" s="20"/>
      <c r="E260" s="20"/>
      <c r="F260" s="99"/>
      <c r="G260" s="130"/>
    </row>
    <row r="261" spans="1:7">
      <c r="A261" s="147"/>
      <c r="B261" s="143"/>
      <c r="C261" s="143"/>
      <c r="D261" s="20"/>
      <c r="E261" s="20"/>
      <c r="F261" s="99"/>
      <c r="G261" s="130"/>
    </row>
    <row r="262" spans="1:7">
      <c r="A262" s="147"/>
      <c r="B262" s="143"/>
      <c r="C262" s="143"/>
      <c r="D262" s="20"/>
      <c r="E262" s="20"/>
      <c r="F262" s="99"/>
      <c r="G262" s="131"/>
    </row>
    <row r="263" spans="1:7">
      <c r="A263" s="148"/>
      <c r="B263" s="144" t="s">
        <v>9</v>
      </c>
      <c r="C263" s="144"/>
      <c r="D263" s="55"/>
      <c r="E263" s="28"/>
      <c r="F263" s="100"/>
      <c r="G263" s="132"/>
    </row>
    <row r="264" spans="1:7">
      <c r="A264" s="148"/>
      <c r="B264" s="144"/>
      <c r="C264" s="144"/>
      <c r="D264" s="24"/>
      <c r="E264" s="24"/>
      <c r="F264" s="100"/>
      <c r="G264" s="133"/>
    </row>
    <row r="265" spans="1:7">
      <c r="A265" s="148"/>
      <c r="B265" s="144"/>
      <c r="C265" s="144"/>
      <c r="D265" s="52"/>
      <c r="E265" s="53"/>
      <c r="F265" s="101"/>
      <c r="G265" s="133"/>
    </row>
    <row r="266" spans="1:7">
      <c r="A266" s="148"/>
      <c r="B266" s="144"/>
      <c r="C266" s="144"/>
      <c r="D266" s="57"/>
      <c r="E266" s="53"/>
      <c r="F266" s="101"/>
      <c r="G266" s="134"/>
    </row>
    <row r="267" spans="1:7">
      <c r="A267" s="146">
        <v>45798</v>
      </c>
      <c r="B267" s="125" t="s">
        <v>7</v>
      </c>
      <c r="C267" s="141"/>
      <c r="D267" s="15"/>
      <c r="E267" s="16"/>
      <c r="F267" s="97"/>
      <c r="G267" s="128"/>
    </row>
    <row r="268" spans="1:7">
      <c r="A268" s="147"/>
      <c r="B268" s="145"/>
      <c r="C268" s="142"/>
      <c r="D268" s="18"/>
      <c r="E268" s="19"/>
      <c r="F268" s="97"/>
      <c r="G268" s="128"/>
    </row>
    <row r="269" spans="1:7">
      <c r="A269" s="147"/>
      <c r="B269" s="145"/>
      <c r="C269" s="142"/>
      <c r="D269" s="18"/>
      <c r="E269" s="19"/>
      <c r="F269" s="97"/>
      <c r="G269" s="128"/>
    </row>
    <row r="270" spans="1:7">
      <c r="A270" s="147"/>
      <c r="B270" s="145"/>
      <c r="C270" s="142"/>
      <c r="D270" s="18"/>
      <c r="E270" s="56"/>
      <c r="F270" s="98"/>
      <c r="G270" s="125"/>
    </row>
    <row r="271" spans="1:7">
      <c r="A271" s="147"/>
      <c r="B271" s="143" t="s">
        <v>8</v>
      </c>
      <c r="C271" s="143"/>
      <c r="D271" s="20"/>
      <c r="E271" s="20"/>
      <c r="F271" s="99"/>
      <c r="G271" s="129"/>
    </row>
    <row r="272" spans="1:7">
      <c r="A272" s="147"/>
      <c r="B272" s="143"/>
      <c r="C272" s="143"/>
      <c r="D272" s="20"/>
      <c r="E272" s="20"/>
      <c r="F272" s="99"/>
      <c r="G272" s="130"/>
    </row>
    <row r="273" spans="1:7">
      <c r="A273" s="147"/>
      <c r="B273" s="143"/>
      <c r="C273" s="143"/>
      <c r="D273" s="20"/>
      <c r="E273" s="20"/>
      <c r="F273" s="99"/>
      <c r="G273" s="130"/>
    </row>
    <row r="274" spans="1:7">
      <c r="A274" s="147"/>
      <c r="B274" s="143"/>
      <c r="C274" s="143"/>
      <c r="D274" s="20"/>
      <c r="E274" s="20"/>
      <c r="F274" s="99"/>
      <c r="G274" s="130"/>
    </row>
    <row r="275" spans="1:7">
      <c r="A275" s="147"/>
      <c r="B275" s="143"/>
      <c r="C275" s="143"/>
      <c r="D275" s="20"/>
      <c r="E275" s="20"/>
      <c r="F275" s="99"/>
      <c r="G275" s="130"/>
    </row>
    <row r="276" spans="1:7">
      <c r="A276" s="147"/>
      <c r="B276" s="143"/>
      <c r="C276" s="143"/>
      <c r="D276" s="20"/>
      <c r="E276" s="20"/>
      <c r="F276" s="99"/>
      <c r="G276" s="131"/>
    </row>
    <row r="277" spans="1:7">
      <c r="A277" s="148"/>
      <c r="B277" s="144" t="s">
        <v>9</v>
      </c>
      <c r="C277" s="144"/>
      <c r="D277" s="55"/>
      <c r="E277" s="28"/>
      <c r="F277" s="100"/>
      <c r="G277" s="132"/>
    </row>
    <row r="278" spans="1:7">
      <c r="A278" s="148"/>
      <c r="B278" s="144"/>
      <c r="C278" s="144"/>
      <c r="D278" s="24"/>
      <c r="E278" s="24"/>
      <c r="F278" s="100"/>
      <c r="G278" s="133"/>
    </row>
    <row r="279" spans="1:7">
      <c r="A279" s="148"/>
      <c r="B279" s="144"/>
      <c r="C279" s="144"/>
      <c r="D279" s="52"/>
      <c r="E279" s="53"/>
      <c r="F279" s="101"/>
      <c r="G279" s="133"/>
    </row>
    <row r="280" spans="1:7">
      <c r="A280" s="148"/>
      <c r="B280" s="144"/>
      <c r="C280" s="144"/>
      <c r="D280" s="57"/>
      <c r="E280" s="53"/>
      <c r="F280" s="101"/>
      <c r="G280" s="134"/>
    </row>
    <row r="281" spans="1:7">
      <c r="A281" s="146">
        <v>45799</v>
      </c>
      <c r="B281" s="125" t="s">
        <v>7</v>
      </c>
      <c r="C281" s="141"/>
      <c r="D281" s="15"/>
      <c r="E281" s="16"/>
      <c r="F281" s="97"/>
      <c r="G281" s="128"/>
    </row>
    <row r="282" spans="1:7">
      <c r="A282" s="147"/>
      <c r="B282" s="145"/>
      <c r="C282" s="142"/>
      <c r="D282" s="18"/>
      <c r="E282" s="19"/>
      <c r="F282" s="97"/>
      <c r="G282" s="128"/>
    </row>
    <row r="283" spans="1:7">
      <c r="A283" s="147"/>
      <c r="B283" s="145"/>
      <c r="C283" s="142"/>
      <c r="D283" s="18"/>
      <c r="E283" s="19"/>
      <c r="F283" s="97"/>
      <c r="G283" s="128"/>
    </row>
    <row r="284" spans="1:7">
      <c r="A284" s="147"/>
      <c r="B284" s="145"/>
      <c r="C284" s="142"/>
      <c r="D284" s="18"/>
      <c r="E284" s="56"/>
      <c r="F284" s="98"/>
      <c r="G284" s="125"/>
    </row>
    <row r="285" spans="1:7">
      <c r="A285" s="147"/>
      <c r="B285" s="143" t="s">
        <v>8</v>
      </c>
      <c r="C285" s="143"/>
      <c r="D285" s="20"/>
      <c r="E285" s="20"/>
      <c r="F285" s="99"/>
      <c r="G285" s="129"/>
    </row>
    <row r="286" spans="1:7">
      <c r="A286" s="147"/>
      <c r="B286" s="143"/>
      <c r="C286" s="143"/>
      <c r="D286" s="20"/>
      <c r="E286" s="20"/>
      <c r="F286" s="99"/>
      <c r="G286" s="130"/>
    </row>
    <row r="287" spans="1:7">
      <c r="A287" s="147"/>
      <c r="B287" s="143"/>
      <c r="C287" s="143"/>
      <c r="D287" s="20"/>
      <c r="E287" s="20"/>
      <c r="F287" s="99"/>
      <c r="G287" s="130"/>
    </row>
    <row r="288" spans="1:7">
      <c r="A288" s="147"/>
      <c r="B288" s="143"/>
      <c r="C288" s="143"/>
      <c r="D288" s="20"/>
      <c r="E288" s="20"/>
      <c r="F288" s="99"/>
      <c r="G288" s="130"/>
    </row>
    <row r="289" spans="1:7">
      <c r="A289" s="147"/>
      <c r="B289" s="143"/>
      <c r="C289" s="143"/>
      <c r="D289" s="20"/>
      <c r="E289" s="20"/>
      <c r="F289" s="99"/>
      <c r="G289" s="130"/>
    </row>
    <row r="290" spans="1:7">
      <c r="A290" s="147"/>
      <c r="B290" s="143"/>
      <c r="C290" s="143"/>
      <c r="D290" s="20"/>
      <c r="E290" s="20"/>
      <c r="F290" s="99"/>
      <c r="G290" s="131"/>
    </row>
    <row r="291" spans="1:7">
      <c r="A291" s="148"/>
      <c r="B291" s="144" t="s">
        <v>9</v>
      </c>
      <c r="C291" s="144"/>
      <c r="D291" s="55"/>
      <c r="E291" s="28"/>
      <c r="F291" s="100"/>
      <c r="G291" s="132"/>
    </row>
    <row r="292" spans="1:7">
      <c r="A292" s="148"/>
      <c r="B292" s="144"/>
      <c r="C292" s="144"/>
      <c r="D292" s="24"/>
      <c r="E292" s="24"/>
      <c r="F292" s="100"/>
      <c r="G292" s="133"/>
    </row>
    <row r="293" spans="1:7">
      <c r="A293" s="148"/>
      <c r="B293" s="144"/>
      <c r="C293" s="144"/>
      <c r="D293" s="52"/>
      <c r="E293" s="53"/>
      <c r="F293" s="101"/>
      <c r="G293" s="133"/>
    </row>
    <row r="294" spans="1:7">
      <c r="A294" s="148"/>
      <c r="B294" s="144"/>
      <c r="C294" s="144"/>
      <c r="D294" s="57"/>
      <c r="E294" s="53"/>
      <c r="F294" s="101"/>
      <c r="G294" s="134"/>
    </row>
    <row r="295" spans="1:7">
      <c r="A295" s="146">
        <v>45800</v>
      </c>
      <c r="B295" s="125" t="s">
        <v>7</v>
      </c>
      <c r="C295" s="141"/>
      <c r="D295" s="15"/>
      <c r="E295" s="16"/>
      <c r="F295" s="97"/>
      <c r="G295" s="128"/>
    </row>
    <row r="296" spans="1:7">
      <c r="A296" s="147"/>
      <c r="B296" s="145"/>
      <c r="C296" s="142"/>
      <c r="D296" s="18"/>
      <c r="E296" s="19"/>
      <c r="F296" s="97"/>
      <c r="G296" s="128"/>
    </row>
    <row r="297" spans="1:7">
      <c r="A297" s="147"/>
      <c r="B297" s="145"/>
      <c r="C297" s="142"/>
      <c r="D297" s="18"/>
      <c r="E297" s="19"/>
      <c r="F297" s="97"/>
      <c r="G297" s="128"/>
    </row>
    <row r="298" spans="1:7">
      <c r="A298" s="147"/>
      <c r="B298" s="145"/>
      <c r="C298" s="142"/>
      <c r="D298" s="18"/>
      <c r="E298" s="56"/>
      <c r="F298" s="98"/>
      <c r="G298" s="125"/>
    </row>
    <row r="299" spans="1:7">
      <c r="A299" s="147"/>
      <c r="B299" s="143" t="s">
        <v>8</v>
      </c>
      <c r="C299" s="143"/>
      <c r="D299" s="20"/>
      <c r="E299" s="20"/>
      <c r="F299" s="99"/>
      <c r="G299" s="129"/>
    </row>
    <row r="300" spans="1:7">
      <c r="A300" s="147"/>
      <c r="B300" s="143"/>
      <c r="C300" s="143"/>
      <c r="D300" s="20"/>
      <c r="E300" s="20"/>
      <c r="F300" s="99"/>
      <c r="G300" s="130"/>
    </row>
    <row r="301" spans="1:7">
      <c r="A301" s="147"/>
      <c r="B301" s="143"/>
      <c r="C301" s="143"/>
      <c r="D301" s="20"/>
      <c r="E301" s="20"/>
      <c r="F301" s="99"/>
      <c r="G301" s="130"/>
    </row>
    <row r="302" spans="1:7">
      <c r="A302" s="147"/>
      <c r="B302" s="143"/>
      <c r="C302" s="143"/>
      <c r="D302" s="20"/>
      <c r="E302" s="20"/>
      <c r="F302" s="99"/>
      <c r="G302" s="130"/>
    </row>
    <row r="303" spans="1:7">
      <c r="A303" s="147"/>
      <c r="B303" s="143"/>
      <c r="C303" s="143"/>
      <c r="D303" s="20"/>
      <c r="E303" s="20"/>
      <c r="F303" s="99"/>
      <c r="G303" s="130"/>
    </row>
    <row r="304" spans="1:7">
      <c r="A304" s="147"/>
      <c r="B304" s="143"/>
      <c r="C304" s="143"/>
      <c r="D304" s="20"/>
      <c r="E304" s="20"/>
      <c r="F304" s="99"/>
      <c r="G304" s="131"/>
    </row>
    <row r="305" spans="1:7">
      <c r="A305" s="148"/>
      <c r="B305" s="144" t="s">
        <v>9</v>
      </c>
      <c r="C305" s="144"/>
      <c r="D305" s="55"/>
      <c r="E305" s="28"/>
      <c r="F305" s="100"/>
      <c r="G305" s="132"/>
    </row>
    <row r="306" spans="1:7">
      <c r="A306" s="148"/>
      <c r="B306" s="144"/>
      <c r="C306" s="144"/>
      <c r="D306" s="24"/>
      <c r="E306" s="24"/>
      <c r="F306" s="100"/>
      <c r="G306" s="133"/>
    </row>
    <row r="307" spans="1:7">
      <c r="A307" s="148"/>
      <c r="B307" s="144"/>
      <c r="C307" s="144"/>
      <c r="D307" s="52"/>
      <c r="E307" s="53"/>
      <c r="F307" s="101"/>
      <c r="G307" s="133"/>
    </row>
    <row r="308" spans="1:7">
      <c r="A308" s="148"/>
      <c r="B308" s="144"/>
      <c r="C308" s="144"/>
      <c r="D308" s="57"/>
      <c r="E308" s="53"/>
      <c r="F308" s="101"/>
      <c r="G308" s="134"/>
    </row>
    <row r="309" spans="1:7">
      <c r="A309" s="146">
        <v>45801</v>
      </c>
      <c r="B309" s="125" t="s">
        <v>7</v>
      </c>
      <c r="C309" s="141"/>
      <c r="D309" s="15"/>
      <c r="E309" s="16"/>
      <c r="F309" s="97"/>
      <c r="G309" s="128"/>
    </row>
    <row r="310" spans="1:7">
      <c r="A310" s="147"/>
      <c r="B310" s="145"/>
      <c r="C310" s="142"/>
      <c r="D310" s="18"/>
      <c r="E310" s="19"/>
      <c r="F310" s="97"/>
      <c r="G310" s="128"/>
    </row>
    <row r="311" spans="1:7">
      <c r="A311" s="147"/>
      <c r="B311" s="145"/>
      <c r="C311" s="142"/>
      <c r="D311" s="18"/>
      <c r="E311" s="19"/>
      <c r="F311" s="97"/>
      <c r="G311" s="128"/>
    </row>
    <row r="312" spans="1:7">
      <c r="A312" s="147"/>
      <c r="B312" s="145"/>
      <c r="C312" s="142"/>
      <c r="D312" s="18"/>
      <c r="E312" s="56"/>
      <c r="F312" s="98"/>
      <c r="G312" s="125"/>
    </row>
    <row r="313" spans="1:7">
      <c r="A313" s="147"/>
      <c r="B313" s="143" t="s">
        <v>8</v>
      </c>
      <c r="C313" s="143"/>
      <c r="D313" s="20"/>
      <c r="E313" s="20"/>
      <c r="F313" s="99"/>
      <c r="G313" s="129"/>
    </row>
    <row r="314" spans="1:7">
      <c r="A314" s="147"/>
      <c r="B314" s="143"/>
      <c r="C314" s="143"/>
      <c r="D314" s="20"/>
      <c r="E314" s="20"/>
      <c r="F314" s="99"/>
      <c r="G314" s="130"/>
    </row>
    <row r="315" spans="1:7">
      <c r="A315" s="147"/>
      <c r="B315" s="143"/>
      <c r="C315" s="143"/>
      <c r="D315" s="20"/>
      <c r="E315" s="20"/>
      <c r="F315" s="99"/>
      <c r="G315" s="130"/>
    </row>
    <row r="316" spans="1:7">
      <c r="A316" s="147"/>
      <c r="B316" s="143"/>
      <c r="C316" s="143"/>
      <c r="D316" s="20"/>
      <c r="E316" s="20"/>
      <c r="F316" s="99"/>
      <c r="G316" s="130"/>
    </row>
    <row r="317" spans="1:7">
      <c r="A317" s="147"/>
      <c r="B317" s="143"/>
      <c r="C317" s="143"/>
      <c r="D317" s="20"/>
      <c r="E317" s="20"/>
      <c r="F317" s="99"/>
      <c r="G317" s="130"/>
    </row>
    <row r="318" spans="1:7">
      <c r="A318" s="147"/>
      <c r="B318" s="143"/>
      <c r="C318" s="143"/>
      <c r="D318" s="20"/>
      <c r="E318" s="20"/>
      <c r="F318" s="99"/>
      <c r="G318" s="131"/>
    </row>
    <row r="319" spans="1:7">
      <c r="A319" s="148"/>
      <c r="B319" s="144" t="s">
        <v>9</v>
      </c>
      <c r="C319" s="144"/>
      <c r="D319" s="55"/>
      <c r="E319" s="28"/>
      <c r="F319" s="100"/>
      <c r="G319" s="132"/>
    </row>
    <row r="320" spans="1:7">
      <c r="A320" s="148"/>
      <c r="B320" s="144"/>
      <c r="C320" s="144"/>
      <c r="D320" s="24"/>
      <c r="E320" s="24"/>
      <c r="F320" s="100"/>
      <c r="G320" s="133"/>
    </row>
    <row r="321" spans="1:7">
      <c r="A321" s="148"/>
      <c r="B321" s="144"/>
      <c r="C321" s="144"/>
      <c r="D321" s="52"/>
      <c r="E321" s="53"/>
      <c r="F321" s="101"/>
      <c r="G321" s="133"/>
    </row>
    <row r="322" spans="1:7">
      <c r="A322" s="148"/>
      <c r="B322" s="144"/>
      <c r="C322" s="144"/>
      <c r="D322" s="57"/>
      <c r="E322" s="53"/>
      <c r="F322" s="101"/>
      <c r="G322" s="134"/>
    </row>
    <row r="323" spans="1:7">
      <c r="A323" s="146">
        <v>45802</v>
      </c>
      <c r="B323" s="125" t="s">
        <v>7</v>
      </c>
      <c r="C323" s="141"/>
      <c r="D323" s="15"/>
      <c r="E323" s="16"/>
      <c r="F323" s="97"/>
      <c r="G323" s="128"/>
    </row>
    <row r="324" spans="1:7">
      <c r="A324" s="147"/>
      <c r="B324" s="145"/>
      <c r="C324" s="142"/>
      <c r="D324" s="18"/>
      <c r="E324" s="19"/>
      <c r="F324" s="97"/>
      <c r="G324" s="128"/>
    </row>
    <row r="325" spans="1:7">
      <c r="A325" s="147"/>
      <c r="B325" s="145"/>
      <c r="C325" s="142"/>
      <c r="D325" s="18"/>
      <c r="E325" s="19"/>
      <c r="F325" s="97"/>
      <c r="G325" s="128"/>
    </row>
    <row r="326" spans="1:7">
      <c r="A326" s="147"/>
      <c r="B326" s="145"/>
      <c r="C326" s="142"/>
      <c r="D326" s="18"/>
      <c r="E326" s="56"/>
      <c r="F326" s="98"/>
      <c r="G326" s="125"/>
    </row>
    <row r="327" spans="1:7">
      <c r="A327" s="147"/>
      <c r="B327" s="143" t="s">
        <v>8</v>
      </c>
      <c r="C327" s="143"/>
      <c r="D327" s="20"/>
      <c r="E327" s="20"/>
      <c r="F327" s="99"/>
      <c r="G327" s="129"/>
    </row>
    <row r="328" spans="1:7">
      <c r="A328" s="147"/>
      <c r="B328" s="143"/>
      <c r="C328" s="143"/>
      <c r="D328" s="20"/>
      <c r="E328" s="20"/>
      <c r="F328" s="99"/>
      <c r="G328" s="130"/>
    </row>
    <row r="329" spans="1:7">
      <c r="A329" s="147"/>
      <c r="B329" s="143"/>
      <c r="C329" s="143"/>
      <c r="D329" s="20"/>
      <c r="E329" s="20"/>
      <c r="F329" s="99"/>
      <c r="G329" s="130"/>
    </row>
    <row r="330" spans="1:7">
      <c r="A330" s="147"/>
      <c r="B330" s="143"/>
      <c r="C330" s="143"/>
      <c r="D330" s="20"/>
      <c r="E330" s="20"/>
      <c r="F330" s="99"/>
      <c r="G330" s="130"/>
    </row>
    <row r="331" spans="1:7">
      <c r="A331" s="147"/>
      <c r="B331" s="143"/>
      <c r="C331" s="143"/>
      <c r="D331" s="20"/>
      <c r="E331" s="20"/>
      <c r="F331" s="99"/>
      <c r="G331" s="130"/>
    </row>
    <row r="332" spans="1:7">
      <c r="A332" s="147"/>
      <c r="B332" s="143"/>
      <c r="C332" s="143"/>
      <c r="D332" s="20"/>
      <c r="E332" s="20"/>
      <c r="F332" s="99"/>
      <c r="G332" s="131"/>
    </row>
    <row r="333" spans="1:7">
      <c r="A333" s="148"/>
      <c r="B333" s="144" t="s">
        <v>9</v>
      </c>
      <c r="C333" s="144"/>
      <c r="D333" s="55"/>
      <c r="E333" s="28"/>
      <c r="F333" s="100"/>
      <c r="G333" s="132"/>
    </row>
    <row r="334" spans="1:7">
      <c r="A334" s="148"/>
      <c r="B334" s="144"/>
      <c r="C334" s="144"/>
      <c r="D334" s="24"/>
      <c r="E334" s="24"/>
      <c r="F334" s="100"/>
      <c r="G334" s="133"/>
    </row>
    <row r="335" spans="1:7">
      <c r="A335" s="148"/>
      <c r="B335" s="144"/>
      <c r="C335" s="144"/>
      <c r="D335" s="52"/>
      <c r="E335" s="53"/>
      <c r="F335" s="101"/>
      <c r="G335" s="133"/>
    </row>
    <row r="336" spans="1:7">
      <c r="A336" s="148"/>
      <c r="B336" s="144"/>
      <c r="C336" s="144"/>
      <c r="D336" s="57"/>
      <c r="E336" s="53"/>
      <c r="F336" s="101"/>
      <c r="G336" s="134"/>
    </row>
    <row r="337" spans="1:7">
      <c r="A337" s="146">
        <v>45803</v>
      </c>
      <c r="B337" s="125" t="s">
        <v>7</v>
      </c>
      <c r="C337" s="141"/>
      <c r="D337" s="15"/>
      <c r="E337" s="16"/>
      <c r="F337" s="97"/>
      <c r="G337" s="128"/>
    </row>
    <row r="338" spans="1:7">
      <c r="A338" s="147"/>
      <c r="B338" s="145"/>
      <c r="C338" s="142"/>
      <c r="D338" s="18"/>
      <c r="E338" s="19"/>
      <c r="F338" s="97"/>
      <c r="G338" s="128"/>
    </row>
    <row r="339" spans="1:7">
      <c r="A339" s="147"/>
      <c r="B339" s="145"/>
      <c r="C339" s="142"/>
      <c r="D339" s="18"/>
      <c r="E339" s="19"/>
      <c r="F339" s="97"/>
      <c r="G339" s="128"/>
    </row>
    <row r="340" spans="1:7">
      <c r="A340" s="147"/>
      <c r="B340" s="145"/>
      <c r="C340" s="142"/>
      <c r="D340" s="18"/>
      <c r="E340" s="56"/>
      <c r="F340" s="98"/>
      <c r="G340" s="125"/>
    </row>
    <row r="341" spans="1:7">
      <c r="A341" s="147"/>
      <c r="B341" s="143" t="s">
        <v>8</v>
      </c>
      <c r="C341" s="143"/>
      <c r="D341" s="20"/>
      <c r="E341" s="20"/>
      <c r="F341" s="99"/>
      <c r="G341" s="129"/>
    </row>
    <row r="342" spans="1:7">
      <c r="A342" s="147"/>
      <c r="B342" s="143"/>
      <c r="C342" s="143"/>
      <c r="D342" s="20"/>
      <c r="E342" s="20"/>
      <c r="F342" s="99"/>
      <c r="G342" s="130"/>
    </row>
    <row r="343" spans="1:7">
      <c r="A343" s="147"/>
      <c r="B343" s="143"/>
      <c r="C343" s="143"/>
      <c r="D343" s="20"/>
      <c r="E343" s="20"/>
      <c r="F343" s="99"/>
      <c r="G343" s="130"/>
    </row>
    <row r="344" spans="1:7">
      <c r="A344" s="147"/>
      <c r="B344" s="143"/>
      <c r="C344" s="143"/>
      <c r="D344" s="20"/>
      <c r="E344" s="20"/>
      <c r="F344" s="99"/>
      <c r="G344" s="130"/>
    </row>
    <row r="345" spans="1:7">
      <c r="A345" s="147"/>
      <c r="B345" s="143"/>
      <c r="C345" s="143"/>
      <c r="D345" s="20"/>
      <c r="E345" s="20"/>
      <c r="F345" s="99"/>
      <c r="G345" s="130"/>
    </row>
    <row r="346" spans="1:7">
      <c r="A346" s="147"/>
      <c r="B346" s="143"/>
      <c r="C346" s="143"/>
      <c r="D346" s="20"/>
      <c r="E346" s="20"/>
      <c r="F346" s="99"/>
      <c r="G346" s="131"/>
    </row>
    <row r="347" spans="1:7">
      <c r="A347" s="148"/>
      <c r="B347" s="144" t="s">
        <v>9</v>
      </c>
      <c r="C347" s="144"/>
      <c r="D347" s="55"/>
      <c r="E347" s="28"/>
      <c r="F347" s="100"/>
      <c r="G347" s="132"/>
    </row>
    <row r="348" spans="1:7">
      <c r="A348" s="148"/>
      <c r="B348" s="144"/>
      <c r="C348" s="144"/>
      <c r="D348" s="24"/>
      <c r="E348" s="24"/>
      <c r="F348" s="100"/>
      <c r="G348" s="133"/>
    </row>
    <row r="349" spans="1:7">
      <c r="A349" s="148"/>
      <c r="B349" s="144"/>
      <c r="C349" s="144"/>
      <c r="D349" s="52"/>
      <c r="E349" s="53"/>
      <c r="F349" s="101"/>
      <c r="G349" s="133"/>
    </row>
    <row r="350" spans="1:7">
      <c r="A350" s="148"/>
      <c r="B350" s="144"/>
      <c r="C350" s="144"/>
      <c r="D350" s="57"/>
      <c r="E350" s="53"/>
      <c r="F350" s="101"/>
      <c r="G350" s="134"/>
    </row>
    <row r="351" spans="1:7">
      <c r="A351" s="146">
        <v>45804</v>
      </c>
      <c r="B351" s="125" t="s">
        <v>7</v>
      </c>
      <c r="C351" s="141"/>
      <c r="D351" s="15"/>
      <c r="E351" s="16"/>
      <c r="F351" s="97"/>
      <c r="G351" s="128"/>
    </row>
    <row r="352" spans="1:7">
      <c r="A352" s="147"/>
      <c r="B352" s="145"/>
      <c r="C352" s="142"/>
      <c r="D352" s="18"/>
      <c r="E352" s="19"/>
      <c r="F352" s="97"/>
      <c r="G352" s="128"/>
    </row>
    <row r="353" spans="1:7">
      <c r="A353" s="147"/>
      <c r="B353" s="145"/>
      <c r="C353" s="142"/>
      <c r="D353" s="18"/>
      <c r="E353" s="19"/>
      <c r="F353" s="97"/>
      <c r="G353" s="128"/>
    </row>
    <row r="354" spans="1:7">
      <c r="A354" s="147"/>
      <c r="B354" s="145"/>
      <c r="C354" s="142"/>
      <c r="D354" s="18"/>
      <c r="E354" s="56"/>
      <c r="F354" s="98"/>
      <c r="G354" s="125"/>
    </row>
    <row r="355" spans="1:7">
      <c r="A355" s="147"/>
      <c r="B355" s="143" t="s">
        <v>8</v>
      </c>
      <c r="C355" s="143"/>
      <c r="D355" s="20"/>
      <c r="E355" s="20"/>
      <c r="F355" s="99"/>
      <c r="G355" s="129"/>
    </row>
    <row r="356" spans="1:7">
      <c r="A356" s="147"/>
      <c r="B356" s="143"/>
      <c r="C356" s="143"/>
      <c r="D356" s="20"/>
      <c r="E356" s="20"/>
      <c r="F356" s="99"/>
      <c r="G356" s="130"/>
    </row>
    <row r="357" spans="1:7">
      <c r="A357" s="147"/>
      <c r="B357" s="143"/>
      <c r="C357" s="143"/>
      <c r="D357" s="20"/>
      <c r="E357" s="20"/>
      <c r="F357" s="99"/>
      <c r="G357" s="130"/>
    </row>
    <row r="358" spans="1:7">
      <c r="A358" s="147"/>
      <c r="B358" s="143"/>
      <c r="C358" s="143"/>
      <c r="D358" s="20"/>
      <c r="E358" s="20"/>
      <c r="F358" s="99"/>
      <c r="G358" s="130"/>
    </row>
    <row r="359" spans="1:7">
      <c r="A359" s="147"/>
      <c r="B359" s="143"/>
      <c r="C359" s="143"/>
      <c r="D359" s="20"/>
      <c r="E359" s="20"/>
      <c r="F359" s="99"/>
      <c r="G359" s="130"/>
    </row>
    <row r="360" spans="1:7">
      <c r="A360" s="147"/>
      <c r="B360" s="143"/>
      <c r="C360" s="143"/>
      <c r="D360" s="20"/>
      <c r="E360" s="20"/>
      <c r="F360" s="99"/>
      <c r="G360" s="131"/>
    </row>
    <row r="361" spans="1:7">
      <c r="A361" s="148"/>
      <c r="B361" s="144" t="s">
        <v>9</v>
      </c>
      <c r="C361" s="144"/>
      <c r="D361" s="55"/>
      <c r="E361" s="28"/>
      <c r="F361" s="100"/>
      <c r="G361" s="132"/>
    </row>
    <row r="362" spans="1:7">
      <c r="A362" s="148"/>
      <c r="B362" s="144"/>
      <c r="C362" s="144"/>
      <c r="D362" s="24"/>
      <c r="E362" s="24"/>
      <c r="F362" s="100"/>
      <c r="G362" s="133"/>
    </row>
    <row r="363" spans="1:7">
      <c r="A363" s="148"/>
      <c r="B363" s="144"/>
      <c r="C363" s="144"/>
      <c r="D363" s="52"/>
      <c r="E363" s="53"/>
      <c r="F363" s="101"/>
      <c r="G363" s="133"/>
    </row>
    <row r="364" spans="1:7">
      <c r="A364" s="148"/>
      <c r="B364" s="144"/>
      <c r="C364" s="144"/>
      <c r="D364" s="57"/>
      <c r="E364" s="53"/>
      <c r="F364" s="101"/>
      <c r="G364" s="134"/>
    </row>
    <row r="365" spans="1:7">
      <c r="A365" s="146">
        <v>45805</v>
      </c>
      <c r="B365" s="125" t="s">
        <v>7</v>
      </c>
      <c r="C365" s="141"/>
      <c r="D365" s="15"/>
      <c r="E365" s="16"/>
      <c r="F365" s="97"/>
      <c r="G365" s="128"/>
    </row>
    <row r="366" spans="1:7">
      <c r="A366" s="147"/>
      <c r="B366" s="145"/>
      <c r="C366" s="142"/>
      <c r="D366" s="18"/>
      <c r="E366" s="19"/>
      <c r="F366" s="97"/>
      <c r="G366" s="128"/>
    </row>
    <row r="367" spans="1:7">
      <c r="A367" s="147"/>
      <c r="B367" s="145"/>
      <c r="C367" s="142"/>
      <c r="D367" s="18"/>
      <c r="E367" s="19"/>
      <c r="F367" s="97"/>
      <c r="G367" s="128"/>
    </row>
    <row r="368" spans="1:7">
      <c r="A368" s="147"/>
      <c r="B368" s="145"/>
      <c r="C368" s="142"/>
      <c r="D368" s="18"/>
      <c r="E368" s="56"/>
      <c r="F368" s="98"/>
      <c r="G368" s="125"/>
    </row>
    <row r="369" spans="1:7">
      <c r="A369" s="147"/>
      <c r="B369" s="143" t="s">
        <v>8</v>
      </c>
      <c r="C369" s="143"/>
      <c r="D369" s="20"/>
      <c r="E369" s="20"/>
      <c r="F369" s="99"/>
      <c r="G369" s="129"/>
    </row>
    <row r="370" spans="1:7">
      <c r="A370" s="147"/>
      <c r="B370" s="143"/>
      <c r="C370" s="143"/>
      <c r="D370" s="20"/>
      <c r="E370" s="20"/>
      <c r="F370" s="99"/>
      <c r="G370" s="130"/>
    </row>
    <row r="371" spans="1:7">
      <c r="A371" s="147"/>
      <c r="B371" s="143"/>
      <c r="C371" s="143"/>
      <c r="D371" s="20"/>
      <c r="E371" s="20"/>
      <c r="F371" s="99"/>
      <c r="G371" s="130"/>
    </row>
    <row r="372" spans="1:7">
      <c r="A372" s="147"/>
      <c r="B372" s="143"/>
      <c r="C372" s="143"/>
      <c r="D372" s="20"/>
      <c r="E372" s="20"/>
      <c r="F372" s="99"/>
      <c r="G372" s="130"/>
    </row>
    <row r="373" spans="1:7">
      <c r="A373" s="147"/>
      <c r="B373" s="143"/>
      <c r="C373" s="143"/>
      <c r="D373" s="20"/>
      <c r="E373" s="20"/>
      <c r="F373" s="99"/>
      <c r="G373" s="130"/>
    </row>
    <row r="374" spans="1:7">
      <c r="A374" s="147"/>
      <c r="B374" s="143"/>
      <c r="C374" s="143"/>
      <c r="D374" s="20"/>
      <c r="E374" s="20"/>
      <c r="F374" s="99"/>
      <c r="G374" s="131"/>
    </row>
    <row r="375" spans="1:7">
      <c r="A375" s="148"/>
      <c r="B375" s="144" t="s">
        <v>9</v>
      </c>
      <c r="C375" s="144"/>
      <c r="D375" s="55"/>
      <c r="E375" s="28"/>
      <c r="F375" s="100"/>
      <c r="G375" s="132"/>
    </row>
    <row r="376" spans="1:7">
      <c r="A376" s="148"/>
      <c r="B376" s="144"/>
      <c r="C376" s="144"/>
      <c r="D376" s="24"/>
      <c r="E376" s="24"/>
      <c r="F376" s="100"/>
      <c r="G376" s="133"/>
    </row>
    <row r="377" spans="1:7">
      <c r="A377" s="148"/>
      <c r="B377" s="144"/>
      <c r="C377" s="144"/>
      <c r="D377" s="52"/>
      <c r="E377" s="53"/>
      <c r="F377" s="101"/>
      <c r="G377" s="133"/>
    </row>
    <row r="378" spans="1:7">
      <c r="A378" s="148"/>
      <c r="B378" s="144"/>
      <c r="C378" s="144"/>
      <c r="D378" s="57"/>
      <c r="E378" s="53"/>
      <c r="F378" s="101"/>
      <c r="G378" s="134"/>
    </row>
    <row r="379" spans="1:7">
      <c r="A379" s="146">
        <v>45806</v>
      </c>
      <c r="B379" s="125" t="s">
        <v>7</v>
      </c>
      <c r="C379" s="141"/>
      <c r="D379" s="15"/>
      <c r="E379" s="16"/>
      <c r="F379" s="97"/>
      <c r="G379" s="128"/>
    </row>
    <row r="380" spans="1:7">
      <c r="A380" s="147"/>
      <c r="B380" s="145"/>
      <c r="C380" s="142"/>
      <c r="D380" s="18"/>
      <c r="E380" s="19"/>
      <c r="F380" s="97"/>
      <c r="G380" s="128"/>
    </row>
    <row r="381" spans="1:7">
      <c r="A381" s="147"/>
      <c r="B381" s="145"/>
      <c r="C381" s="142"/>
      <c r="D381" s="18"/>
      <c r="E381" s="19"/>
      <c r="F381" s="97"/>
      <c r="G381" s="128"/>
    </row>
    <row r="382" spans="1:7">
      <c r="A382" s="147"/>
      <c r="B382" s="145"/>
      <c r="C382" s="142"/>
      <c r="D382" s="18"/>
      <c r="E382" s="56"/>
      <c r="F382" s="98"/>
      <c r="G382" s="125"/>
    </row>
    <row r="383" spans="1:7">
      <c r="A383" s="147"/>
      <c r="B383" s="143" t="s">
        <v>8</v>
      </c>
      <c r="C383" s="143"/>
      <c r="D383" s="20"/>
      <c r="E383" s="20"/>
      <c r="F383" s="99"/>
      <c r="G383" s="129"/>
    </row>
    <row r="384" spans="1:7">
      <c r="A384" s="147"/>
      <c r="B384" s="143"/>
      <c r="C384" s="143"/>
      <c r="D384" s="20"/>
      <c r="E384" s="20"/>
      <c r="F384" s="99"/>
      <c r="G384" s="130"/>
    </row>
    <row r="385" spans="1:7">
      <c r="A385" s="147"/>
      <c r="B385" s="143"/>
      <c r="C385" s="143"/>
      <c r="D385" s="20"/>
      <c r="E385" s="20"/>
      <c r="F385" s="99"/>
      <c r="G385" s="130"/>
    </row>
    <row r="386" spans="1:7">
      <c r="A386" s="147"/>
      <c r="B386" s="143"/>
      <c r="C386" s="143"/>
      <c r="D386" s="20"/>
      <c r="E386" s="20"/>
      <c r="F386" s="99"/>
      <c r="G386" s="130"/>
    </row>
    <row r="387" spans="1:7">
      <c r="A387" s="147"/>
      <c r="B387" s="143"/>
      <c r="C387" s="143"/>
      <c r="D387" s="20"/>
      <c r="E387" s="20"/>
      <c r="F387" s="99"/>
      <c r="G387" s="130"/>
    </row>
    <row r="388" spans="1:7">
      <c r="A388" s="147"/>
      <c r="B388" s="143"/>
      <c r="C388" s="143"/>
      <c r="D388" s="20"/>
      <c r="E388" s="20"/>
      <c r="F388" s="99"/>
      <c r="G388" s="131"/>
    </row>
    <row r="389" spans="1:7">
      <c r="A389" s="148"/>
      <c r="B389" s="144" t="s">
        <v>9</v>
      </c>
      <c r="C389" s="144"/>
      <c r="D389" s="55"/>
      <c r="E389" s="28"/>
      <c r="F389" s="100"/>
      <c r="G389" s="132"/>
    </row>
    <row r="390" spans="1:7">
      <c r="A390" s="148"/>
      <c r="B390" s="144"/>
      <c r="C390" s="144"/>
      <c r="D390" s="24"/>
      <c r="E390" s="24"/>
      <c r="F390" s="100"/>
      <c r="G390" s="133"/>
    </row>
    <row r="391" spans="1:7">
      <c r="A391" s="148"/>
      <c r="B391" s="144"/>
      <c r="C391" s="144"/>
      <c r="D391" s="52"/>
      <c r="E391" s="53"/>
      <c r="F391" s="101"/>
      <c r="G391" s="133"/>
    </row>
    <row r="392" spans="1:7">
      <c r="A392" s="148"/>
      <c r="B392" s="144"/>
      <c r="C392" s="144"/>
      <c r="D392" s="57"/>
      <c r="E392" s="53"/>
      <c r="F392" s="101"/>
      <c r="G392" s="134"/>
    </row>
    <row r="393" spans="1:7">
      <c r="A393" s="146">
        <v>45807</v>
      </c>
      <c r="B393" s="125" t="s">
        <v>7</v>
      </c>
      <c r="C393" s="141"/>
      <c r="D393" s="15"/>
      <c r="E393" s="16"/>
      <c r="F393" s="97"/>
      <c r="G393" s="128"/>
    </row>
    <row r="394" spans="1:7">
      <c r="A394" s="147"/>
      <c r="B394" s="145"/>
      <c r="C394" s="142"/>
      <c r="D394" s="18"/>
      <c r="E394" s="19"/>
      <c r="F394" s="97"/>
      <c r="G394" s="128"/>
    </row>
    <row r="395" spans="1:7">
      <c r="A395" s="147"/>
      <c r="B395" s="145"/>
      <c r="C395" s="142"/>
      <c r="D395" s="18"/>
      <c r="E395" s="19"/>
      <c r="F395" s="97"/>
      <c r="G395" s="128"/>
    </row>
    <row r="396" spans="1:7">
      <c r="A396" s="147"/>
      <c r="B396" s="145"/>
      <c r="C396" s="142"/>
      <c r="D396" s="18"/>
      <c r="E396" s="56"/>
      <c r="F396" s="98"/>
      <c r="G396" s="125"/>
    </row>
    <row r="397" spans="1:7">
      <c r="A397" s="147"/>
      <c r="B397" s="143" t="s">
        <v>8</v>
      </c>
      <c r="C397" s="143"/>
      <c r="D397" s="20"/>
      <c r="E397" s="20"/>
      <c r="F397" s="99"/>
      <c r="G397" s="129"/>
    </row>
    <row r="398" spans="1:7">
      <c r="A398" s="147"/>
      <c r="B398" s="143"/>
      <c r="C398" s="143"/>
      <c r="D398" s="20"/>
      <c r="E398" s="20"/>
      <c r="F398" s="99"/>
      <c r="G398" s="130"/>
    </row>
    <row r="399" spans="1:7">
      <c r="A399" s="147"/>
      <c r="B399" s="143"/>
      <c r="C399" s="143"/>
      <c r="D399" s="20"/>
      <c r="E399" s="20"/>
      <c r="F399" s="99"/>
      <c r="G399" s="130"/>
    </row>
    <row r="400" spans="1:7">
      <c r="A400" s="147"/>
      <c r="B400" s="143"/>
      <c r="C400" s="143"/>
      <c r="D400" s="20"/>
      <c r="E400" s="20"/>
      <c r="F400" s="99"/>
      <c r="G400" s="130"/>
    </row>
    <row r="401" spans="1:7">
      <c r="A401" s="147"/>
      <c r="B401" s="143"/>
      <c r="C401" s="143"/>
      <c r="D401" s="20"/>
      <c r="E401" s="20"/>
      <c r="F401" s="99"/>
      <c r="G401" s="130"/>
    </row>
    <row r="402" spans="1:7">
      <c r="A402" s="147"/>
      <c r="B402" s="143"/>
      <c r="C402" s="143"/>
      <c r="D402" s="20"/>
      <c r="E402" s="20"/>
      <c r="F402" s="99"/>
      <c r="G402" s="131"/>
    </row>
    <row r="403" spans="1:7">
      <c r="A403" s="148"/>
      <c r="B403" s="144" t="s">
        <v>9</v>
      </c>
      <c r="C403" s="144"/>
      <c r="D403" s="55"/>
      <c r="E403" s="28"/>
      <c r="F403" s="100"/>
      <c r="G403" s="132"/>
    </row>
    <row r="404" spans="1:7">
      <c r="A404" s="148"/>
      <c r="B404" s="144"/>
      <c r="C404" s="144"/>
      <c r="D404" s="24"/>
      <c r="E404" s="24"/>
      <c r="F404" s="100"/>
      <c r="G404" s="133"/>
    </row>
    <row r="405" spans="1:7">
      <c r="A405" s="148"/>
      <c r="B405" s="144"/>
      <c r="C405" s="144"/>
      <c r="D405" s="52"/>
      <c r="E405" s="53"/>
      <c r="F405" s="101"/>
      <c r="G405" s="133"/>
    </row>
    <row r="406" spans="1:7">
      <c r="A406" s="148"/>
      <c r="B406" s="144"/>
      <c r="C406" s="144"/>
      <c r="D406" s="57"/>
      <c r="E406" s="53"/>
      <c r="F406" s="101"/>
      <c r="G406" s="134"/>
    </row>
    <row r="407" spans="1:7">
      <c r="A407" s="146">
        <v>45808</v>
      </c>
      <c r="B407" s="125" t="s">
        <v>7</v>
      </c>
      <c r="C407" s="141"/>
      <c r="D407" s="15"/>
      <c r="E407" s="16"/>
      <c r="F407" s="97"/>
      <c r="G407" s="128"/>
    </row>
    <row r="408" spans="1:7">
      <c r="A408" s="147"/>
      <c r="B408" s="145"/>
      <c r="C408" s="142"/>
      <c r="D408" s="18"/>
      <c r="E408" s="19"/>
      <c r="F408" s="97"/>
      <c r="G408" s="128"/>
    </row>
    <row r="409" spans="1:7">
      <c r="A409" s="147"/>
      <c r="B409" s="145"/>
      <c r="C409" s="142"/>
      <c r="D409" s="18"/>
      <c r="E409" s="19"/>
      <c r="F409" s="97"/>
      <c r="G409" s="128"/>
    </row>
    <row r="410" spans="1:7">
      <c r="A410" s="147"/>
      <c r="B410" s="145"/>
      <c r="C410" s="142"/>
      <c r="D410" s="18"/>
      <c r="E410" s="56"/>
      <c r="F410" s="98"/>
      <c r="G410" s="125"/>
    </row>
    <row r="411" spans="1:7">
      <c r="A411" s="147"/>
      <c r="B411" s="143" t="s">
        <v>8</v>
      </c>
      <c r="C411" s="143"/>
      <c r="D411" s="20"/>
      <c r="E411" s="20"/>
      <c r="F411" s="99"/>
      <c r="G411" s="129"/>
    </row>
    <row r="412" spans="1:7">
      <c r="A412" s="147"/>
      <c r="B412" s="143"/>
      <c r="C412" s="143"/>
      <c r="D412" s="20"/>
      <c r="E412" s="20"/>
      <c r="F412" s="99"/>
      <c r="G412" s="130"/>
    </row>
    <row r="413" spans="1:7">
      <c r="A413" s="147"/>
      <c r="B413" s="143"/>
      <c r="C413" s="143"/>
      <c r="D413" s="20"/>
      <c r="E413" s="20"/>
      <c r="F413" s="99"/>
      <c r="G413" s="130"/>
    </row>
    <row r="414" spans="1:7">
      <c r="A414" s="147"/>
      <c r="B414" s="143"/>
      <c r="C414" s="143"/>
      <c r="D414" s="20"/>
      <c r="E414" s="20"/>
      <c r="F414" s="99"/>
      <c r="G414" s="130"/>
    </row>
    <row r="415" spans="1:7">
      <c r="A415" s="147"/>
      <c r="B415" s="143"/>
      <c r="C415" s="143"/>
      <c r="D415" s="20"/>
      <c r="E415" s="20"/>
      <c r="F415" s="99"/>
      <c r="G415" s="130"/>
    </row>
    <row r="416" spans="1:7">
      <c r="A416" s="147"/>
      <c r="B416" s="143"/>
      <c r="C416" s="143"/>
      <c r="D416" s="20"/>
      <c r="E416" s="20"/>
      <c r="F416" s="99"/>
      <c r="G416" s="131"/>
    </row>
    <row r="417" spans="1:7">
      <c r="A417" s="148"/>
      <c r="B417" s="144" t="s">
        <v>9</v>
      </c>
      <c r="C417" s="144"/>
      <c r="D417" s="55"/>
      <c r="E417" s="28"/>
      <c r="F417" s="100"/>
      <c r="G417" s="132"/>
    </row>
    <row r="418" spans="1:7">
      <c r="A418" s="148"/>
      <c r="B418" s="144"/>
      <c r="C418" s="144"/>
      <c r="D418" s="24"/>
      <c r="E418" s="24"/>
      <c r="F418" s="100"/>
      <c r="G418" s="133"/>
    </row>
    <row r="419" spans="1:7">
      <c r="A419" s="148"/>
      <c r="B419" s="144"/>
      <c r="C419" s="144"/>
      <c r="D419" s="52"/>
      <c r="E419" s="53"/>
      <c r="F419" s="101"/>
      <c r="G419" s="133"/>
    </row>
    <row r="420" spans="1:7">
      <c r="A420" s="148"/>
      <c r="B420" s="144"/>
      <c r="C420" s="144"/>
      <c r="D420" s="57"/>
      <c r="E420" s="53"/>
      <c r="F420" s="101"/>
      <c r="G420" s="134"/>
    </row>
  </sheetData>
  <mergeCells count="321">
    <mergeCell ref="A186:A196"/>
    <mergeCell ref="C403:C406"/>
    <mergeCell ref="G403:G406"/>
    <mergeCell ref="A407:A420"/>
    <mergeCell ref="B407:B410"/>
    <mergeCell ref="C407:C410"/>
    <mergeCell ref="G407:G410"/>
    <mergeCell ref="B411:B416"/>
    <mergeCell ref="C411:C416"/>
    <mergeCell ref="G411:G416"/>
    <mergeCell ref="B417:B420"/>
    <mergeCell ref="C389:C392"/>
    <mergeCell ref="G389:G392"/>
    <mergeCell ref="A393:A406"/>
    <mergeCell ref="B393:B396"/>
    <mergeCell ref="C393:C396"/>
    <mergeCell ref="G393:G396"/>
    <mergeCell ref="B397:B402"/>
    <mergeCell ref="C397:C402"/>
    <mergeCell ref="G397:G402"/>
    <mergeCell ref="B403:B406"/>
    <mergeCell ref="C375:C378"/>
    <mergeCell ref="A379:A392"/>
    <mergeCell ref="B379:B382"/>
    <mergeCell ref="C379:C382"/>
    <mergeCell ref="G379:G382"/>
    <mergeCell ref="B383:B388"/>
    <mergeCell ref="C383:C388"/>
    <mergeCell ref="G383:G388"/>
    <mergeCell ref="B389:B392"/>
    <mergeCell ref="C417:C420"/>
    <mergeCell ref="G417:G420"/>
    <mergeCell ref="A365:A378"/>
    <mergeCell ref="B365:B368"/>
    <mergeCell ref="C365:C368"/>
    <mergeCell ref="G365:G368"/>
    <mergeCell ref="B369:B374"/>
    <mergeCell ref="C369:C374"/>
    <mergeCell ref="G369:G374"/>
    <mergeCell ref="B375:B378"/>
    <mergeCell ref="G375:G378"/>
    <mergeCell ref="A351:A364"/>
    <mergeCell ref="B351:B354"/>
    <mergeCell ref="C351:C354"/>
    <mergeCell ref="G351:G354"/>
    <mergeCell ref="B355:B360"/>
    <mergeCell ref="C355:C360"/>
    <mergeCell ref="G355:G360"/>
    <mergeCell ref="B361:B364"/>
    <mergeCell ref="C361:C364"/>
    <mergeCell ref="G361:G364"/>
    <mergeCell ref="A337:A350"/>
    <mergeCell ref="B337:B340"/>
    <mergeCell ref="C337:C340"/>
    <mergeCell ref="G337:G340"/>
    <mergeCell ref="B341:B346"/>
    <mergeCell ref="C341:C346"/>
    <mergeCell ref="G341:G346"/>
    <mergeCell ref="B347:B350"/>
    <mergeCell ref="C347:C350"/>
    <mergeCell ref="G347:G350"/>
    <mergeCell ref="A323:A336"/>
    <mergeCell ref="B323:B326"/>
    <mergeCell ref="C323:C326"/>
    <mergeCell ref="G323:G326"/>
    <mergeCell ref="B327:B332"/>
    <mergeCell ref="C327:C332"/>
    <mergeCell ref="G327:G332"/>
    <mergeCell ref="B333:B336"/>
    <mergeCell ref="C333:C336"/>
    <mergeCell ref="G333:G336"/>
    <mergeCell ref="A309:A322"/>
    <mergeCell ref="B309:B312"/>
    <mergeCell ref="C309:C312"/>
    <mergeCell ref="G309:G312"/>
    <mergeCell ref="B313:B318"/>
    <mergeCell ref="C313:C318"/>
    <mergeCell ref="G313:G318"/>
    <mergeCell ref="B319:B322"/>
    <mergeCell ref="C319:C322"/>
    <mergeCell ref="G319:G322"/>
    <mergeCell ref="A295:A308"/>
    <mergeCell ref="B295:B298"/>
    <mergeCell ref="C295:C298"/>
    <mergeCell ref="G295:G298"/>
    <mergeCell ref="B299:B304"/>
    <mergeCell ref="C299:C304"/>
    <mergeCell ref="G299:G304"/>
    <mergeCell ref="B305:B308"/>
    <mergeCell ref="C305:C308"/>
    <mergeCell ref="G305:G308"/>
    <mergeCell ref="A281:A294"/>
    <mergeCell ref="B281:B284"/>
    <mergeCell ref="C281:C284"/>
    <mergeCell ref="G281:G284"/>
    <mergeCell ref="B285:B290"/>
    <mergeCell ref="C285:C290"/>
    <mergeCell ref="G285:G290"/>
    <mergeCell ref="B291:B294"/>
    <mergeCell ref="C291:C294"/>
    <mergeCell ref="G291:G294"/>
    <mergeCell ref="A267:A280"/>
    <mergeCell ref="B267:B270"/>
    <mergeCell ref="C267:C270"/>
    <mergeCell ref="G267:G270"/>
    <mergeCell ref="B271:B276"/>
    <mergeCell ref="C271:C276"/>
    <mergeCell ref="G271:G276"/>
    <mergeCell ref="B277:B280"/>
    <mergeCell ref="C277:C280"/>
    <mergeCell ref="G277:G280"/>
    <mergeCell ref="A253:A266"/>
    <mergeCell ref="B253:B256"/>
    <mergeCell ref="C253:C256"/>
    <mergeCell ref="G253:G256"/>
    <mergeCell ref="B257:B262"/>
    <mergeCell ref="C257:C262"/>
    <mergeCell ref="G257:G262"/>
    <mergeCell ref="B263:B266"/>
    <mergeCell ref="C263:C266"/>
    <mergeCell ref="G263:G266"/>
    <mergeCell ref="A239:A252"/>
    <mergeCell ref="B239:B242"/>
    <mergeCell ref="C239:C242"/>
    <mergeCell ref="G239:G242"/>
    <mergeCell ref="B243:B248"/>
    <mergeCell ref="C243:C248"/>
    <mergeCell ref="G243:G248"/>
    <mergeCell ref="B249:B252"/>
    <mergeCell ref="C249:C252"/>
    <mergeCell ref="G249:G252"/>
    <mergeCell ref="A225:A238"/>
    <mergeCell ref="B225:B228"/>
    <mergeCell ref="C225:C228"/>
    <mergeCell ref="G225:G228"/>
    <mergeCell ref="B229:B234"/>
    <mergeCell ref="C229:C234"/>
    <mergeCell ref="G229:G234"/>
    <mergeCell ref="B235:B238"/>
    <mergeCell ref="C235:C238"/>
    <mergeCell ref="G235:G238"/>
    <mergeCell ref="A211:A224"/>
    <mergeCell ref="B211:B214"/>
    <mergeCell ref="C211:C214"/>
    <mergeCell ref="G211:G214"/>
    <mergeCell ref="B215:B220"/>
    <mergeCell ref="C215:C220"/>
    <mergeCell ref="G215:G220"/>
    <mergeCell ref="B221:B224"/>
    <mergeCell ref="C221:C224"/>
    <mergeCell ref="G221:G224"/>
    <mergeCell ref="A197:A210"/>
    <mergeCell ref="B197:B200"/>
    <mergeCell ref="C197:C200"/>
    <mergeCell ref="G197:G200"/>
    <mergeCell ref="B201:B206"/>
    <mergeCell ref="C201:C206"/>
    <mergeCell ref="G201:G206"/>
    <mergeCell ref="B207:B210"/>
    <mergeCell ref="C207:C210"/>
    <mergeCell ref="G207:G210"/>
    <mergeCell ref="D207:D210"/>
    <mergeCell ref="E207:E210"/>
    <mergeCell ref="F207:F210"/>
    <mergeCell ref="B186:B189"/>
    <mergeCell ref="C186:C189"/>
    <mergeCell ref="G186:G189"/>
    <mergeCell ref="B190:B192"/>
    <mergeCell ref="C190:C192"/>
    <mergeCell ref="G190:G192"/>
    <mergeCell ref="B193:B196"/>
    <mergeCell ref="D193:D196"/>
    <mergeCell ref="E193:E196"/>
    <mergeCell ref="F193:F196"/>
    <mergeCell ref="C193:C196"/>
    <mergeCell ref="G193:G196"/>
    <mergeCell ref="G169:G172"/>
    <mergeCell ref="A173:A185"/>
    <mergeCell ref="B173:B175"/>
    <mergeCell ref="C173:C175"/>
    <mergeCell ref="G173:G175"/>
    <mergeCell ref="B176:B181"/>
    <mergeCell ref="C176:C181"/>
    <mergeCell ref="G176:G181"/>
    <mergeCell ref="B182:B185"/>
    <mergeCell ref="A156:A172"/>
    <mergeCell ref="B156:B159"/>
    <mergeCell ref="C156:C159"/>
    <mergeCell ref="G156:G159"/>
    <mergeCell ref="B160:B168"/>
    <mergeCell ref="C160:C168"/>
    <mergeCell ref="D160:F160"/>
    <mergeCell ref="G160:G167"/>
    <mergeCell ref="B169:B172"/>
    <mergeCell ref="C169:C172"/>
    <mergeCell ref="C182:C185"/>
    <mergeCell ref="G182:G185"/>
    <mergeCell ref="D169:D172"/>
    <mergeCell ref="A141:A155"/>
    <mergeCell ref="B141:B144"/>
    <mergeCell ref="C141:C144"/>
    <mergeCell ref="G141:G144"/>
    <mergeCell ref="B146:B151"/>
    <mergeCell ref="C146:C151"/>
    <mergeCell ref="G146:G151"/>
    <mergeCell ref="B152:B155"/>
    <mergeCell ref="C152:C155"/>
    <mergeCell ref="G152:G155"/>
    <mergeCell ref="A130:A140"/>
    <mergeCell ref="B130:B133"/>
    <mergeCell ref="C130:C133"/>
    <mergeCell ref="G130:G133"/>
    <mergeCell ref="B134:B136"/>
    <mergeCell ref="C134:C136"/>
    <mergeCell ref="G134:G136"/>
    <mergeCell ref="B137:B140"/>
    <mergeCell ref="C137:C140"/>
    <mergeCell ref="G137:G140"/>
    <mergeCell ref="B123:B125"/>
    <mergeCell ref="C123:C125"/>
    <mergeCell ref="G123:G125"/>
    <mergeCell ref="B126:B129"/>
    <mergeCell ref="C126:C129"/>
    <mergeCell ref="G126:G129"/>
    <mergeCell ref="C108:C114"/>
    <mergeCell ref="G108:G114"/>
    <mergeCell ref="B115:B118"/>
    <mergeCell ref="C115:C118"/>
    <mergeCell ref="G115:G118"/>
    <mergeCell ref="A119:A129"/>
    <mergeCell ref="B119:B122"/>
    <mergeCell ref="C119:C122"/>
    <mergeCell ref="G119:G122"/>
    <mergeCell ref="D120:E120"/>
    <mergeCell ref="C94:C99"/>
    <mergeCell ref="G94:G99"/>
    <mergeCell ref="B100:B103"/>
    <mergeCell ref="C100:C103"/>
    <mergeCell ref="G100:G103"/>
    <mergeCell ref="A104:A118"/>
    <mergeCell ref="B104:B107"/>
    <mergeCell ref="C104:C107"/>
    <mergeCell ref="G104:G107"/>
    <mergeCell ref="B108:B114"/>
    <mergeCell ref="A90:A103"/>
    <mergeCell ref="B90:B93"/>
    <mergeCell ref="C90:C93"/>
    <mergeCell ref="D90:D91"/>
    <mergeCell ref="E90:E91"/>
    <mergeCell ref="G90:G93"/>
    <mergeCell ref="D92:D93"/>
    <mergeCell ref="E92:E93"/>
    <mergeCell ref="F92:F93"/>
    <mergeCell ref="B94:B99"/>
    <mergeCell ref="G76:G79"/>
    <mergeCell ref="B80:B85"/>
    <mergeCell ref="C80:C85"/>
    <mergeCell ref="G80:G85"/>
    <mergeCell ref="B86:B89"/>
    <mergeCell ref="C86:C89"/>
    <mergeCell ref="G86:G89"/>
    <mergeCell ref="G66:G71"/>
    <mergeCell ref="B72:B75"/>
    <mergeCell ref="C72:C75"/>
    <mergeCell ref="G72:G75"/>
    <mergeCell ref="A76:A89"/>
    <mergeCell ref="B76:B79"/>
    <mergeCell ref="C76:C79"/>
    <mergeCell ref="D76:D79"/>
    <mergeCell ref="E76:E79"/>
    <mergeCell ref="F76:F79"/>
    <mergeCell ref="G58:G61"/>
    <mergeCell ref="A62:A75"/>
    <mergeCell ref="B62:B65"/>
    <mergeCell ref="C62:C65"/>
    <mergeCell ref="D62:D65"/>
    <mergeCell ref="E62:E65"/>
    <mergeCell ref="F62:F65"/>
    <mergeCell ref="G62:G65"/>
    <mergeCell ref="B66:B71"/>
    <mergeCell ref="C66:C71"/>
    <mergeCell ref="G44:G47"/>
    <mergeCell ref="A48:A61"/>
    <mergeCell ref="B48:B51"/>
    <mergeCell ref="C48:C51"/>
    <mergeCell ref="G48:G51"/>
    <mergeCell ref="B52:B57"/>
    <mergeCell ref="C52:C57"/>
    <mergeCell ref="G52:G57"/>
    <mergeCell ref="B58:B61"/>
    <mergeCell ref="C58:C61"/>
    <mergeCell ref="A31:A47"/>
    <mergeCell ref="B31:B37"/>
    <mergeCell ref="C31:C37"/>
    <mergeCell ref="G31:G37"/>
    <mergeCell ref="B38:B43"/>
    <mergeCell ref="C38:C43"/>
    <mergeCell ref="D38:D43"/>
    <mergeCell ref="G38:G43"/>
    <mergeCell ref="B44:B47"/>
    <mergeCell ref="C44:C47"/>
    <mergeCell ref="A17:A30"/>
    <mergeCell ref="B17:B20"/>
    <mergeCell ref="C17:C20"/>
    <mergeCell ref="G17:G20"/>
    <mergeCell ref="B21:B26"/>
    <mergeCell ref="C21:C26"/>
    <mergeCell ref="G21:G26"/>
    <mergeCell ref="B27:B30"/>
    <mergeCell ref="C27:C30"/>
    <mergeCell ref="G27:G30"/>
    <mergeCell ref="A3:A16"/>
    <mergeCell ref="B3:B6"/>
    <mergeCell ref="C3:C6"/>
    <mergeCell ref="G3:G6"/>
    <mergeCell ref="B7:B12"/>
    <mergeCell ref="C7:C12"/>
    <mergeCell ref="G7:G12"/>
    <mergeCell ref="B13:B16"/>
    <mergeCell ref="C13:C16"/>
    <mergeCell ref="G13:G16"/>
  </mergeCells>
  <phoneticPr fontId="18" type="noConversion"/>
  <pageMargins left="0.69930555555555596" right="0.69930555555555596" top="0.75" bottom="0.75" header="0.3" footer="0.3"/>
  <pageSetup paperSize="9" scale="6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May-Vdn</vt:lpstr>
      <vt:lpstr> Apr-Vdn</vt:lpstr>
      <vt:lpstr>May-Vdn (2)</vt:lpstr>
      <vt:lpstr>' Apr-Vdn'!Print_Area</vt:lpstr>
      <vt:lpstr>'May-Vdn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Sachin Kumar(Maintenance)</cp:lastModifiedBy>
  <cp:lastPrinted>2025-05-17T03:14:47Z</cp:lastPrinted>
  <dcterms:created xsi:type="dcterms:W3CDTF">2015-06-05T18:17:00Z</dcterms:created>
  <dcterms:modified xsi:type="dcterms:W3CDTF">2025-05-17T03:14:49Z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2052-11.8.2.11978</vt:lpwstr>
  </property>
  <property fmtid="{D5CDD505-2E9C-101B-9397-08002B2CF9AE}" pid="3" name="ICV">
    <vt:lpwstr>D7411A7DE6A645F182A3D3E625F76E3E</vt:lpwstr>
  </property>
</Properties>
</file>