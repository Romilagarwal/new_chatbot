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
    </mc:Choice>
  </mc:AlternateContent>
  <bookViews>
    <workbookView xWindow="0" yWindow="0" windowWidth="20490" windowHeight="8910" tabRatio="346" firstSheet="2" activeTab="4"/>
  </bookViews>
  <sheets>
    <sheet name="Original" sheetId="1" r:id="rId1"/>
    <sheet name="Feb-Pad" sheetId="2" r:id="rId2"/>
    <sheet name="March-pad" sheetId="3" r:id="rId3"/>
    <sheet name=" Apr-pad" sheetId="4" r:id="rId4"/>
    <sheet name="May-pad" sheetId="5" r:id="rId5"/>
  </sheets>
  <definedNames>
    <definedName name="_xlnm._FilterDatabase" localSheetId="1" hidden="1">'Feb-Pad'!$F$1:$F$76</definedName>
    <definedName name="_xlnm._FilterDatabase" localSheetId="2" hidden="1">'March-pad'!$F$1:$F$211</definedName>
    <definedName name="_xlnm.Print_Area" localSheetId="3">' Apr-pad'!$A$183:$O$192</definedName>
    <definedName name="_xlnm.Print_Area" localSheetId="4">'May-pad'!$A$2:$N$178</definedName>
  </definedNames>
  <calcPr calcId="162913"/>
</workbook>
</file>

<file path=xl/calcChain.xml><?xml version="1.0" encoding="utf-8"?>
<calcChain xmlns="http://schemas.openxmlformats.org/spreadsheetml/2006/main">
  <c r="M161" i="5" l="1"/>
  <c r="M146" i="5" l="1"/>
  <c r="M82" i="5" l="1"/>
  <c r="O187" i="4"/>
  <c r="O184" i="4"/>
  <c r="O183" i="4"/>
  <c r="O178" i="4"/>
  <c r="O176" i="4"/>
  <c r="O174" i="4"/>
  <c r="O162" i="4"/>
  <c r="O157" i="4"/>
  <c r="O153" i="4"/>
  <c r="O149" i="4"/>
  <c r="O145" i="4"/>
  <c r="O136" i="4"/>
  <c r="O128" i="4"/>
  <c r="O127" i="4"/>
  <c r="O123" i="4"/>
  <c r="O118" i="4"/>
  <c r="O114" i="4"/>
  <c r="O109" i="4"/>
  <c r="O106" i="4"/>
  <c r="O105" i="4"/>
  <c r="O95" i="4"/>
  <c r="O84" i="4"/>
  <c r="O57" i="4"/>
  <c r="O53" i="4"/>
  <c r="O49" i="4"/>
  <c r="O45" i="4"/>
  <c r="O41" i="4"/>
  <c r="O35" i="4"/>
  <c r="O31" i="4"/>
  <c r="O27" i="4"/>
  <c r="O21" i="4"/>
  <c r="O17" i="4"/>
  <c r="O13" i="4"/>
  <c r="O7" i="4"/>
  <c r="O3" i="4"/>
  <c r="K202" i="3"/>
  <c r="J153" i="3"/>
  <c r="J140" i="3"/>
  <c r="J116" i="3"/>
  <c r="J106" i="3"/>
  <c r="J78" i="3"/>
  <c r="J58" i="3"/>
  <c r="J51" i="3"/>
  <c r="J46" i="3"/>
  <c r="J36" i="3"/>
  <c r="J23" i="3"/>
  <c r="J19" i="3"/>
  <c r="J8" i="3"/>
  <c r="J69" i="2"/>
  <c r="J56" i="2"/>
  <c r="J51" i="2"/>
  <c r="J47" i="2"/>
  <c r="J43" i="2"/>
  <c r="J39" i="2"/>
  <c r="J15" i="2"/>
  <c r="J11" i="2"/>
  <c r="J7" i="2"/>
  <c r="J3" i="2"/>
  <c r="K13" i="1"/>
  <c r="K3" i="1"/>
</calcChain>
</file>

<file path=xl/sharedStrings.xml><?xml version="1.0" encoding="utf-8"?>
<sst xmlns="http://schemas.openxmlformats.org/spreadsheetml/2006/main" count="1145" uniqueCount="738">
  <si>
    <t xml:space="preserve">Breakdown Log Book </t>
  </si>
  <si>
    <t>Month..-&gt;</t>
  </si>
  <si>
    <t>Date</t>
  </si>
  <si>
    <t>Shift</t>
  </si>
  <si>
    <t>Plan</t>
  </si>
  <si>
    <t>Actual</t>
  </si>
  <si>
    <t>FAI NG %</t>
  </si>
  <si>
    <t>Attended
 By</t>
  </si>
  <si>
    <t>M/C</t>
  </si>
  <si>
    <t>B/D Phenomena</t>
  </si>
  <si>
    <t>Corrective Actions</t>
  </si>
  <si>
    <t>Time Taken（min）</t>
  </si>
  <si>
    <t>Cum. Time</t>
  </si>
  <si>
    <t>A</t>
  </si>
  <si>
    <t>B</t>
  </si>
  <si>
    <t>c</t>
  </si>
  <si>
    <t>Manoj</t>
  </si>
  <si>
    <t xml:space="preserve">A5 loading camera communication fail </t>
  </si>
  <si>
    <t>camera communication unplug and software restart  and taken backup</t>
  </si>
  <si>
    <t>C</t>
  </si>
  <si>
    <t xml:space="preserve">Barcode  font NG </t>
  </si>
  <si>
    <t xml:space="preserve">priter change and FAI adjust </t>
  </si>
  <si>
    <t xml:space="preserve">drive mode alarm </t>
  </si>
  <si>
    <t>SPMS change and faulty cable change</t>
  </si>
  <si>
    <t>BIS pc not on</t>
  </si>
  <si>
    <t xml:space="preserve">BIS Cpu adapter change </t>
  </si>
  <si>
    <t>Upper PC hang</t>
  </si>
  <si>
    <t>Restart pc and run</t>
  </si>
  <si>
    <t xml:space="preserve">Manoj </t>
  </si>
  <si>
    <t xml:space="preserve">OK  Discharge block sensor abnormal </t>
  </si>
  <si>
    <t>manually ajust than run the line.</t>
  </si>
  <si>
    <t xml:space="preserve">upper side PC hang 2 time </t>
  </si>
  <si>
    <t>restart the pc .</t>
  </si>
  <si>
    <t xml:space="preserve">Fai 77 A side  NG </t>
  </si>
  <si>
    <t xml:space="preserve"> X1 servo postion .24  down side </t>
  </si>
  <si>
    <r>
      <rPr>
        <b/>
        <sz val="8"/>
        <color theme="1"/>
        <rFont val="Calibri"/>
        <family val="2"/>
      </rPr>
      <t>M</t>
    </r>
    <r>
      <rPr>
        <b/>
        <sz val="8"/>
        <color theme="1"/>
        <rFont val="Calibri"/>
        <family val="2"/>
      </rPr>
      <t>anoj &amp; Akash</t>
    </r>
  </si>
  <si>
    <t xml:space="preserve">M/C Auto Power off </t>
  </si>
  <si>
    <r>
      <rPr>
        <b/>
        <sz val="8"/>
        <color theme="1"/>
        <rFont val="Calibri"/>
        <family val="2"/>
      </rPr>
      <t>O</t>
    </r>
    <r>
      <rPr>
        <b/>
        <sz val="8"/>
        <color theme="1"/>
        <rFont val="Calibri"/>
        <family val="2"/>
      </rPr>
      <t>K Discharge robot servo motor power cable short so change the new power cable.</t>
    </r>
  </si>
  <si>
    <t>All servo drive shows alarm on HMI</t>
  </si>
  <si>
    <t>Reset the alarm &amp; recover servo position. (Root cause not found)</t>
  </si>
  <si>
    <r>
      <rPr>
        <b/>
        <sz val="8"/>
        <color theme="1"/>
        <rFont val="Calibri"/>
        <family val="2"/>
      </rPr>
      <t>F</t>
    </r>
    <r>
      <rPr>
        <b/>
        <sz val="8"/>
        <color theme="1"/>
        <rFont val="Calibri"/>
        <family val="2"/>
      </rPr>
      <t>AI 75 NG</t>
    </r>
  </si>
  <si>
    <t>Change A3 X1 axis position change (4.10 to 4.40)</t>
  </si>
  <si>
    <t>FAI 68 NG</t>
  </si>
  <si>
    <t>Change A3 Y1 axis position change (288.40 to 287.30)</t>
  </si>
  <si>
    <t>Naresh+
Aniruddha</t>
  </si>
  <si>
    <t>Drive error #42 Number</t>
  </si>
  <si>
    <t>Reset IT from PLC</t>
  </si>
  <si>
    <t>A6 Pad Printing not proper is coming</t>
  </si>
  <si>
    <t xml:space="preserve">Cleaned the pad after that </t>
  </si>
  <si>
    <t>Drive#13 go in error</t>
  </si>
  <si>
    <t>Reset IT by drive power on/off</t>
  </si>
  <si>
    <t xml:space="preserve">Manjeet Singh </t>
  </si>
  <si>
    <t xml:space="preserve">FAI 68 NG </t>
  </si>
  <si>
    <t>Cleaning of mover &amp; given off set -0.500 to -0.700.</t>
  </si>
  <si>
    <t xml:space="preserve">OK discharge block sensor abnormal </t>
  </si>
  <si>
    <t xml:space="preserve">manual  run and memory clear </t>
  </si>
  <si>
    <t xml:space="preserve">Feeding robot vacuume not  on </t>
  </si>
  <si>
    <t xml:space="preserve">feed cell lift memory clear and feeding robot part alignment set . </t>
  </si>
  <si>
    <t>Akash &amp; Manoj</t>
  </si>
  <si>
    <r>
      <rPr>
        <b/>
        <sz val="8"/>
        <color theme="1"/>
        <rFont val="Calibri"/>
        <family val="2"/>
      </rPr>
      <t>O</t>
    </r>
    <r>
      <rPr>
        <b/>
        <sz val="8"/>
        <color theme="1"/>
        <rFont val="Calibri"/>
        <family val="2"/>
      </rPr>
      <t>k Discharge robot error (e-08) robot controller.</t>
    </r>
  </si>
  <si>
    <r>
      <rPr>
        <b/>
        <sz val="8"/>
        <color theme="1"/>
        <rFont val="Calibri"/>
        <family val="2"/>
      </rPr>
      <t>C</t>
    </r>
    <r>
      <rPr>
        <b/>
        <sz val="8"/>
        <color theme="1"/>
        <rFont val="Calibri"/>
        <family val="2"/>
      </rPr>
      <t>ontroller power cable reconnect &amp; reference the robot.</t>
    </r>
  </si>
  <si>
    <r>
      <rPr>
        <b/>
        <sz val="8"/>
        <color theme="1"/>
        <rFont val="Calibri"/>
        <family val="2"/>
      </rPr>
      <t>B4 oil cup servo limit sensor not working</t>
    </r>
    <r>
      <rPr>
        <b/>
        <sz val="8"/>
        <color theme="1"/>
        <rFont val="Calibri"/>
        <family val="2"/>
      </rPr>
      <t>.</t>
    </r>
  </si>
  <si>
    <r>
      <rPr>
        <b/>
        <sz val="8"/>
        <color theme="1"/>
        <rFont val="Calibri"/>
        <family val="2"/>
      </rPr>
      <t xml:space="preserve">Change new </t>
    </r>
    <r>
      <rPr>
        <b/>
        <sz val="8"/>
        <color theme="1"/>
        <rFont val="Calibri"/>
        <family val="2"/>
      </rPr>
      <t xml:space="preserve">sensor </t>
    </r>
    <r>
      <rPr>
        <b/>
        <sz val="8"/>
        <color theme="1"/>
        <rFont val="Calibri"/>
        <family val="2"/>
      </rPr>
      <t>than run the line.</t>
    </r>
  </si>
  <si>
    <r>
      <rPr>
        <b/>
        <sz val="8"/>
        <color theme="1"/>
        <rFont val="Calibri"/>
        <family val="2"/>
      </rPr>
      <t>I</t>
    </r>
    <r>
      <rPr>
        <b/>
        <sz val="8"/>
        <color theme="1"/>
        <rFont val="Calibri"/>
        <family val="2"/>
      </rPr>
      <t>nkj</t>
    </r>
    <r>
      <rPr>
        <b/>
        <sz val="8"/>
        <color theme="1"/>
        <rFont val="Calibri"/>
        <family val="2"/>
      </rPr>
      <t>et</t>
    </r>
    <r>
      <rPr>
        <b/>
        <sz val="8"/>
        <color theme="1"/>
        <rFont val="Calibri"/>
        <family val="2"/>
      </rPr>
      <t xml:space="preserve"> </t>
    </r>
    <r>
      <rPr>
        <b/>
        <sz val="8"/>
        <color theme="1"/>
        <rFont val="Calibri"/>
        <family val="2"/>
      </rPr>
      <t xml:space="preserve">QR </t>
    </r>
    <r>
      <rPr>
        <b/>
        <sz val="8"/>
        <color theme="1"/>
        <rFont val="Calibri"/>
        <family val="2"/>
      </rPr>
      <t xml:space="preserve">time out </t>
    </r>
  </si>
  <si>
    <r>
      <rPr>
        <b/>
        <sz val="8"/>
        <color theme="1"/>
        <rFont val="Calibri"/>
        <family val="2"/>
      </rPr>
      <t>Software re start</t>
    </r>
    <r>
      <rPr>
        <b/>
        <sz val="8"/>
        <color theme="1"/>
        <rFont val="Calibri"/>
        <family val="2"/>
      </rPr>
      <t>.</t>
    </r>
  </si>
  <si>
    <r>
      <rPr>
        <b/>
        <sz val="8"/>
        <color theme="1"/>
        <rFont val="Calibri"/>
        <family val="2"/>
      </rPr>
      <t>Camera communication unplug and software restart  and taken backup</t>
    </r>
    <r>
      <rPr>
        <b/>
        <sz val="8"/>
        <color theme="1"/>
        <rFont val="Calibri"/>
        <family val="2"/>
      </rPr>
      <t>.</t>
    </r>
  </si>
  <si>
    <t xml:space="preserve">ITS not ready </t>
  </si>
  <si>
    <t>Initialize the ITS then ok.</t>
  </si>
  <si>
    <t>A6 pad printing is not proper being done,
fail issue at FAI63</t>
  </si>
  <si>
    <t>Change the pad printing by operator after that ok</t>
  </si>
  <si>
    <t>A4 pad printing not proper</t>
  </si>
  <si>
    <t>Cleaned printing pad and insert thinner in inkpot after that ok</t>
  </si>
  <si>
    <t>Feed tray drive go in error, not reset 
being done by HMI</t>
  </si>
  <si>
    <t>Reset it from PLC Then ok</t>
  </si>
  <si>
    <t>FAI 75 NG</t>
  </si>
  <si>
    <t xml:space="preserve">A3 inkjet head clean（Both side） </t>
  </si>
  <si>
    <t>FAI 66 NG</t>
  </si>
  <si>
    <t xml:space="preserve">given off set </t>
  </si>
  <si>
    <t>A3 inkjet B head  down</t>
  </si>
  <si>
    <t xml:space="preserve">Fail 67 NG </t>
  </si>
  <si>
    <t xml:space="preserve">A3 inkjet x2 servo value change 62.50 to 62.47 </t>
  </si>
  <si>
    <t xml:space="preserve">A3 inkjet x1 servo axis alarm </t>
  </si>
  <si>
    <t xml:space="preserve">manual run </t>
  </si>
  <si>
    <t>AniruddhaYadav</t>
  </si>
  <si>
    <t>B4 pad printing ng issue</t>
  </si>
  <si>
    <t>Cleaned the printing pad then ok</t>
  </si>
  <si>
    <t>A5 pad printing not proper being done</t>
  </si>
  <si>
    <t>Clean the printing pad and insert thinnerthen ok （ that is 3 time happend）</t>
  </si>
  <si>
    <t xml:space="preserve">B6 pad printing not proper is coming </t>
  </si>
  <si>
    <t>Cleaned pad but problem is continue，change the printing pad after that ok</t>
  </si>
  <si>
    <t>4114+5436</t>
  </si>
  <si>
    <t xml:space="preserve">Feeding Robot  not repond </t>
  </si>
  <si>
    <t>manually home position by software.</t>
  </si>
  <si>
    <t xml:space="preserve">A1 ryt side clyender vaccum issue </t>
  </si>
  <si>
    <t xml:space="preserve">foam tape sticking </t>
  </si>
  <si>
    <t>Ok Discharge robot error (e-08) robot controller.</t>
  </si>
  <si>
    <t xml:space="preserve">taken time </t>
  </si>
  <si>
    <t>cum .Time</t>
  </si>
  <si>
    <t>5/03/2025</t>
  </si>
  <si>
    <t xml:space="preserve">  </t>
  </si>
  <si>
    <t xml:space="preserve">manjeet  </t>
  </si>
  <si>
    <t xml:space="preserve">feeding robot vacuume not ok  </t>
  </si>
  <si>
    <t xml:space="preserve">mount vacuume controller. </t>
  </si>
  <si>
    <t xml:space="preserve">maintenance pending </t>
  </si>
  <si>
    <t>maintenance done , 1 ink filter clean ,2 100 micron filter clean ,3 ink filter pipe clean, 4 complete flushing ,</t>
  </si>
  <si>
    <t xml:space="preserve">Phase drop daviaction alarm </t>
  </si>
  <si>
    <t>1. Head bord cross check , 2 nozzle clean and  changed ,3 gutter block clean and changed, 4  if increase pizo value then jet start only ( from 294 to 1000)  . Note ：- ink segmented in filter /ink quality imp .</t>
  </si>
  <si>
    <t>Feed tray shaft servo speed slow .</t>
  </si>
  <si>
    <t xml:space="preserve"> increase the pdt of shft servo </t>
  </si>
  <si>
    <t xml:space="preserve">feed plateform vacuume not on </t>
  </si>
  <si>
    <t xml:space="preserve">set vacuume leavle </t>
  </si>
  <si>
    <t>MES Ping high</t>
  </si>
  <si>
    <t xml:space="preserve">redused ping help of IT team </t>
  </si>
  <si>
    <t xml:space="preserve">avg UPH down </t>
  </si>
  <si>
    <t xml:space="preserve">set inter locking of feeding robot ,feed plateform,discharge turntable,feed trsy shaft servo,discharge plateform ,ok discharge robot. ( with DG team) </t>
  </si>
  <si>
    <t xml:space="preserve">manoj </t>
  </si>
  <si>
    <t xml:space="preserve">feed tray lift sensor abnormal </t>
  </si>
  <si>
    <r>
      <rPr>
        <b/>
        <sz val="9"/>
        <color theme="1"/>
        <rFont val="Calibri"/>
        <family val="2"/>
      </rPr>
      <t>s</t>
    </r>
    <r>
      <rPr>
        <b/>
        <sz val="9"/>
        <color theme="1"/>
        <rFont val="Calibri"/>
        <family val="2"/>
      </rPr>
      <t>et the range and alignment done.</t>
    </r>
  </si>
  <si>
    <t xml:space="preserve">feed lift turntable cell not put proper on turn table. </t>
  </si>
  <si>
    <t xml:space="preserve">set cylinder stoper position </t>
  </si>
  <si>
    <t>06/03/2025</t>
  </si>
  <si>
    <r>
      <rPr>
        <b/>
        <sz val="9"/>
        <color theme="1"/>
        <rFont val="Calibri"/>
        <family val="2"/>
      </rPr>
      <t>a</t>
    </r>
    <r>
      <rPr>
        <b/>
        <sz val="9"/>
        <color theme="1"/>
        <rFont val="Calibri"/>
        <family val="2"/>
      </rPr>
      <t xml:space="preserve">kash </t>
    </r>
  </si>
  <si>
    <t>first set sensor range and alignment but problem not resolve then changed the new sensor then ok .</t>
  </si>
  <si>
    <t xml:space="preserve">FAI 68 come </t>
  </si>
  <si>
    <t>barcode reteach .</t>
  </si>
  <si>
    <t>set the alignment of feed lift turntable .</t>
  </si>
  <si>
    <r>
      <rPr>
        <b/>
        <sz val="9"/>
        <color theme="1"/>
        <rFont val="Calibri"/>
        <family val="2"/>
      </rPr>
      <t>m</t>
    </r>
    <r>
      <rPr>
        <b/>
        <sz val="9"/>
        <color theme="1"/>
        <rFont val="Calibri"/>
        <family val="2"/>
      </rPr>
      <t>anjeet</t>
    </r>
    <r>
      <rPr>
        <b/>
        <sz val="9"/>
        <color theme="1"/>
        <rFont val="Calibri"/>
        <family val="2"/>
      </rPr>
      <t xml:space="preserve"> </t>
    </r>
  </si>
  <si>
    <t>B 4 Glue head used .</t>
  </si>
  <si>
    <t xml:space="preserve">pad chenge </t>
  </si>
  <si>
    <t>A1 daviaction correction servo dissable 2times</t>
  </si>
  <si>
    <t xml:space="preserve">enabl the and run </t>
  </si>
  <si>
    <t>line stop for LQC person not available ( dinner time )</t>
  </si>
  <si>
    <t xml:space="preserve"> A6 glue head used  .</t>
  </si>
  <si>
    <t>11363+320</t>
  </si>
  <si>
    <t xml:space="preserve">FAI 61 a side </t>
  </si>
  <si>
    <t xml:space="preserve">print servo 0.10 up side </t>
  </si>
  <si>
    <t>1</t>
  </si>
  <si>
    <t>07/03/2025</t>
  </si>
  <si>
    <t xml:space="preserve">Manjeet </t>
  </si>
  <si>
    <t xml:space="preserve">Quality person close the shoftware PC hang </t>
  </si>
  <si>
    <t xml:space="preserve">restart the PC &amp; shoftware </t>
  </si>
  <si>
    <t xml:space="preserve">MES ping Value high </t>
  </si>
  <si>
    <t xml:space="preserve">IT team work on it </t>
  </si>
  <si>
    <t xml:space="preserve">FAI 62 &amp; 60 come </t>
  </si>
  <si>
    <t xml:space="preserve">set servo location </t>
  </si>
  <si>
    <t>LQC person not available ( dinner time 7 to 7,30pm )</t>
  </si>
  <si>
    <t xml:space="preserve">Barcode grade NG b side </t>
  </si>
  <si>
    <t xml:space="preserve">inkjwt head clean </t>
  </si>
  <si>
    <t>Bar code proofreading NG: Printer rutern NG,please check the printer softwarePack code lenth check Error：pack code lenth smaller than 8</t>
  </si>
  <si>
    <t xml:space="preserve">restart the PC &amp; shoftware ( due to MES ping value high) </t>
  </si>
  <si>
    <t>08/03/2025</t>
  </si>
  <si>
    <t xml:space="preserve">manjeet/             akash </t>
  </si>
  <si>
    <t>LQC not available line stop  ( tea time)</t>
  </si>
  <si>
    <t xml:space="preserve">Barcode grade NG </t>
  </si>
  <si>
    <t xml:space="preserve">Both head clean </t>
  </si>
  <si>
    <t xml:space="preserve">FAI 69&amp; 62 come </t>
  </si>
  <si>
    <t>Set the purzing of turntable cell alignment ,feed lift cylinder rotation ,reteach ROI of cell putting position .loding robot algle teach .</t>
  </si>
  <si>
    <t xml:space="preserve">FAI 75 come </t>
  </si>
  <si>
    <t xml:space="preserve">head position set </t>
  </si>
  <si>
    <t xml:space="preserve">barcode grade NG ( C,D) </t>
  </si>
  <si>
    <t>Akshay</t>
  </si>
  <si>
    <t>A1 daviation correction servo disable &amp; Pick up position change 2 times in running M/C</t>
  </si>
  <si>
    <t>Correct the pick up position of A1 daviation motor &amp; enable the motor.</t>
  </si>
  <si>
    <t xml:space="preserve">Bubble coming on cosmatic side issue. </t>
  </si>
  <si>
    <t>1. Curring pressure air increased.
2. B1 lift position decresed (27.00 -&gt; 26.00)
3. B1 Vaccum pressure decreased but cosmetic side FAI 70 is coming so reset it.
4. Apply the Black spunge tape on discharge turntable lift-1 head, then problem solved.</t>
  </si>
  <si>
    <t>QR code erase from corner issue.</t>
  </si>
  <si>
    <t>Decrease the air purging of Discharge turntable lift-1. But under observation.</t>
  </si>
  <si>
    <t>10/03/2025</t>
  </si>
  <si>
    <t>A1 correction daviaction alarm</t>
  </si>
  <si>
    <t xml:space="preserve">manual operate and rum </t>
  </si>
  <si>
    <t>barcode issue （ printing Biller）</t>
  </si>
  <si>
    <t xml:space="preserve">A3 inkjet head clean </t>
  </si>
  <si>
    <t xml:space="preserve">LQC person not present .( tea time &amp; Lunch time ) </t>
  </si>
  <si>
    <t xml:space="preserve">loding arm sensor not working（ B side) . VDN line 1 </t>
  </si>
  <si>
    <t xml:space="preserve"> sensor replaced</t>
  </si>
  <si>
    <t xml:space="preserve">loding arm putting position wrong down side （ A side) . VDN line 1 </t>
  </si>
  <si>
    <t xml:space="preserve">Set stopper </t>
  </si>
  <si>
    <t xml:space="preserve"> </t>
  </si>
  <si>
    <t>QR code text erase issue from corner .</t>
  </si>
  <si>
    <t>QR code text at A7 CCD is ok but NG at OK discharge, then check all lifting location of cell &amp; found B7 DIS lift 1 cyl. movement is very fast &amp; forcely put the cell on discharge table, so provide the flow control then, cyl. movement is ok.  (Under observation)</t>
  </si>
  <si>
    <r>
      <rPr>
        <b/>
        <sz val="8"/>
        <color theme="1"/>
        <rFont val="Calibri"/>
        <family val="2"/>
      </rPr>
      <t>1</t>
    </r>
    <r>
      <rPr>
        <b/>
        <sz val="8"/>
        <color theme="1"/>
        <rFont val="Calibri"/>
        <family val="2"/>
      </rPr>
      <t>7/03/2025</t>
    </r>
  </si>
  <si>
    <r>
      <rPr>
        <b/>
        <sz val="8"/>
        <color theme="1"/>
        <rFont val="Calibri"/>
        <family val="2"/>
      </rPr>
      <t>A</t>
    </r>
    <r>
      <rPr>
        <b/>
        <sz val="8"/>
        <color theme="1"/>
        <rFont val="Calibri"/>
        <family val="2"/>
      </rPr>
      <t>kshay</t>
    </r>
  </si>
  <si>
    <t>Bubble &amp; line issue on cell.</t>
  </si>
  <si>
    <t>Change the spunge tape of B1 Flip &amp; B7 Discharge lift 1 &amp; 2</t>
  </si>
  <si>
    <t>FAI66 NG print.</t>
  </si>
  <si>
    <t>Change the correction parameter (B side) lift side max. threshold value from 200 to 160.</t>
  </si>
  <si>
    <t>Barcode not print on B side.</t>
  </si>
  <si>
    <t>Restart all software &amp; printer also.</t>
  </si>
  <si>
    <t>B7 discharge  vaccum not ON.</t>
  </si>
  <si>
    <t>Change the spunge tape.</t>
  </si>
  <si>
    <t>A1 correction deviation motor disabled- 4 Times</t>
  </si>
  <si>
    <t>Manually Enabled &amp; run M/C.</t>
  </si>
  <si>
    <t>B5 correction motor +ve high limit reached.</t>
  </si>
  <si>
    <t>Check &amp; found 3rd cleaning position is wrong so correct the position.</t>
  </si>
  <si>
    <t>B side Barcode not printed.</t>
  </si>
  <si>
    <t xml:space="preserve">Restart all software &amp; PC but not barcode not printed so bypass B side &amp; run only A side. (Due to Alarm come on MES) </t>
  </si>
  <si>
    <t>Discharge turntable 3-2 vaccum not ON.</t>
  </si>
  <si>
    <t>Change the broken filter then ok</t>
  </si>
  <si>
    <t>18/03/2025</t>
  </si>
  <si>
    <t>manjeet</t>
  </si>
  <si>
    <t xml:space="preserve">Change the spunge tape of B1 Flip &amp; B7 Discharge lift 1 &amp; 2 （ withChinese） </t>
  </si>
  <si>
    <t xml:space="preserve">FAI74 NG </t>
  </si>
  <si>
    <t>B4 lift servo pressure (87 to 85)</t>
  </si>
  <si>
    <t>FAI 71 NG</t>
  </si>
  <si>
    <t xml:space="preserve">offset value change </t>
  </si>
  <si>
    <t>A1 correction deviation motor disabled- 7 Times</t>
  </si>
  <si>
    <t xml:space="preserve">support with china team regarding MES issue they changed mapping value .  </t>
  </si>
  <si>
    <t xml:space="preserve">FAI 72 NG </t>
  </si>
  <si>
    <r>
      <rPr>
        <b/>
        <sz val="8"/>
        <color theme="1"/>
        <rFont val="等线"/>
        <charset val="134"/>
      </rPr>
      <t>1</t>
    </r>
    <r>
      <rPr>
        <b/>
        <sz val="8"/>
        <color theme="1"/>
        <rFont val="等线"/>
        <charset val="134"/>
      </rPr>
      <t>9</t>
    </r>
    <r>
      <rPr>
        <b/>
        <sz val="8"/>
        <color theme="1"/>
        <rFont val="等线"/>
        <charset val="134"/>
      </rPr>
      <t>/03/2025</t>
    </r>
  </si>
  <si>
    <r>
      <rPr>
        <b/>
        <sz val="8"/>
        <color theme="1"/>
        <rFont val="等线"/>
        <charset val="134"/>
      </rPr>
      <t>A</t>
    </r>
    <r>
      <rPr>
        <b/>
        <sz val="8"/>
        <color theme="1"/>
        <rFont val="等线"/>
        <charset val="134"/>
      </rPr>
      <t>kshay</t>
    </r>
  </si>
  <si>
    <r>
      <rPr>
        <b/>
        <sz val="8"/>
        <color theme="1"/>
        <rFont val="等线"/>
        <charset val="134"/>
      </rPr>
      <t>F</t>
    </r>
    <r>
      <rPr>
        <b/>
        <sz val="8"/>
        <color theme="1"/>
        <rFont val="等线"/>
        <charset val="134"/>
      </rPr>
      <t>eed turntable vaccum not ON.</t>
    </r>
  </si>
  <si>
    <r>
      <rPr>
        <b/>
        <sz val="8"/>
        <color theme="1"/>
        <rFont val="等线"/>
        <charset val="134"/>
      </rPr>
      <t>I</t>
    </r>
    <r>
      <rPr>
        <b/>
        <sz val="8"/>
        <color theme="1"/>
        <rFont val="等线"/>
        <charset val="134"/>
      </rPr>
      <t>ncrease the air purging pressure.</t>
    </r>
  </si>
  <si>
    <r>
      <rPr>
        <b/>
        <sz val="8"/>
        <color theme="1"/>
        <rFont val="等线"/>
        <charset val="134"/>
      </rPr>
      <t>E</t>
    </r>
    <r>
      <rPr>
        <b/>
        <sz val="8"/>
        <color theme="1"/>
        <rFont val="等线"/>
        <charset val="134"/>
      </rPr>
      <t>mpty feed tray pick cell tray with empty tray.</t>
    </r>
  </si>
  <si>
    <r>
      <rPr>
        <b/>
        <sz val="8"/>
        <color theme="1"/>
        <rFont val="等线"/>
        <charset val="134"/>
      </rPr>
      <t>C</t>
    </r>
    <r>
      <rPr>
        <b/>
        <sz val="8"/>
        <color theme="1"/>
        <rFont val="等线"/>
        <charset val="134"/>
      </rPr>
      <t>heck &amp; found tray saparater cylinder mounting removed so mount the cylinder.</t>
    </r>
  </si>
  <si>
    <r>
      <rPr>
        <b/>
        <sz val="8"/>
        <color theme="1"/>
        <rFont val="等线"/>
        <charset val="134"/>
      </rPr>
      <t>Man</t>
    </r>
    <r>
      <rPr>
        <b/>
        <sz val="8"/>
        <color theme="1"/>
        <rFont val="等线"/>
        <charset val="134"/>
      </rPr>
      <t xml:space="preserve">jeet </t>
    </r>
  </si>
  <si>
    <t xml:space="preserve">tea time （ 2 time） </t>
  </si>
  <si>
    <t>FAI 68 / barcode ng</t>
  </si>
  <si>
    <t xml:space="preserve">A3 inkjet head clean A side ( unblock nozzle) </t>
  </si>
  <si>
    <t xml:space="preserve">B 5 printing ng  </t>
  </si>
  <si>
    <t xml:space="preserve">B5 pad change/ pad clean </t>
  </si>
  <si>
    <r>
      <rPr>
        <b/>
        <sz val="8"/>
        <color theme="1"/>
        <rFont val="等线"/>
        <charset val="134"/>
      </rPr>
      <t>2</t>
    </r>
    <r>
      <rPr>
        <b/>
        <sz val="8"/>
        <color theme="1"/>
        <rFont val="等线"/>
        <charset val="134"/>
      </rPr>
      <t>0</t>
    </r>
    <r>
      <rPr>
        <b/>
        <sz val="8"/>
        <color theme="1"/>
        <rFont val="等线"/>
        <charset val="134"/>
      </rPr>
      <t>/03/2025</t>
    </r>
  </si>
  <si>
    <t xml:space="preserve">manjeet </t>
  </si>
  <si>
    <t>LQC not available line stop  ( tea time/lunch time）</t>
  </si>
  <si>
    <r>
      <rPr>
        <b/>
        <sz val="8"/>
        <color theme="1"/>
        <rFont val="等线"/>
        <charset val="134"/>
      </rPr>
      <t>A</t>
    </r>
    <r>
      <rPr>
        <b/>
        <sz val="8"/>
        <color theme="1"/>
        <rFont val="等线"/>
        <charset val="134"/>
      </rPr>
      <t xml:space="preserve">6 Print NG </t>
    </r>
  </si>
  <si>
    <r>
      <rPr>
        <b/>
        <sz val="8"/>
        <color theme="1"/>
        <rFont val="等线"/>
        <charset val="134"/>
      </rPr>
      <t>C</t>
    </r>
    <r>
      <rPr>
        <b/>
        <sz val="8"/>
        <color theme="1"/>
        <rFont val="等线"/>
        <charset val="134"/>
      </rPr>
      <t>lean the pad &amp; stencil.</t>
    </r>
  </si>
  <si>
    <t>NO PLAN</t>
  </si>
  <si>
    <r>
      <rPr>
        <b/>
        <sz val="8"/>
        <color theme="1"/>
        <rFont val="Calibri"/>
        <family val="2"/>
      </rPr>
      <t>2</t>
    </r>
    <r>
      <rPr>
        <b/>
        <sz val="8"/>
        <color theme="1"/>
        <rFont val="Calibri"/>
        <family val="2"/>
      </rPr>
      <t>1</t>
    </r>
    <r>
      <rPr>
        <b/>
        <sz val="8"/>
        <color theme="1"/>
        <rFont val="Calibri"/>
        <family val="2"/>
      </rPr>
      <t>/03/2025</t>
    </r>
  </si>
  <si>
    <t xml:space="preserve">no  plan </t>
  </si>
  <si>
    <t xml:space="preserve">( Change over 2821 to 3359) </t>
  </si>
  <si>
    <t>macince ready 3359 .and CP &amp;CPK data currect and allFAI set .</t>
  </si>
  <si>
    <r>
      <rPr>
        <b/>
        <sz val="8"/>
        <color theme="1"/>
        <rFont val="Calibri"/>
        <family val="2"/>
      </rPr>
      <t>2</t>
    </r>
    <r>
      <rPr>
        <b/>
        <sz val="8"/>
        <color theme="1"/>
        <rFont val="Calibri"/>
        <family val="2"/>
      </rPr>
      <t>2</t>
    </r>
    <r>
      <rPr>
        <b/>
        <sz val="8"/>
        <color theme="1"/>
        <rFont val="Calibri"/>
        <family val="2"/>
      </rPr>
      <t>/03/2025</t>
    </r>
  </si>
  <si>
    <t>Manjeet</t>
  </si>
  <si>
    <r>
      <rPr>
        <b/>
        <sz val="8"/>
        <color theme="1"/>
        <rFont val="Calibri"/>
        <family val="2"/>
      </rPr>
      <t>OK</t>
    </r>
    <r>
      <rPr>
        <b/>
        <sz val="8"/>
        <color theme="1"/>
        <rFont val="Calibri"/>
        <family val="2"/>
      </rPr>
      <t xml:space="preserve"> discharge block sensor abnormal</t>
    </r>
  </si>
  <si>
    <r>
      <rPr>
        <b/>
        <sz val="8"/>
        <color theme="1"/>
        <rFont val="Calibri"/>
        <family val="2"/>
      </rPr>
      <t>m</t>
    </r>
    <r>
      <rPr>
        <b/>
        <sz val="8"/>
        <color theme="1"/>
        <rFont val="Calibri"/>
        <family val="2"/>
      </rPr>
      <t xml:space="preserve">anually set sensor range </t>
    </r>
  </si>
  <si>
    <t xml:space="preserve">tea time Due to LQC not available on line </t>
  </si>
  <si>
    <r>
      <rPr>
        <b/>
        <sz val="8"/>
        <color theme="1"/>
        <rFont val="Calibri"/>
        <family val="2"/>
      </rPr>
      <t>C</t>
    </r>
    <r>
      <rPr>
        <b/>
        <sz val="8"/>
        <color theme="1"/>
        <rFont val="Calibri"/>
        <family val="2"/>
      </rPr>
      <t xml:space="preserve">hange over ( 3359 to 2821 ) &amp; chines team working. </t>
    </r>
  </si>
  <si>
    <t>vdn line  3359 unit 2 scanner not working .</t>
  </si>
  <si>
    <r>
      <rPr>
        <b/>
        <sz val="8"/>
        <color theme="1"/>
        <rFont val="Calibri"/>
        <family val="2"/>
      </rPr>
      <t>m</t>
    </r>
    <r>
      <rPr>
        <b/>
        <sz val="8"/>
        <color theme="1"/>
        <rFont val="Calibri"/>
        <family val="2"/>
      </rPr>
      <t xml:space="preserve">anually trigger scanner by shoftware and power supply reconnect </t>
    </r>
  </si>
  <si>
    <t xml:space="preserve">vdn line 3359 unloding rbt pcm put worng place </t>
  </si>
  <si>
    <r>
      <rPr>
        <b/>
        <sz val="8"/>
        <color theme="1"/>
        <rFont val="Calibri"/>
        <family val="2"/>
      </rPr>
      <t>s</t>
    </r>
    <r>
      <rPr>
        <b/>
        <sz val="8"/>
        <color theme="1"/>
        <rFont val="Calibri"/>
        <family val="2"/>
      </rPr>
      <t xml:space="preserve">et tray position </t>
    </r>
  </si>
  <si>
    <t xml:space="preserve">Barcode software automatic delite 3 times </t>
  </si>
  <si>
    <t>restart the pc and software open.</t>
  </si>
  <si>
    <t xml:space="preserve">Barcode print NG </t>
  </si>
  <si>
    <t>inkjet head clean and unblocking nozzle.</t>
  </si>
  <si>
    <t>24-03-2025</t>
  </si>
  <si>
    <t>Aniruddha</t>
  </si>
  <si>
    <t>FAI62 fail issue till shift 5 nos</t>
  </si>
  <si>
    <t>m/c Running Under observation</t>
  </si>
  <si>
    <t>A6 pad printing servo in error not going to any position</t>
  </si>
  <si>
    <t>Initialise the machine then ok</t>
  </si>
  <si>
    <t>A7 inkjet detection ccd1 continiuse ng error is coming，
8 part barcode printed。</t>
  </si>
  <si>
    <t>Alarm clear on printer then ok</t>
  </si>
  <si>
    <r>
      <rPr>
        <b/>
        <sz val="8"/>
        <color theme="1"/>
        <rFont val="等线"/>
        <charset val="134"/>
      </rPr>
      <t>casmetic side A5 print ng issue， its happen 5</t>
    </r>
    <r>
      <rPr>
        <b/>
        <sz val="8"/>
        <color theme="1"/>
        <rFont val="等线"/>
        <charset val="134"/>
      </rPr>
      <t xml:space="preserve"> </t>
    </r>
    <r>
      <rPr>
        <b/>
        <sz val="8"/>
        <color theme="1"/>
        <rFont val="等线"/>
        <charset val="134"/>
      </rPr>
      <t>time</t>
    </r>
  </si>
  <si>
    <t>cleaned pad after that ok</t>
  </si>
  <si>
    <t xml:space="preserve">tea &amp; dinner （ LQC not available ） </t>
  </si>
  <si>
    <t xml:space="preserve">KB &amp; jony working </t>
  </si>
  <si>
    <t>3359 cosmetic printing manually ( 16 part )</t>
  </si>
  <si>
    <r>
      <rPr>
        <b/>
        <sz val="8"/>
        <color theme="1"/>
        <rFont val="等线"/>
        <charset val="134"/>
      </rPr>
      <t>p</t>
    </r>
    <r>
      <rPr>
        <b/>
        <sz val="8"/>
        <color theme="1"/>
        <rFont val="等线"/>
        <charset val="134"/>
      </rPr>
      <t xml:space="preserve">rintig NG both side </t>
    </r>
  </si>
  <si>
    <r>
      <rPr>
        <b/>
        <sz val="8"/>
        <color theme="1"/>
        <rFont val="等线"/>
        <charset val="134"/>
      </rPr>
      <t>p</t>
    </r>
    <r>
      <rPr>
        <b/>
        <sz val="8"/>
        <color theme="1"/>
        <rFont val="等线"/>
        <charset val="134"/>
      </rPr>
      <t xml:space="preserve">ad &amp; stainsil plate clean </t>
    </r>
  </si>
  <si>
    <r>
      <rPr>
        <b/>
        <sz val="8"/>
        <color theme="1"/>
        <rFont val="等线"/>
        <charset val="134"/>
      </rPr>
      <t>F</t>
    </r>
    <r>
      <rPr>
        <b/>
        <sz val="8"/>
        <color theme="1"/>
        <rFont val="等线"/>
        <charset val="134"/>
      </rPr>
      <t xml:space="preserve">AI 62 NG </t>
    </r>
  </si>
  <si>
    <r>
      <rPr>
        <b/>
        <sz val="8"/>
        <color theme="1"/>
        <rFont val="等线"/>
        <charset val="134"/>
      </rPr>
      <t>o</t>
    </r>
    <r>
      <rPr>
        <b/>
        <sz val="8"/>
        <color theme="1"/>
        <rFont val="等线"/>
        <charset val="134"/>
      </rPr>
      <t xml:space="preserve">ffset value change </t>
    </r>
  </si>
  <si>
    <r>
      <rPr>
        <b/>
        <sz val="8"/>
        <color theme="1"/>
        <rFont val="Calibri"/>
        <family val="2"/>
      </rPr>
      <t>M</t>
    </r>
    <r>
      <rPr>
        <b/>
        <sz val="8"/>
        <color theme="1"/>
        <rFont val="Calibri"/>
        <family val="2"/>
      </rPr>
      <t>anoj</t>
    </r>
  </si>
  <si>
    <r>
      <rPr>
        <b/>
        <sz val="8"/>
        <color theme="1"/>
        <rFont val="Calibri"/>
        <family val="2"/>
      </rPr>
      <t>Mover</t>
    </r>
    <r>
      <rPr>
        <b/>
        <sz val="8"/>
        <color theme="1"/>
        <rFont val="Calibri"/>
        <family val="2"/>
      </rPr>
      <t xml:space="preserve"> no. 53 bypass </t>
    </r>
  </si>
  <si>
    <t>change the 24v power supply anitina.</t>
  </si>
  <si>
    <r>
      <rPr>
        <b/>
        <sz val="8"/>
        <color theme="1"/>
        <rFont val="Calibri"/>
        <family val="2"/>
      </rPr>
      <t>A</t>
    </r>
    <r>
      <rPr>
        <b/>
        <sz val="8"/>
        <color theme="1"/>
        <rFont val="Calibri"/>
        <family val="2"/>
      </rPr>
      <t xml:space="preserve">3 ryt side barcode not print </t>
    </r>
  </si>
  <si>
    <r>
      <rPr>
        <b/>
        <sz val="8"/>
        <color theme="1"/>
        <rFont val="Calibri"/>
        <family val="2"/>
      </rPr>
      <t>r</t>
    </r>
    <r>
      <rPr>
        <b/>
        <sz val="8"/>
        <color theme="1"/>
        <rFont val="Calibri"/>
        <family val="2"/>
      </rPr>
      <t xml:space="preserve">estart the software </t>
    </r>
  </si>
  <si>
    <t>All Station scanning not being done, due to MES pc hang issue</t>
  </si>
  <si>
    <r>
      <rPr>
        <b/>
        <sz val="8"/>
        <color theme="1"/>
        <rFont val="Calibri"/>
        <family val="2"/>
      </rPr>
      <t>R</t>
    </r>
    <r>
      <rPr>
        <b/>
        <sz val="8"/>
        <color theme="1"/>
        <rFont val="Calibri"/>
        <family val="2"/>
      </rPr>
      <t>estart the MES pc then ok</t>
    </r>
  </si>
  <si>
    <r>
      <rPr>
        <b/>
        <sz val="8"/>
        <color theme="1"/>
        <rFont val="Calibri"/>
        <family val="2"/>
      </rPr>
      <t>Fai63</t>
    </r>
    <r>
      <rPr>
        <b/>
        <sz val="8"/>
        <color theme="1"/>
        <rFont val="Calibri"/>
        <family val="2"/>
      </rPr>
      <t xml:space="preserve"> fail issue </t>
    </r>
  </si>
  <si>
    <t>cleaned Printing pad after that ok</t>
  </si>
  <si>
    <t>-------------------------------------------------</t>
  </si>
  <si>
    <t>casmetic side B4 and A5 plate change and 
their alignment done.</t>
  </si>
  <si>
    <t>App_1 Changeover done X2821 To X3359 8 part running for OMM, still KB work on it, to programm related.</t>
  </si>
  <si>
    <t xml:space="preserve">vdn 2821 pm </t>
  </si>
  <si>
    <t xml:space="preserve">vdn line 01 PM done </t>
  </si>
  <si>
    <t xml:space="preserve">feeding tray vacuume not on </t>
  </si>
  <si>
    <t xml:space="preserve">empety tray lift full position change </t>
  </si>
  <si>
    <t xml:space="preserve">NG robot part place wrong </t>
  </si>
  <si>
    <t xml:space="preserve">NG robot 504,503 position teach </t>
  </si>
  <si>
    <t>1 This level mapping has full pls i/p next level.                     2 Barcode has middle binding recorde （reworkpart running ）</t>
  </si>
  <si>
    <t xml:space="preserve">MES deta not upload </t>
  </si>
  <si>
    <t xml:space="preserve">1.This level mapping has full pls i/p next level. 2.Barcode has middle binding recorde       </t>
  </si>
  <si>
    <t>MES deta not upload  （re-workpart running ）</t>
  </si>
  <si>
    <t xml:space="preserve">A3 scan code left  NG  </t>
  </si>
  <si>
    <t xml:space="preserve">24 v triggring relay change </t>
  </si>
  <si>
    <t xml:space="preserve">FAI 66 NG </t>
  </si>
  <si>
    <t>Set the alignment of feed turn table roll cylinder</t>
  </si>
  <si>
    <t xml:space="preserve">ok discharge robot part placing wrong </t>
  </si>
  <si>
    <t>teach ok discharge robot and set the alignment of ok battery discharge block .</t>
  </si>
  <si>
    <t>feed tray stuck to the empety tray lift .</t>
  </si>
  <si>
    <t xml:space="preserve">change the position of  full empety tray servo </t>
  </si>
  <si>
    <t xml:space="preserve">APP line-1 </t>
  </si>
  <si>
    <t xml:space="preserve">printer no- CN20101263 </t>
  </si>
  <si>
    <t xml:space="preserve">printer no- CN21150373 </t>
  </si>
  <si>
    <t>Dent</t>
  </si>
  <si>
    <t>scratch</t>
  </si>
  <si>
    <t>Drop (Why)</t>
  </si>
  <si>
    <t>Area</t>
  </si>
  <si>
    <t>Dep.</t>
  </si>
  <si>
    <t>Time Taken
（min）</t>
  </si>
  <si>
    <t>4-1 discharge turntable  Vacuume  not ON</t>
  </si>
  <si>
    <t>set vacuume pressure by controller</t>
  </si>
  <si>
    <r>
      <rPr>
        <sz val="9"/>
        <color theme="1"/>
        <rFont val="等线"/>
        <charset val="134"/>
      </rPr>
      <t xml:space="preserve">NG robot tray vacuume not on </t>
    </r>
  </si>
  <si>
    <r>
      <rPr>
        <sz val="9"/>
        <color theme="1"/>
        <rFont val="等线"/>
        <charset val="134"/>
      </rPr>
      <t xml:space="preserve">tray alignment set </t>
    </r>
  </si>
  <si>
    <r>
      <rPr>
        <sz val="9"/>
        <color theme="1"/>
        <rFont val="等线"/>
        <charset val="134"/>
      </rPr>
      <t>tea time</t>
    </r>
  </si>
  <si>
    <t>MES not work （barcode not print ）</t>
  </si>
  <si>
    <t xml:space="preserve"> shift update in moon line</t>
  </si>
  <si>
    <t>OK discharge battery exicete limit sensor abnormal</t>
  </si>
  <si>
    <t>manually operate and run</t>
  </si>
  <si>
    <t xml:space="preserve">machine emprty 2 time （ Deu to material short ） </t>
  </si>
  <si>
    <t xml:space="preserve">feeding robot 4 vacuume not on </t>
  </si>
  <si>
    <t xml:space="preserve">spange tape mount </t>
  </si>
  <si>
    <t xml:space="preserve">A5 pad broken （ servo not run） </t>
  </si>
  <si>
    <t>drive power off/on and manually operate servo at home position。</t>
  </si>
  <si>
    <t xml:space="preserve"> feed tray vacuume not on</t>
  </si>
  <si>
    <t xml:space="preserve">manually operate and run </t>
  </si>
  <si>
    <t>OK tray limit out of reach 3 time</t>
  </si>
  <si>
    <t>Ok discharge robot &amp; OK battery memory clear and run</t>
  </si>
  <si>
    <t xml:space="preserve">3554 pade printing </t>
  </si>
  <si>
    <r>
      <rPr>
        <sz val="9"/>
        <color theme="1"/>
        <rFont val="Calibri"/>
        <family val="2"/>
      </rPr>
      <t>pressure paper 50 %</t>
    </r>
    <r>
      <rPr>
        <sz val="9"/>
        <color theme="1"/>
        <rFont val="Calibri"/>
        <family val="2"/>
      </rPr>
      <t xml:space="preserve"> complete </t>
    </r>
  </si>
  <si>
    <t xml:space="preserve">tea time &amp; dinner </t>
  </si>
  <si>
    <r>
      <rPr>
        <sz val="9"/>
        <color theme="1"/>
        <rFont val="Calibri"/>
        <family val="2"/>
      </rPr>
      <t>machine</t>
    </r>
    <r>
      <rPr>
        <sz val="9"/>
        <color theme="1"/>
        <rFont val="Calibri"/>
        <family val="2"/>
      </rPr>
      <t xml:space="preserve"> clear 2 time</t>
    </r>
  </si>
  <si>
    <r>
      <rPr>
        <sz val="9"/>
        <color theme="1"/>
        <rFont val="Calibri"/>
        <family val="2"/>
      </rPr>
      <t>due</t>
    </r>
    <r>
      <rPr>
        <sz val="9"/>
        <color theme="1"/>
        <rFont val="Calibri"/>
        <family val="2"/>
      </rPr>
      <t xml:space="preserve"> to one operator </t>
    </r>
  </si>
  <si>
    <r>
      <rPr>
        <sz val="9"/>
        <color theme="1"/>
        <rFont val="Calibri"/>
        <family val="2"/>
      </rPr>
      <t>work</t>
    </r>
    <r>
      <rPr>
        <sz val="9"/>
        <color theme="1"/>
        <rFont val="Calibri"/>
        <family val="2"/>
      </rPr>
      <t xml:space="preserve"> on 3554 machine with sunil </t>
    </r>
  </si>
  <si>
    <r>
      <rPr>
        <sz val="9"/>
        <color theme="1"/>
        <rFont val="Calibri"/>
        <family val="2"/>
      </rPr>
      <t>pressure paper 3554 80 %</t>
    </r>
    <r>
      <rPr>
        <sz val="9"/>
        <color theme="1"/>
        <rFont val="Calibri"/>
        <family val="2"/>
      </rPr>
      <t xml:space="preserve"> done</t>
    </r>
  </si>
  <si>
    <t xml:space="preserve"> NG discharge robot tray vacuume not </t>
  </si>
  <si>
    <t xml:space="preserve">tray alignment set </t>
  </si>
  <si>
    <t xml:space="preserve">3554 pad printing cosmetic side FAI 60,61 ng  </t>
  </si>
  <si>
    <t xml:space="preserve">stencle pate change and set servo position </t>
  </si>
  <si>
    <t xml:space="preserve">feed platform vacuume 3 not on </t>
  </si>
  <si>
    <t xml:space="preserve">set vacuume pressure by controller </t>
  </si>
  <si>
    <t xml:space="preserve">feed turntable 1-1,1-2 , vacuume not on </t>
  </si>
  <si>
    <t xml:space="preserve">ok block dischsrgre sensor abnormal </t>
  </si>
  <si>
    <t>feed turntable vacuume not on</t>
  </si>
  <si>
    <t>feed platform vacuume not on</t>
  </si>
  <si>
    <t>A1 vacuume not on</t>
  </si>
  <si>
    <t xml:space="preserve">B1flip vacuume not on </t>
  </si>
  <si>
    <t xml:space="preserve">Air pressure low </t>
  </si>
  <si>
    <t>Air pressure cut from utility</t>
  </si>
  <si>
    <t>Feed robot vacuum-1 alarm is not on.</t>
  </si>
  <si>
    <t>Found robot suction pad 1 come out from mounting so part fall dwon and get damage , Suction pad locking is not proper work, so pad fix with LP</t>
  </si>
  <si>
    <t>Feed Turntable pad no. 1_2 position straightness cylinder reed switch alarm</t>
  </si>
  <si>
    <t>part stuck with cylinder straightening block, vacuum is not made on feeding time but sensor is high, so turntable move and part stuck, now pressure sensor setting done and previous inserted tape remove on pad, replace it with cellotape then ok</t>
  </si>
  <si>
    <t>B4 &amp; B5 glue tape is over</t>
  </si>
  <si>
    <t>change glue roll by operator</t>
  </si>
  <si>
    <t>CCD time out error show in HMI, PC hange issue</t>
  </si>
  <si>
    <t>feeding platform tray tild issue so vacuum is not made up during cell picking.</t>
  </si>
  <si>
    <t>Feeding tray alignment done</t>
  </si>
  <si>
    <t>Feed turntable pad 4.1,4.2 vacuum issue</t>
  </si>
  <si>
    <t>Cleaned pad and change pre inserted tape with cellotape then resolved</t>
  </si>
  <si>
    <t>FAI77 issue is coming at higher side</t>
  </si>
  <si>
    <t>For FAI77 we have servo initial&amp; trigger position set in A3 inkjet 1Y servo befor- 287.29 after 288.29 then resolved</t>
  </si>
  <si>
    <t>FAI 66 issue at higher side</t>
  </si>
  <si>
    <t>set the servo initial and trigger position before-4.40, after- 4.80 then ok</t>
  </si>
  <si>
    <t>Feed Turntable vacuum alarms 3.1 &amp; 3.2 pad</t>
  </si>
  <si>
    <t>vacuume pad clean and set from flow control valve</t>
  </si>
  <si>
    <t>FAI 68 issue at higher side</t>
  </si>
  <si>
    <t>Barcode printer head  A side mechnical adjusment .</t>
  </si>
  <si>
    <t>One part  issue</t>
  </si>
  <si>
    <t>Bubble coming on material so bubble burst during printing so part get lealage</t>
  </si>
  <si>
    <t>Casmetic side B4 print NG issue</t>
  </si>
  <si>
    <t>clean pad and running machine(4-time) but printing not being done, change the silicon pad then ok</t>
  </si>
  <si>
    <t>Feed turntable vacuume not on</t>
  </si>
  <si>
    <t>set vacuume by flow regulator</t>
  </si>
  <si>
    <t xml:space="preserve">tea time &amp; dinner time </t>
  </si>
  <si>
    <t xml:space="preserve">A 6 tape empety </t>
  </si>
  <si>
    <t xml:space="preserve">tape roll change </t>
  </si>
  <si>
    <t xml:space="preserve"> X-3554 Line FAI 61,63 NG </t>
  </si>
  <si>
    <t>change the value of correction servo &amp; B5pad printing mobile  servo</t>
  </si>
  <si>
    <t>casmetic side B4 print NG issue</t>
  </si>
  <si>
    <t>Four time cleaned pad and thinner insert in ink but problem not solve then Change the silicon pad</t>
  </si>
  <si>
    <t>Non casmetic A6 side printing ng issue</t>
  </si>
  <si>
    <t>cleaning glue tape breake on cleaning position，reinsert the same</t>
  </si>
  <si>
    <t>FAI68，62，issue</t>
  </si>
  <si>
    <t>Feeding Turntable station-2 part position cylinder found bypass from B shift, still running under observation.</t>
  </si>
  <si>
    <t>Some part printing not being done of all printing station(21 Nos)</t>
  </si>
  <si>
    <t>why not running Need to discuss with KB</t>
  </si>
  <si>
    <t>Non casmetic A5 side printing ng issue</t>
  </si>
  <si>
    <t>Cleane the silicon printing pad and steel plate</t>
  </si>
  <si>
    <t>A3 inkjet left side printer shows alarm</t>
  </si>
  <si>
    <t>Printer head cleaned.</t>
  </si>
  <si>
    <t>NA</t>
  </si>
  <si>
    <t>work on X 3554 pad printing machine</t>
  </si>
  <si>
    <t xml:space="preserve">VDN line1 connector deformation A side </t>
  </si>
  <si>
    <t>Change robot A1 jog value （ 310.300to 310.260）</t>
  </si>
  <si>
    <t>FAI72 issue come at higher side</t>
  </si>
  <si>
    <t>Adjust Offset of CCD （Befor-6.680 After 6.660）</t>
  </si>
  <si>
    <t>Non casmetic B4 side printing issue on logo</t>
  </si>
  <si>
    <t xml:space="preserve">clean pad and  Steel plate </t>
  </si>
  <si>
    <t xml:space="preserve">A side PC hange </t>
  </si>
  <si>
    <t>Restart the PC then ok</t>
  </si>
  <si>
    <t>Air Leakage from B1 Flip  move clamp-1 pnematic pipe</t>
  </si>
  <si>
    <t>Pnematic pipe connector changed</t>
  </si>
  <si>
    <r>
      <rPr>
        <b/>
        <sz val="9"/>
        <color theme="1"/>
        <rFont val="Calibri"/>
        <family val="2"/>
      </rPr>
      <t xml:space="preserve">Before Infeed the Machine 4 Part fall down by operator due to mishandling in wich 2 part get dent and 2 scratch. Operator Name ： </t>
    </r>
    <r>
      <rPr>
        <b/>
        <sz val="9"/>
        <color rgb="FFC00000"/>
        <rFont val="Calibri"/>
        <family val="2"/>
      </rPr>
      <t>Mahesh</t>
    </r>
  </si>
  <si>
    <t>B2 Flip clamp 1 sensor alarm come again &amp; again.</t>
  </si>
  <si>
    <t>Set the reed s/w then ok</t>
  </si>
  <si>
    <t xml:space="preserve">A5, A6, &amp; B4 Printing NG </t>
  </si>
  <si>
    <t>A5 pad change and B4 &amp; A6 Pad rub then clean all stensil.</t>
  </si>
  <si>
    <t>FQ1HG60012P0000NPL+A+443</t>
  </si>
  <si>
    <t>X3554 Pressure Paper &amp; Tekscan done.</t>
  </si>
  <si>
    <t>But A5 pressure paper impression is not correct, need to take again.</t>
  </si>
  <si>
    <t>FQ1HG60041L0000NPL+A+444</t>
  </si>
  <si>
    <t>All station Lux level check &amp; update.</t>
  </si>
  <si>
    <t>one part found dent .</t>
  </si>
  <si>
    <r>
      <rPr>
        <sz val="9"/>
        <color theme="1"/>
        <rFont val="Calibri"/>
        <family val="2"/>
      </rPr>
      <t>by mfg person</t>
    </r>
    <r>
      <rPr>
        <sz val="9"/>
        <color rgb="FFFF0000"/>
        <rFont val="Calibri"/>
        <family val="2"/>
      </rPr>
      <t xml:space="preserve"> mayank</t>
    </r>
  </si>
  <si>
    <t>set part position</t>
  </si>
  <si>
    <t xml:space="preserve">x3554 A5 Pressure Paper done </t>
  </si>
  <si>
    <t xml:space="preserve">ok Discharge Robot bettery not put tray </t>
  </si>
  <si>
    <t>Taching Robot now ok.</t>
  </si>
  <si>
    <t>currected than run.</t>
  </si>
  <si>
    <t>Printing NG B4</t>
  </si>
  <si>
    <t>Change the pad &amp; add some additive in B4 ink.</t>
  </si>
  <si>
    <r>
      <rPr>
        <sz val="9"/>
        <color theme="1"/>
        <rFont val="等线"/>
        <charset val="134"/>
      </rPr>
      <t>3 part dent and  by mfg person (</t>
    </r>
    <r>
      <rPr>
        <sz val="9"/>
        <color rgb="FFFF0000"/>
        <rFont val="等线"/>
        <charset val="134"/>
      </rPr>
      <t xml:space="preserve"> new manpower</t>
    </r>
    <r>
      <rPr>
        <sz val="9"/>
        <color theme="1"/>
        <rFont val="等线"/>
        <charset val="134"/>
      </rPr>
      <t>)</t>
    </r>
    <r>
      <rPr>
        <sz val="9"/>
        <color theme="1"/>
        <rFont val="等线"/>
        <charset val="134"/>
      </rPr>
      <t xml:space="preserve"> found LQC .</t>
    </r>
  </si>
  <si>
    <t>barcode not print CCD time out</t>
  </si>
  <si>
    <t xml:space="preserve">both software restart </t>
  </si>
  <si>
    <t xml:space="preserve">work on X 3554 pad printing machine </t>
  </si>
  <si>
    <t>i/p 259   o/p - 237 NG 22</t>
  </si>
  <si>
    <t>Barcode grade fail (A Side)</t>
  </si>
  <si>
    <t xml:space="preserve">unblocking nozzle </t>
  </si>
  <si>
    <t>No Plan</t>
  </si>
  <si>
    <t xml:space="preserve">akash /manjeet </t>
  </si>
  <si>
    <t xml:space="preserve"> Mini build  run on line of X- 3559  modal </t>
  </si>
  <si>
    <t xml:space="preserve">  Barcode and non cosmetic  side FAI NG </t>
  </si>
  <si>
    <t xml:space="preserve">set the servo position and  given  the offset  in CCD </t>
  </si>
  <si>
    <t>Changeover  from  x3559 to x2821</t>
  </si>
  <si>
    <t>Barcode grade fail bothside</t>
  </si>
  <si>
    <t xml:space="preserve">change printing poisition </t>
  </si>
  <si>
    <t>FAI66 issue at higher side</t>
  </si>
  <si>
    <t>Adjusted A3 Inkjet 1X servo position in initial&amp;trigger postion before 4.7 After 4.9mm</t>
  </si>
  <si>
    <t>FAI68 Both side issue at higher side</t>
  </si>
  <si>
    <t>offset adjusted in CCD then ok</t>
  </si>
  <si>
    <t>Printer 1 ink not detected gutter Error,Printer automatic stoped</t>
  </si>
  <si>
    <t>Cleaned Inkjet printer head then ok</t>
  </si>
  <si>
    <t>Barcode barcode printing not being started</t>
  </si>
  <si>
    <t>Remove all loaded part and fress part run then ok</t>
  </si>
  <si>
    <t>Vdn line 1  unloading robot B pcm  put at wrong place   .</t>
  </si>
  <si>
    <t>set the position of uld B .</t>
  </si>
  <si>
    <t>APP line x- 2821  barcode not print .</t>
  </si>
  <si>
    <t>barcode not print due to work order qty  complete , then clear the machine and change the work order number after that run the line . ( this break down due to production).</t>
  </si>
  <si>
    <t>Feed turntable  1-1,1-2 vacuume not on</t>
  </si>
  <si>
    <t xml:space="preserve">set the part position and run </t>
  </si>
  <si>
    <t xml:space="preserve">B side printer grade NG </t>
  </si>
  <si>
    <r>
      <rPr>
        <b/>
        <sz val="9"/>
        <color theme="1"/>
        <rFont val="Calibri"/>
        <family val="2"/>
      </rPr>
      <t>H</t>
    </r>
    <r>
      <rPr>
        <b/>
        <sz val="9"/>
        <color theme="1"/>
        <rFont val="Calibri"/>
        <family val="2"/>
      </rPr>
      <t>ead clean than run.</t>
    </r>
  </si>
  <si>
    <t>Dischare turn table not a home position.</t>
  </si>
  <si>
    <t xml:space="preserve">tea time &amp; lunch time </t>
  </si>
  <si>
    <t xml:space="preserve">X-3554 B 1  flip vacuume issue </t>
  </si>
  <si>
    <t>set cylinder stoper</t>
  </si>
  <si>
    <t xml:space="preserve">X-3554 B7 Discharge vacuume issue </t>
  </si>
  <si>
    <t xml:space="preserve">alighment set and purging set </t>
  </si>
  <si>
    <t>X-3554 discharge turntable vacuume issue</t>
  </si>
  <si>
    <t>purging level set</t>
  </si>
  <si>
    <t>Fresh Part dent issue &amp; MFG person not available.</t>
  </si>
  <si>
    <t>FAI 68 NG issue on A side</t>
  </si>
  <si>
    <t>Dimension in OMM find correct so compensation done in A side.</t>
  </si>
  <si>
    <t>FAI 60 Lower side due to this Print NG</t>
  </si>
  <si>
    <t>Decrease the value(0.3) in A5 mobile servo(pad reference position).</t>
  </si>
  <si>
    <t>B4 Logo NG issue.</t>
  </si>
  <si>
    <t>Clean the stencil &amp; rub the pad.</t>
  </si>
  <si>
    <t xml:space="preserve">VDN L1 - Unmatting TransArm UpDown 1 reed switch signal not come. </t>
  </si>
  <si>
    <t>Set the position of reed s/w and initial the TransArm.</t>
  </si>
  <si>
    <t>VDN L1 - Arm Trans1 pick carrier with jerk.</t>
  </si>
  <si>
    <t>Correct the alignment of Arm Trans1</t>
  </si>
  <si>
    <t>Lunch time &amp; Tea time.</t>
  </si>
  <si>
    <t xml:space="preserve">MES PC not working </t>
  </si>
  <si>
    <t>3 part dent found at LQC stage . Dent in incomming  part</t>
  </si>
  <si>
    <t>APP</t>
  </si>
  <si>
    <t>Correction NG part issue- Angle issue.</t>
  </si>
  <si>
    <t>Decrese the value (0.06 mm) in both A1 Stepper rotating motors.</t>
  </si>
  <si>
    <t>X3554 Machine readiness done &amp; 108 Part print for pack line trial.</t>
  </si>
  <si>
    <t>VDN</t>
  </si>
  <si>
    <t>Matting LdArm B Grasp not work.</t>
  </si>
  <si>
    <t>PU pipe open due to FCV faulty so change the FCV.</t>
  </si>
  <si>
    <t>Unmatting machine stop during running</t>
  </si>
  <si>
    <t>Initilize the whole Unmatting machine.</t>
  </si>
  <si>
    <t xml:space="preserve">vdn line-1 in  unloading unit arm trance 1 carrier clamping position wrong  </t>
  </si>
  <si>
    <t xml:space="preserve">Arm trance 1 clamp mounting modify  and  run the machine </t>
  </si>
  <si>
    <t xml:space="preserve">Vdn line 1  split arm servo off </t>
  </si>
  <si>
    <t xml:space="preserve">servo power supply off/on then run </t>
  </si>
  <si>
    <t>Restart the pc then ok</t>
  </si>
  <si>
    <r>
      <rPr>
        <b/>
        <sz val="9"/>
        <color theme="1"/>
        <rFont val="Calibri"/>
        <family val="2"/>
      </rPr>
      <t>A</t>
    </r>
    <r>
      <rPr>
        <b/>
        <sz val="9"/>
        <color theme="1"/>
        <rFont val="Calibri"/>
        <family val="2"/>
      </rPr>
      <t>PP</t>
    </r>
  </si>
  <si>
    <r>
      <rPr>
        <b/>
        <sz val="9"/>
        <color theme="1"/>
        <rFont val="Calibri"/>
        <family val="2"/>
      </rPr>
      <t>No P</t>
    </r>
    <r>
      <rPr>
        <b/>
        <sz val="9"/>
        <color theme="1"/>
        <rFont val="Calibri"/>
        <family val="2"/>
      </rPr>
      <t>lan</t>
    </r>
  </si>
  <si>
    <t>Testing-03 Belt loading clamping  not work.</t>
  </si>
  <si>
    <t>Reed s/w signal not coming due to carrier position not correct so correct the position.</t>
  </si>
  <si>
    <r>
      <rPr>
        <b/>
        <sz val="9"/>
        <color theme="1"/>
        <rFont val="Calibri"/>
        <family val="2"/>
      </rPr>
      <t>A</t>
    </r>
    <r>
      <rPr>
        <b/>
        <sz val="9"/>
        <color theme="1"/>
        <rFont val="Calibri"/>
        <family val="2"/>
      </rPr>
      <t>rm Split Servo alarm (20.5)</t>
    </r>
  </si>
  <si>
    <r>
      <rPr>
        <b/>
        <sz val="9"/>
        <color theme="1"/>
        <rFont val="Calibri"/>
        <family val="2"/>
      </rPr>
      <t>S</t>
    </r>
    <r>
      <rPr>
        <b/>
        <sz val="9"/>
        <color theme="1"/>
        <rFont val="Calibri"/>
        <family val="2"/>
      </rPr>
      <t>ervo power restart &amp; initial the machine- 3 times</t>
    </r>
  </si>
  <si>
    <r>
      <rPr>
        <b/>
        <sz val="9"/>
        <color theme="1"/>
        <rFont val="Calibri"/>
        <family val="2"/>
      </rPr>
      <t>Change</t>
    </r>
    <r>
      <rPr>
        <b/>
        <sz val="8"/>
        <color theme="1"/>
        <rFont val="Calibri"/>
        <family val="2"/>
      </rPr>
      <t xml:space="preserve"> </t>
    </r>
    <r>
      <rPr>
        <b/>
        <sz val="8"/>
        <color theme="1"/>
        <rFont val="Calibri"/>
        <family val="2"/>
      </rPr>
      <t>the</t>
    </r>
    <r>
      <rPr>
        <b/>
        <sz val="8"/>
        <color theme="1"/>
        <rFont val="Calibri"/>
        <family val="2"/>
      </rPr>
      <t xml:space="preserve"> </t>
    </r>
    <r>
      <rPr>
        <b/>
        <sz val="8"/>
        <color theme="1"/>
        <rFont val="Calibri"/>
        <family val="2"/>
      </rPr>
      <t>servo</t>
    </r>
    <r>
      <rPr>
        <b/>
        <sz val="8"/>
        <color theme="1"/>
        <rFont val="Calibri"/>
        <family val="2"/>
      </rPr>
      <t xml:space="preserve"> drive with new one &amp; initialize the machine.</t>
    </r>
  </si>
  <si>
    <t xml:space="preserve">Dinner &amp; tea time </t>
  </si>
  <si>
    <t>MFG</t>
  </si>
  <si>
    <t xml:space="preserve">feed tray move vacuume not on </t>
  </si>
  <si>
    <t xml:space="preserve">clear memoey and run </t>
  </si>
  <si>
    <t>2 Part LQC Dent</t>
  </si>
  <si>
    <t>I ckecked, no any feasible codition found at machine side, there is material issue</t>
  </si>
  <si>
    <t>02-05-2025</t>
  </si>
  <si>
    <t>02-04-2025</t>
  </si>
  <si>
    <t xml:space="preserve">FAI 71 ng Issue </t>
  </si>
  <si>
    <t>B4 Pad printing mobile servo inking position Adjusted ( Before- 173.40 mm After- 173.20mm</t>
  </si>
  <si>
    <t>FAI69 NG issue</t>
  </si>
  <si>
    <t>Feed turntable shift servo rotation avoidance adjust ( Before - 593.75 After-592.75</t>
  </si>
  <si>
    <t xml:space="preserve">X-3354 machine CAN 1, CAM 2 not initilize </t>
  </si>
  <si>
    <t>Check all sensor ,contactor and relay , found one wire miss(0v ) in sefety contactor relay then connect the wire and run the machine .</t>
  </si>
  <si>
    <t>X-3354 machine A 5 stage CCD not work .</t>
  </si>
  <si>
    <t xml:space="preserve">Check connector of CCD communication  found loose the retight the connector then ok </t>
  </si>
  <si>
    <t>X-2821 machine Barcode proper not print ,</t>
  </si>
  <si>
    <t xml:space="preserve">check the head condition and clean the head ,restart the CCD software the ok </t>
  </si>
  <si>
    <t xml:space="preserve">x 2821 machine FAI 68 NG . </t>
  </si>
  <si>
    <t xml:space="preserve"> head clean and set head alignment done </t>
  </si>
  <si>
    <t xml:space="preserve">Emergency alarm mock dril </t>
  </si>
  <si>
    <t xml:space="preserve">Dinner and tea time </t>
  </si>
  <si>
    <t xml:space="preserve">Machince stop without any alarn </t>
  </si>
  <si>
    <t xml:space="preserve">So  check and B7 &amp; discharge turn table momery clean </t>
  </si>
  <si>
    <t>2 Time tea&amp; Emergency alarm mock dril check</t>
  </si>
  <si>
    <t>03-04-2025</t>
  </si>
  <si>
    <t xml:space="preserve">APP line 1 changeover from 2821 to 3359 </t>
  </si>
  <si>
    <t xml:space="preserve">                                 </t>
  </si>
  <si>
    <t xml:space="preserve">offline prat print and set FAI value </t>
  </si>
  <si>
    <t xml:space="preserve">X-3354 APP line offline part run </t>
  </si>
  <si>
    <t xml:space="preserve">X-3354 app line part ruin online and hand over to sandeep sir for  FPA </t>
  </si>
  <si>
    <t>337+395</t>
  </si>
  <si>
    <t>Today mini build plan x3359</t>
  </si>
  <si>
    <t>--------------------------------------------------------</t>
  </si>
  <si>
    <t>change over done from x3359 to x2821</t>
  </si>
  <si>
    <t>After the changeover 8 part get dent During the debuging , 1 part dent from MFG side</t>
  </si>
  <si>
    <t>Feed tray support block mounting alignment done</t>
  </si>
  <si>
    <t>casmetic A side FAI73 ng issue at higher side</t>
  </si>
  <si>
    <t>Correction servo ink reference position befor-13.48, after 14.70, and pad print reference position before-18.17 after -19.30 set then ok</t>
  </si>
  <si>
    <t>MFG part run according their plan</t>
  </si>
  <si>
    <t>FAI 66 A side higher</t>
  </si>
  <si>
    <t>x1 servo position set.</t>
  </si>
  <si>
    <t xml:space="preserve">Upper PC Hang </t>
  </si>
  <si>
    <t xml:space="preserve">Restart the PC </t>
  </si>
  <si>
    <t>Cell not load at MES due cell shelf over in MES</t>
  </si>
  <si>
    <t>05-05-2025</t>
  </si>
  <si>
    <t>Anirudha</t>
  </si>
  <si>
    <t>Cell not load at MES due cell over in MES， line stop since morning to 10:30am</t>
  </si>
  <si>
    <t>Jet not detected in printer one</t>
  </si>
  <si>
    <t>Clean printer head then ok</t>
  </si>
  <si>
    <t>A side CCD ng issue</t>
  </si>
  <si>
    <t>Old one backup restor then ok</t>
  </si>
  <si>
    <t>FAI62,69 ng issue at lower side</t>
  </si>
  <si>
    <t xml:space="preserve">offset given in ccd </t>
  </si>
  <si>
    <t>01:00 AM- 04:00AM Machince stop quality side .</t>
  </si>
  <si>
    <t>due to load not clear .</t>
  </si>
  <si>
    <t>1 part found leakage at IQC Station .</t>
  </si>
  <si>
    <t>during my investigation leakage part in input . I collect all images of that part and keep in server .</t>
  </si>
  <si>
    <t xml:space="preserve">Today run old parts in which </t>
  </si>
  <si>
    <t>Already dent stretch and printed part due to this dent part quanitity increase .</t>
  </si>
  <si>
    <t>NO anypart dent by Machince.</t>
  </si>
  <si>
    <t>06-05-2025</t>
  </si>
  <si>
    <t>Discharge Turntable Vacuum_01 is not on alarm.</t>
  </si>
  <si>
    <t>Clean vacuum suction pad</t>
  </si>
  <si>
    <t>Casmetic side printing NG issue</t>
  </si>
  <si>
    <t>Ink was thick, insert thinner</t>
  </si>
  <si>
    <t>Feeding Robot vacuum-02 alarm</t>
  </si>
  <si>
    <t>Found cell tray empty , remove this tray and memory clear that robot then running ok</t>
  </si>
  <si>
    <t>25 part dent from MFG side their self inspection</t>
  </si>
  <si>
    <t>that all part is old one</t>
  </si>
  <si>
    <t>Akshay+Deepak</t>
  </si>
  <si>
    <t>Non casmetic side print ng issue</t>
  </si>
  <si>
    <t xml:space="preserve">Clean siliconepad </t>
  </si>
  <si>
    <t xml:space="preserve">NO plan run line </t>
  </si>
  <si>
    <t>due to quality man power appsent.</t>
  </si>
  <si>
    <t xml:space="preserve">machince 5S </t>
  </si>
  <si>
    <t>done.</t>
  </si>
  <si>
    <t>07-05-2025</t>
  </si>
  <si>
    <t>Clean the pad And steel plate</t>
  </si>
  <si>
    <t>Old part running so printing mark coming on cell,  and also clean pad</t>
  </si>
  <si>
    <t xml:space="preserve">Scratch-03，03  Pin hole due to old one part running </t>
  </si>
  <si>
    <t>Deepak singh</t>
  </si>
  <si>
    <t>Sensor range setting done.</t>
  </si>
  <si>
    <t xml:space="preserve">Printig NG A side </t>
  </si>
  <si>
    <t>Feeding Robot vacuum-alarm</t>
  </si>
  <si>
    <t>Loding was wrong of cell tray,remove the tray and correct loading</t>
  </si>
  <si>
    <t xml:space="preserve">FAI 77 ng a side </t>
  </si>
  <si>
    <t xml:space="preserve">set servo position </t>
  </si>
  <si>
    <t xml:space="preserve">feed plate form vaccum issue </t>
  </si>
  <si>
    <t>foam tap sticking than ok</t>
  </si>
  <si>
    <t xml:space="preserve">MES abnormal </t>
  </si>
  <si>
    <t>Today No Plan</t>
  </si>
  <si>
    <t>Clean machine panel area and remove from there unwanted items</t>
  </si>
  <si>
    <t>APP x2821 Both PC Restart</t>
  </si>
  <si>
    <t>Backup taken of CCD， Robot， and HMI</t>
  </si>
  <si>
    <t xml:space="preserve">FAI 68 NG A side </t>
  </si>
  <si>
    <t>servo poisiton adjust.</t>
  </si>
  <si>
    <t>Head clean but grade ng so unblocking nozzle .</t>
  </si>
  <si>
    <t>04 par dent has coming from incoming Rajkumar also varify it。</t>
  </si>
  <si>
    <t>09/05/2025</t>
  </si>
  <si>
    <t xml:space="preserve">A &amp; B side grade fail issue </t>
  </si>
  <si>
    <t>Both Printer Ink tank flushing done.</t>
  </si>
  <si>
    <t>One part has pin hole on cosmetic side.</t>
  </si>
  <si>
    <t xml:space="preserve">A5 moveoil servo and lift servo hit each other </t>
  </si>
  <si>
    <t xml:space="preserve">check all servo physical condition and limite sensor found ok ,and check oil servo coupling found key miss .then make new key and mount then run the machine </t>
  </si>
  <si>
    <t>FAI 66,68 A side</t>
  </si>
  <si>
    <t>so check OMM machince ok but CCD value down side so CCD offset adjust .</t>
  </si>
  <si>
    <t xml:space="preserve">barcode not print and printer droping alarm showing </t>
  </si>
  <si>
    <t xml:space="preserve"> head clean than run the  line.</t>
  </si>
  <si>
    <t>06 part ng show production in C shift I checked that part was old one which is run in past day on 06-05-2025</t>
  </si>
  <si>
    <t>10-05-2025</t>
  </si>
  <si>
    <t>Today set up plan for ATL china to ATL india cell running</t>
  </si>
  <si>
    <t>Change the both non cosmetic and casmetic steel plate</t>
  </si>
  <si>
    <t>All mover suction pad cleaned</t>
  </si>
  <si>
    <t>After change plate FAI set process, Go already work on it.</t>
  </si>
  <si>
    <t xml:space="preserve">x2821 line no mass production  plan </t>
  </si>
  <si>
    <t xml:space="preserve">x 3354 line mini buield part run </t>
  </si>
  <si>
    <t xml:space="preserve">barcode not print  </t>
  </si>
  <si>
    <t>due to aditive  not present in the printer ,then replaced  aditive  and run the line .</t>
  </si>
  <si>
    <t xml:space="preserve">printing ng </t>
  </si>
  <si>
    <t xml:space="preserve">pad cleaning and staincile plate clean </t>
  </si>
  <si>
    <t>working on main line.</t>
  </si>
  <si>
    <t>12-05-2025</t>
  </si>
  <si>
    <t xml:space="preserve">change over for 3359 main build </t>
  </si>
  <si>
    <t xml:space="preserve">3359 main bulid Run </t>
  </si>
  <si>
    <t xml:space="preserve">2821 chang over done. </t>
  </si>
  <si>
    <t>after the chang over need a all image  teach.due to priting plate chnge.</t>
  </si>
  <si>
    <t>so cosmatic side image teach and FAI set .</t>
  </si>
  <si>
    <t>non casmetic and barcode image teach pending hanover C shift .</t>
  </si>
  <si>
    <t>This Error show in Printing commond soft,we and mr.akash try to resolve it and also talk to GUO but still A side not working，At This time only B side Running</t>
  </si>
  <si>
    <t>FAI and teaching done on A side</t>
  </si>
  <si>
    <t>FAI74,73 issue</t>
  </si>
  <si>
    <t>CCD offset adjusted</t>
  </si>
  <si>
    <t>Casmetic side printing Continuose NG issue</t>
  </si>
  <si>
    <t>operator is not available meanwhile only satish is coming, but satish did not know how to correct ink/printing issue and line stop since 4:20 Am to 06:00 Am from production side</t>
  </si>
  <si>
    <t>In morning All machine power drain including A side printer device, then restart power, after that printer connected, now both side printer running, and all FAI debuging done.</t>
  </si>
  <si>
    <t>A</t>
    <phoneticPr fontId="18" type="noConversion"/>
  </si>
  <si>
    <t xml:space="preserve">FAI 68 NG </t>
    <phoneticPr fontId="18" type="noConversion"/>
  </si>
  <si>
    <t xml:space="preserve">MES　Abnormal </t>
    <phoneticPr fontId="18" type="noConversion"/>
  </si>
  <si>
    <t xml:space="preserve">FAI 61, 63 </t>
    <phoneticPr fontId="18" type="noConversion"/>
  </si>
  <si>
    <t xml:space="preserve">currected a3 servo </t>
    <phoneticPr fontId="18" type="noConversion"/>
  </si>
  <si>
    <t xml:space="preserve">Restart the PC and open the software </t>
    <phoneticPr fontId="18" type="noConversion"/>
  </si>
  <si>
    <t>check OMM ok but ccd lower side value so offset add and agaicheck omm.</t>
    <phoneticPr fontId="18" type="noConversion"/>
  </si>
  <si>
    <t>C</t>
    <phoneticPr fontId="18" type="noConversion"/>
  </si>
  <si>
    <t>Aniruddha</t>
    <phoneticPr fontId="18" type="noConversion"/>
  </si>
  <si>
    <t>FAI70 issue at A side</t>
    <phoneticPr fontId="18" type="noConversion"/>
  </si>
  <si>
    <t>offset adjusted in ccd (Before-0.040,after 0.240)</t>
    <phoneticPr fontId="18" type="noConversion"/>
  </si>
  <si>
    <t>FAI71 issue at A side</t>
    <phoneticPr fontId="18" type="noConversion"/>
  </si>
  <si>
    <t>offset adjusted in ccd (Before-0.300,after -0.200)</t>
    <phoneticPr fontId="18" type="noConversion"/>
  </si>
  <si>
    <t>FAI72 issue at higher side</t>
    <phoneticPr fontId="18" type="noConversion"/>
  </si>
  <si>
    <t>Casmetic side printing issue at A side</t>
    <phoneticPr fontId="18" type="noConversion"/>
  </si>
  <si>
    <t>silicon pad was damage, changed it then ok</t>
    <phoneticPr fontId="18" type="noConversion"/>
  </si>
  <si>
    <t xml:space="preserve">I checked data found only on mover is occurance where value is coming very high(16.23), now bypass mover no. 49 </t>
    <phoneticPr fontId="18" type="noConversion"/>
  </si>
  <si>
    <t>One part has reported scratch on cosmetic side.</t>
    <phoneticPr fontId="18" type="noConversion"/>
  </si>
  <si>
    <t>I checked this part scratch coming before printing，analysis also send mail to mr. sachin sir.</t>
    <phoneticPr fontId="18" type="noConversion"/>
  </si>
  <si>
    <t>Remark</t>
  </si>
  <si>
    <t>Why A shift report not filled @PP Team</t>
  </si>
  <si>
    <t>As per the production team, the scratch issue is originating from the flip station, specifically due to interference from the side block. Kindly investigate and take necessary action.</t>
  </si>
  <si>
    <r>
      <rPr>
        <sz val="8"/>
        <color theme="1"/>
        <rFont val="Calibri"/>
        <family val="2"/>
      </rPr>
      <t>LGES - ok2 mini build x3359 part running-337 nose</t>
    </r>
  </si>
  <si>
    <r>
      <rPr>
        <b/>
        <sz val="8"/>
        <color theme="1"/>
        <rFont val="Calibri"/>
        <family val="2"/>
      </rPr>
      <t>OK discharge block sensor abnormal</t>
    </r>
  </si>
  <si>
    <r>
      <rPr>
        <b/>
        <sz val="8"/>
        <color theme="1"/>
        <rFont val="等线"/>
        <charset val="134"/>
      </rPr>
      <t xml:space="preserve">pad &amp; stainsil plate clean </t>
    </r>
  </si>
  <si>
    <r>
      <rPr>
        <b/>
        <sz val="8"/>
        <color theme="1"/>
        <rFont val="Calibri"/>
        <family val="2"/>
      </rPr>
      <t xml:space="preserve">Check &amp; found part has pinhole mark before printing, Analysis report mail to Sachin sir.
</t>
    </r>
    <r>
      <rPr>
        <b/>
        <sz val="8"/>
        <color rgb="FFFF0000"/>
        <rFont val="Calibri"/>
        <family val="2"/>
      </rPr>
      <t>MFG Issue</t>
    </r>
  </si>
  <si>
    <r>
      <rPr>
        <b/>
        <sz val="8"/>
        <color rgb="FFFF0000"/>
        <rFont val="Calibri"/>
        <family val="2"/>
      </rPr>
      <t>interface call error, error message</t>
    </r>
    <r>
      <rPr>
        <b/>
        <sz val="8"/>
        <rFont val="Calibri"/>
        <family val="2"/>
      </rPr>
      <t>:$[SP_Txn_ProcessCommonCheckIn_Spurt_PAP]$barcode$GJ7HE6WBCTN0000KMQ+FF8507GB39DC$Corresponding Lot$VRLOT10000885V$the process is$PAP_MAPPING$</t>
    </r>
    <r>
      <rPr>
        <b/>
        <sz val="8"/>
        <color rgb="FFFF0000"/>
        <rFont val="Calibri"/>
        <family val="2"/>
      </rPr>
      <t>Operation process is not allowed$PAP_CHECK_CELL_JPRINT$</t>
    </r>
  </si>
  <si>
    <r>
      <rPr>
        <b/>
        <sz val="8"/>
        <color theme="1"/>
        <rFont val="Calibri"/>
        <family val="2"/>
      </rPr>
      <t>Controller power cable reconnect &amp; reference the robot.</t>
    </r>
  </si>
  <si>
    <t>A</t>
    <phoneticPr fontId="18" type="noConversion"/>
  </si>
  <si>
    <t xml:space="preserve">MANJEET </t>
    <phoneticPr fontId="18" type="noConversion"/>
  </si>
  <si>
    <t xml:space="preserve">one part found pin hole at LQC stage which part are coming in input matrial part image save in image issue folder。 </t>
    <phoneticPr fontId="18" type="noConversion"/>
  </si>
  <si>
    <t>FAI 72 ng</t>
    <phoneticPr fontId="18" type="noConversion"/>
  </si>
  <si>
    <t>FAI72 come due printing ng ,clean pad and run</t>
    <phoneticPr fontId="18" type="noConversion"/>
  </si>
  <si>
    <t>ng robot vacuume not on</t>
    <phoneticPr fontId="18" type="noConversion"/>
  </si>
  <si>
    <t xml:space="preserve">set tray position </t>
    <phoneticPr fontId="18" type="noConversion"/>
  </si>
  <si>
    <t xml:space="preserve">B1 flip lift vacuume not on </t>
    <phoneticPr fontId="18" type="noConversion"/>
  </si>
  <si>
    <t>due to part shift  becouse mover supply connector broken( mover bypass and run hand over to b shift )</t>
    <phoneticPr fontId="18" type="noConversion"/>
  </si>
  <si>
    <t xml:space="preserve">B </t>
    <phoneticPr fontId="18" type="noConversion"/>
  </si>
  <si>
    <t xml:space="preserve">Non cosmatic side CCD softwere not start </t>
    <phoneticPr fontId="18" type="noConversion"/>
  </si>
  <si>
    <t>again CCD backup load and open the software .</t>
    <phoneticPr fontId="18" type="noConversion"/>
  </si>
  <si>
    <t xml:space="preserve">MES abnormal </t>
    <phoneticPr fontId="18" type="noConversion"/>
  </si>
  <si>
    <t>restart the pc than open the software.</t>
    <phoneticPr fontId="18" type="noConversion"/>
  </si>
  <si>
    <t xml:space="preserve">Barcode grade fail b side </t>
    <phoneticPr fontId="18" type="noConversion"/>
  </si>
  <si>
    <t>head clean .</t>
    <phoneticPr fontId="18" type="noConversion"/>
  </si>
  <si>
    <t xml:space="preserve">Feeding Robot Not Run </t>
    <phoneticPr fontId="18" type="noConversion"/>
  </si>
  <si>
    <t>check Controller error and servo motor power off so restart the controller power and Robot memory clean.</t>
    <phoneticPr fontId="18" type="noConversion"/>
  </si>
  <si>
    <t>14-05-2025</t>
    <phoneticPr fontId="18" type="noConversion"/>
  </si>
  <si>
    <t>C</t>
    <phoneticPr fontId="18" type="noConversion"/>
  </si>
  <si>
    <t>Aniruddha</t>
    <phoneticPr fontId="18" type="noConversion"/>
  </si>
  <si>
    <t xml:space="preserve">I ckecked, no any feasible codition found at machine side in running part, cleaned all point flip to ok robot and mover also cleaned.  </t>
    <phoneticPr fontId="18" type="noConversion"/>
  </si>
  <si>
    <t>Casmetic side on Some part light mark issue</t>
    <phoneticPr fontId="18" type="noConversion"/>
  </si>
  <si>
    <t>Flip move clamp 1 alarms</t>
    <phoneticPr fontId="18" type="noConversion"/>
  </si>
  <si>
    <t>clamp reed switch adjusted</t>
    <phoneticPr fontId="18" type="noConversion"/>
  </si>
  <si>
    <t>Today we have checked and also prodution person sign tacking in rejection document and reprt also send you..</t>
    <phoneticPr fontId="18" type="noConversion"/>
  </si>
  <si>
    <r>
      <rPr>
        <b/>
        <sz val="8"/>
        <color rgb="FFFF0000"/>
        <rFont val="Calibri"/>
        <family val="3"/>
        <charset val="134"/>
        <scheme val="minor"/>
      </rPr>
      <t>one part dent reported,</t>
    </r>
    <r>
      <rPr>
        <b/>
        <sz val="8"/>
        <color theme="1"/>
        <rFont val="Calibri"/>
        <family val="2"/>
        <scheme val="minor"/>
      </rPr>
      <t xml:space="preserve"> </t>
    </r>
    <phoneticPr fontId="18" type="noConversion"/>
  </si>
  <si>
    <t>I ckecked before printing dent mark is coming, production person also verify it, and sign on rejection report.that is a material issue from incoming side. Part analysis send to mail .</t>
    <phoneticPr fontId="18" type="noConversion"/>
  </si>
  <si>
    <t>A</t>
    <phoneticPr fontId="18" type="noConversion"/>
  </si>
  <si>
    <t xml:space="preserve">Manjeet </t>
    <phoneticPr fontId="18" type="noConversion"/>
  </si>
  <si>
    <t>FAI68 issue at B side (Lower)</t>
  </si>
  <si>
    <t>FAI68 issue at B side (Lower)</t>
    <phoneticPr fontId="18" type="noConversion"/>
  </si>
  <si>
    <t>Offset adjusted in ccd</t>
  </si>
  <si>
    <t>Offset adjusted in ccd</t>
    <phoneticPr fontId="18" type="noConversion"/>
  </si>
  <si>
    <t xml:space="preserve">due to pad issue then change new pad and run </t>
    <phoneticPr fontId="18" type="noConversion"/>
  </si>
  <si>
    <t xml:space="preserve">feeding robot vacuume not on </t>
    <phoneticPr fontId="18" type="noConversion"/>
  </si>
  <si>
    <t xml:space="preserve">due to feed tray alignment not ok then set tray alignment then ok </t>
    <phoneticPr fontId="18" type="noConversion"/>
  </si>
  <si>
    <t xml:space="preserve">A1 lift vacuume not on </t>
    <phoneticPr fontId="18" type="noConversion"/>
  </si>
  <si>
    <t>feed turmtable lift servo discharge position change fron 594.9 to 594.8</t>
    <phoneticPr fontId="18" type="noConversion"/>
  </si>
  <si>
    <t>15-05-2025</t>
    <phoneticPr fontId="18" type="noConversion"/>
  </si>
  <si>
    <t>B</t>
    <phoneticPr fontId="18" type="noConversion"/>
  </si>
  <si>
    <t xml:space="preserve"> Non cosmetic sidePC timeout alarm Software hang </t>
    <phoneticPr fontId="18" type="noConversion"/>
  </si>
  <si>
    <t>Restart the pc &amp; software and then run machine</t>
    <phoneticPr fontId="18" type="noConversion"/>
  </si>
  <si>
    <t>Deepak singh</t>
    <phoneticPr fontId="18" type="noConversion"/>
  </si>
  <si>
    <t xml:space="preserve">Pad &amp; SS plate clean </t>
    <phoneticPr fontId="18" type="noConversion"/>
  </si>
  <si>
    <t xml:space="preserve"> Cosmetitic side Print NG.</t>
    <phoneticPr fontId="18" type="noConversion"/>
  </si>
  <si>
    <t>One part drop by LQC person.</t>
    <phoneticPr fontId="18" type="noConversion"/>
  </si>
  <si>
    <t xml:space="preserve">Printing Ng Issue At both side Non and casmetic </t>
  </si>
  <si>
    <t>clean pad of non casmetic and casmetic pad change</t>
  </si>
  <si>
    <t>CCD loading position continuos ng issue</t>
  </si>
  <si>
    <t>checked found some dark area is on datum edge side, so ccd sence this dark area, teaching done but not solved then  ccd backup soft run but not soled, then mechanically ccd adjusted approx 10mm after that running ok.</t>
  </si>
  <si>
    <t>PC hange issua on A side</t>
  </si>
  <si>
    <t>Restart pc and try to open framwork soft, but soft is not open, two time restart, finally open. This issue is coming last 1 week on non casmetic side</t>
  </si>
  <si>
    <t>FAI68,62,70,75 issue</t>
  </si>
  <si>
    <t xml:space="preserve">offset adjusted </t>
  </si>
  <si>
    <t>turntable feeding A1 vacuum issue</t>
  </si>
  <si>
    <t>sponge tape adjusted</t>
  </si>
  <si>
    <t>one part minor pin hole and one part scratch reported</t>
  </si>
  <si>
    <t>empty machine and investigate it, with productio and quality, that is a incoming materials issue</t>
  </si>
  <si>
    <t>A</t>
    <phoneticPr fontId="18" type="noConversion"/>
  </si>
  <si>
    <t xml:space="preserve">manjeet </t>
    <phoneticPr fontId="18" type="noConversion"/>
  </si>
  <si>
    <t xml:space="preserve">barcode tilt issue A side </t>
    <phoneticPr fontId="18" type="noConversion"/>
  </si>
  <si>
    <t xml:space="preserve">A3 inkjet clean A side </t>
    <phoneticPr fontId="18" type="noConversion"/>
  </si>
  <si>
    <t>barcode shirnk B side</t>
    <phoneticPr fontId="18" type="noConversion"/>
  </si>
  <si>
    <t xml:space="preserve">A3 inkjet clean B side </t>
    <phoneticPr fontId="18" type="noConversion"/>
  </si>
  <si>
    <t xml:space="preserve">FAI 75 ,66,&amp; 68 ng in noncosmetic side </t>
    <phoneticPr fontId="18" type="noConversion"/>
  </si>
  <si>
    <t>NG robot vacuume not on</t>
    <phoneticPr fontId="18" type="noConversion"/>
  </si>
  <si>
    <t xml:space="preserve">change tray picking position ( mechanically) </t>
    <phoneticPr fontId="18" type="noConversion"/>
  </si>
  <si>
    <t xml:space="preserve">FAI 72 ng cosmetic side </t>
    <phoneticPr fontId="18" type="noConversion"/>
  </si>
  <si>
    <t xml:space="preserve">work in cosmetic region by chaines team with akash </t>
    <phoneticPr fontId="18" type="noConversion"/>
  </si>
  <si>
    <t>clean mover ,baecode roi teach ,and change feed turn table servo discharge position ,</t>
    <phoneticPr fontId="18" type="noConversion"/>
  </si>
  <si>
    <t>C</t>
    <phoneticPr fontId="18" type="noConversion"/>
  </si>
  <si>
    <t>Aniruddha</t>
    <phoneticPr fontId="18" type="noConversion"/>
  </si>
  <si>
    <t>16-05-2025</t>
    <phoneticPr fontId="18" type="noConversion"/>
  </si>
  <si>
    <t>Changed the Pad</t>
    <phoneticPr fontId="18" type="noConversion"/>
  </si>
  <si>
    <t>Mover Number JQSG11001029A antena spring get damage, so mover power off.</t>
    <phoneticPr fontId="18" type="noConversion"/>
  </si>
  <si>
    <t>Changed the mover antena spring</t>
    <phoneticPr fontId="18" type="noConversion"/>
  </si>
  <si>
    <t>A6 Non casmetic print Ng issue</t>
    <phoneticPr fontId="18" type="noConversion"/>
  </si>
  <si>
    <t>Checked all mover Antena spring</t>
    <phoneticPr fontId="18" type="noConversion"/>
  </si>
  <si>
    <t>A5 pad printing lift servo limit alarm</t>
    <phoneticPr fontId="18" type="noConversion"/>
  </si>
  <si>
    <t>observe and found glue roll lot of accumulate on scrap side so servo hit with scrap roll during cleaning, removed it then ok</t>
    <phoneticPr fontId="18" type="noConversion"/>
  </si>
  <si>
    <t>Found mover JQSG11001018A and JQSG11001002A spring get damage so changed the same</t>
    <phoneticPr fontId="18" type="noConversion"/>
  </si>
  <si>
    <t>Casmetic Side PC software hange issue</t>
    <phoneticPr fontId="18" type="noConversion"/>
  </si>
  <si>
    <t>Close from taskbar and restart soft then ok</t>
    <phoneticPr fontId="18" type="noConversion"/>
  </si>
  <si>
    <t xml:space="preserve">Non Casmetic Side PC hange </t>
    <phoneticPr fontId="18" type="noConversion"/>
  </si>
  <si>
    <t>Restart the PC</t>
    <phoneticPr fontId="18" type="noConversion"/>
  </si>
  <si>
    <t>* One part Ng reported where extra mateial on cell</t>
    <phoneticPr fontId="18" type="noConversion"/>
  </si>
  <si>
    <t>Quality also approved it, that is a incoming materials issue, their analysis mailed</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</si>
</sst>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64" formatCode="[$-409]d\-mmm;@"/>
  </numFmts>
  <fonts count="28">
    <font>
      <sz val="11"/>
      <color theme="1"/>
      <name val="Calibri"/>
      <charset val="134"/>
      <scheme val="minor"/>
    </font>
    <font>
      <sz val="11"/>
      <color theme="1"/>
      <name val="Calibri"/>
      <family val="2"/>
      <scheme val="minor"/>
    </font>
    <font>
      <b/>
      <sz val="9"/>
      <color theme="1"/>
      <name val="Calibri"/>
      <family val="2"/>
      <scheme val="minor"/>
    </font>
    <font>
      <b/>
      <sz val="10"/>
      <color rgb="FF000000"/>
      <name val="Calibri"/>
      <family val="2"/>
    </font>
    <font>
      <sz val="9"/>
      <color theme="1"/>
      <name val="Calibri"/>
      <family val="2"/>
      <scheme val="minor"/>
    </font>
    <font>
      <b/>
      <i/>
      <sz val="9"/>
      <color theme="1"/>
      <name val="Calibri"/>
      <family val="2"/>
      <scheme val="minor"/>
    </font>
    <font>
      <b/>
      <sz val="8"/>
      <color theme="1"/>
      <name val="Calibri"/>
      <family val="2"/>
      <scheme val="minor"/>
    </font>
    <font>
      <b/>
      <sz val="8"/>
      <color theme="1"/>
      <name val="等线"/>
      <charset val="134"/>
    </font>
    <font>
      <b/>
      <sz val="8"/>
      <color rgb="FF000000"/>
      <name val="Calibri"/>
      <family val="2"/>
    </font>
    <font>
      <b/>
      <sz val="10"/>
      <color theme="1"/>
      <name val="Calibri"/>
      <family val="2"/>
      <scheme val="minor"/>
    </font>
    <font>
      <b/>
      <sz val="11"/>
      <color theme="1"/>
      <name val="Calibri"/>
      <family val="2"/>
      <scheme val="minor"/>
    </font>
    <font>
      <sz val="9"/>
      <color theme="1"/>
      <name val="Calibri"/>
      <family val="2"/>
    </font>
    <font>
      <b/>
      <sz val="8"/>
      <color theme="1"/>
      <name val="Calibri"/>
      <family val="2"/>
    </font>
    <font>
      <sz val="9"/>
      <color theme="1"/>
      <name val="等线"/>
      <charset val="134"/>
    </font>
    <font>
      <b/>
      <sz val="9"/>
      <color theme="1"/>
      <name val="Calibri"/>
      <family val="2"/>
    </font>
    <font>
      <b/>
      <sz val="9"/>
      <color rgb="FFC00000"/>
      <name val="Calibri"/>
      <family val="2"/>
    </font>
    <font>
      <sz val="9"/>
      <color rgb="FFFF0000"/>
      <name val="Calibri"/>
      <family val="2"/>
    </font>
    <font>
      <sz val="9"/>
      <color rgb="FFFF0000"/>
      <name val="等线"/>
      <charset val="134"/>
    </font>
    <font>
      <sz val="9"/>
      <name val="Calibri"/>
      <family val="2"/>
      <scheme val="minor"/>
    </font>
    <font>
      <b/>
      <sz val="8"/>
      <color rgb="FFFF0000"/>
      <name val="Calibri"/>
      <family val="3"/>
      <charset val="134"/>
      <scheme val="minor"/>
    </font>
    <font>
      <sz val="8"/>
      <color theme="1"/>
      <name val="Calibri"/>
      <family val="2"/>
      <scheme val="minor"/>
    </font>
    <font>
      <b/>
      <i/>
      <sz val="8"/>
      <color theme="1"/>
      <name val="Calibri"/>
      <family val="2"/>
      <scheme val="minor"/>
    </font>
    <font>
      <sz val="8"/>
      <color theme="1"/>
      <name val="Calibri"/>
      <family val="2"/>
    </font>
    <font>
      <b/>
      <sz val="8"/>
      <color rgb="FFFF0000"/>
      <name val="Calibri"/>
      <family val="2"/>
    </font>
    <font>
      <b/>
      <sz val="8"/>
      <color rgb="FFFF0000"/>
      <name val="Calibri"/>
      <family val="2"/>
      <scheme val="minor"/>
    </font>
    <font>
      <b/>
      <sz val="8"/>
      <name val="Calibri"/>
      <family val="2"/>
      <scheme val="minor"/>
    </font>
    <font>
      <b/>
      <sz val="8"/>
      <name val="Calibri"/>
      <family val="2"/>
    </font>
    <font>
      <b/>
      <sz val="8"/>
      <color theme="1"/>
      <name val="Calibri"/>
      <family val="3"/>
      <charset val="134"/>
      <scheme val="minor"/>
    </font>
  </fonts>
  <fills count="18">
    <fill>
      <patternFill patternType="none"/>
    </fill>
    <fill>
      <patternFill patternType="gray125"/>
    </fill>
    <fill>
      <patternFill patternType="solid">
        <fgColor theme="5" tint="0.59999389629810485"/>
        <bgColor indexed="64"/>
      </patternFill>
    </fill>
    <fill>
      <patternFill patternType="solid">
        <fgColor rgb="FF95B3D7"/>
        <bgColor indexed="64"/>
      </patternFill>
    </fill>
    <fill>
      <patternFill patternType="solid">
        <fgColor theme="9" tint="0.59999389629810485"/>
        <bgColor indexed="64"/>
      </patternFill>
    </fill>
    <fill>
      <patternFill patternType="solid">
        <fgColor theme="7" tint="0.7993408001953185"/>
        <bgColor indexed="64"/>
      </patternFill>
    </fill>
    <fill>
      <patternFill patternType="solid">
        <fgColor theme="8" tint="0.59999389629810485"/>
        <bgColor indexed="64"/>
      </patternFill>
    </fill>
    <fill>
      <patternFill patternType="solid">
        <fgColor theme="7" tint="0.79973754081850645"/>
        <bgColor indexed="64"/>
      </patternFill>
    </fill>
    <fill>
      <patternFill patternType="solid">
        <fgColor theme="7" tint="0.79985961485641044"/>
        <bgColor indexed="64"/>
      </patternFill>
    </fill>
    <fill>
      <patternFill patternType="solid">
        <fgColor theme="7" tint="-0.249977111117893"/>
        <bgColor indexed="64"/>
      </patternFill>
    </fill>
    <fill>
      <patternFill patternType="solid">
        <fgColor theme="7" tint="0.59999389629810485"/>
        <bgColor indexed="64"/>
      </patternFill>
    </fill>
    <fill>
      <patternFill patternType="solid">
        <fgColor theme="7" tint="0.79976805932798245"/>
        <bgColor indexed="64"/>
      </patternFill>
    </fill>
    <fill>
      <patternFill patternType="solid">
        <fgColor theme="5" tint="0.39985351115451523"/>
        <bgColor indexed="64"/>
      </patternFill>
    </fill>
    <fill>
      <patternFill patternType="solid">
        <fgColor theme="4" tint="0.39973143711661124"/>
        <bgColor indexed="64"/>
      </patternFill>
    </fill>
    <fill>
      <patternFill patternType="solid">
        <fgColor theme="7" tint="0.79998168889431442"/>
        <bgColor indexed="64"/>
      </patternFill>
    </fill>
    <fill>
      <patternFill patternType="solid">
        <fgColor rgb="FFFF0000"/>
        <bgColor indexed="64"/>
      </patternFill>
    </fill>
    <fill>
      <patternFill patternType="solid">
        <fgColor rgb="FFFFFF00"/>
        <bgColor indexed="64"/>
      </patternFill>
    </fill>
    <fill>
      <patternFill patternType="solid">
        <fgColor theme="9" tint="-0.249977111117893"/>
        <bgColor indexed="64"/>
      </patternFill>
    </fill>
  </fills>
  <borders count="34">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bottom style="medium">
        <color auto="1"/>
      </bottom>
      <diagonal/>
    </border>
    <border>
      <left style="medium">
        <color auto="1"/>
      </left>
      <right style="thin">
        <color auto="1"/>
      </right>
      <top/>
      <bottom style="thin">
        <color auto="1"/>
      </bottom>
      <diagonal/>
    </border>
    <border>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auto="1"/>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right style="thin">
        <color auto="1"/>
      </right>
      <top/>
      <bottom style="medium">
        <color auto="1"/>
      </bottom>
      <diagonal/>
    </border>
    <border>
      <left style="thin">
        <color auto="1"/>
      </left>
      <right/>
      <top/>
      <bottom style="medium">
        <color auto="1"/>
      </bottom>
      <diagonal/>
    </border>
  </borders>
  <cellStyleXfs count="13">
    <xf numFmtId="0" fontId="0" fillId="0" borderId="0">
      <alignment vertical="center"/>
    </xf>
    <xf numFmtId="43" fontId="1" fillId="0" borderId="0" applyFont="0" applyFill="0" applyBorder="0" applyAlignment="0" applyProtection="0"/>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16">
    <xf numFmtId="0" fontId="0" fillId="0" borderId="0" xfId="0" applyAlignment="1"/>
    <xf numFmtId="164" fontId="1" fillId="0" borderId="0" xfId="8" applyNumberFormat="1" applyAlignment="1"/>
    <xf numFmtId="0" fontId="1" fillId="0" borderId="0" xfId="8" applyAlignment="1">
      <alignment wrapText="1"/>
    </xf>
    <xf numFmtId="0" fontId="1" fillId="0" borderId="0" xfId="7" applyAlignment="1">
      <alignment horizontal="center" vertical="center"/>
    </xf>
    <xf numFmtId="0" fontId="2" fillId="2" borderId="2" xfId="4" applyFont="1" applyFill="1" applyBorder="1" applyAlignment="1">
      <alignment horizontal="center"/>
    </xf>
    <xf numFmtId="164" fontId="3" fillId="3" borderId="3" xfId="2" applyNumberFormat="1" applyFont="1" applyFill="1" applyBorder="1" applyAlignment="1">
      <alignment horizontal="center" vertical="center" wrapText="1" readingOrder="1"/>
    </xf>
    <xf numFmtId="0" fontId="3" fillId="3" borderId="4" xfId="2" applyFont="1" applyFill="1" applyBorder="1" applyAlignment="1">
      <alignment horizontal="center" vertical="center" wrapText="1" readingOrder="1"/>
    </xf>
    <xf numFmtId="0" fontId="2" fillId="4" borderId="5" xfId="2" applyFont="1" applyFill="1" applyBorder="1" applyAlignment="1">
      <alignment horizontal="center" vertical="center" wrapText="1"/>
    </xf>
    <xf numFmtId="0" fontId="2" fillId="4" borderId="7" xfId="2" applyFont="1" applyFill="1" applyBorder="1" applyAlignment="1">
      <alignment horizontal="center" vertical="center" wrapText="1"/>
    </xf>
    <xf numFmtId="0" fontId="2" fillId="4" borderId="8" xfId="2" applyFont="1" applyFill="1" applyBorder="1" applyAlignment="1">
      <alignment horizontal="center" vertical="center" wrapText="1"/>
    </xf>
    <xf numFmtId="0" fontId="4" fillId="5" borderId="7" xfId="2" applyFont="1" applyFill="1" applyBorder="1" applyAlignment="1">
      <alignment horizontal="center" vertical="center" wrapText="1"/>
    </xf>
    <xf numFmtId="0" fontId="2" fillId="5" borderId="7" xfId="2" applyFont="1" applyFill="1" applyBorder="1" applyAlignment="1">
      <alignment horizontal="center" vertical="center" wrapText="1"/>
    </xf>
    <xf numFmtId="0" fontId="2" fillId="6" borderId="7" xfId="2" applyFont="1" applyFill="1" applyBorder="1" applyAlignment="1">
      <alignment horizontal="center" vertical="center" wrapText="1"/>
    </xf>
    <xf numFmtId="0" fontId="2" fillId="4" borderId="9" xfId="2" applyFont="1" applyFill="1" applyBorder="1" applyAlignment="1">
      <alignment horizontal="center" vertical="center" wrapText="1"/>
    </xf>
    <xf numFmtId="0" fontId="2" fillId="2" borderId="2" xfId="4" applyFont="1" applyFill="1" applyBorder="1" applyAlignment="1">
      <alignment horizontal="center" vertical="center"/>
    </xf>
    <xf numFmtId="0" fontId="2" fillId="2" borderId="10" xfId="4" applyFont="1" applyFill="1" applyBorder="1" applyAlignment="1"/>
    <xf numFmtId="0" fontId="3" fillId="3" borderId="4" xfId="2" applyFont="1" applyFill="1" applyBorder="1" applyAlignment="1">
      <alignment horizontal="left" vertical="center" wrapText="1"/>
    </xf>
    <xf numFmtId="0" fontId="3" fillId="3" borderId="11" xfId="2" applyFont="1" applyFill="1" applyBorder="1" applyAlignment="1">
      <alignment horizontal="center" vertical="center" wrapText="1" readingOrder="1"/>
    </xf>
    <xf numFmtId="0" fontId="2" fillId="4" borderId="5" xfId="2" applyFont="1" applyFill="1" applyBorder="1" applyAlignment="1">
      <alignment horizontal="center" vertical="center"/>
    </xf>
    <xf numFmtId="0" fontId="2" fillId="4" borderId="5" xfId="2" applyFont="1" applyFill="1" applyBorder="1" applyAlignment="1">
      <alignment horizontal="left" vertical="center" wrapText="1"/>
    </xf>
    <xf numFmtId="0" fontId="2" fillId="4" borderId="7" xfId="2" applyFont="1" applyFill="1" applyBorder="1" applyAlignment="1">
      <alignment horizontal="left" vertical="center" wrapText="1"/>
    </xf>
    <xf numFmtId="0" fontId="2" fillId="4" borderId="7" xfId="2" applyFont="1" applyFill="1" applyBorder="1" applyAlignment="1">
      <alignment horizontal="left" wrapText="1"/>
    </xf>
    <xf numFmtId="0" fontId="4" fillId="7" borderId="7" xfId="7" applyFont="1" applyFill="1" applyBorder="1" applyAlignment="1">
      <alignment vertical="center" wrapText="1"/>
    </xf>
    <xf numFmtId="0" fontId="4" fillId="7" borderId="7" xfId="7" applyFont="1" applyFill="1" applyBorder="1" applyAlignment="1">
      <alignment horizontal="left" wrapText="1"/>
    </xf>
    <xf numFmtId="0" fontId="4" fillId="7" borderId="7" xfId="7" applyFont="1" applyFill="1" applyBorder="1" applyAlignment="1">
      <alignment horizontal="center" vertical="center"/>
    </xf>
    <xf numFmtId="0" fontId="4" fillId="7" borderId="7" xfId="7" applyFont="1" applyFill="1" applyBorder="1" applyAlignment="1">
      <alignment wrapText="1"/>
    </xf>
    <xf numFmtId="0" fontId="4" fillId="7" borderId="5" xfId="7" applyFont="1" applyFill="1" applyBorder="1" applyAlignment="1">
      <alignment horizontal="center" vertical="center"/>
    </xf>
    <xf numFmtId="14" fontId="2" fillId="6" borderId="7" xfId="2" applyNumberFormat="1" applyFont="1" applyFill="1" applyBorder="1" applyAlignment="1">
      <alignment horizontal="left" vertical="center" wrapText="1"/>
    </xf>
    <xf numFmtId="0" fontId="4" fillId="6" borderId="7" xfId="7" applyFont="1" applyFill="1" applyBorder="1" applyAlignment="1">
      <alignment wrapText="1"/>
    </xf>
    <xf numFmtId="0" fontId="4" fillId="6" borderId="7" xfId="7" applyFont="1" applyFill="1" applyBorder="1" applyAlignment="1">
      <alignment horizontal="left" wrapText="1"/>
    </xf>
    <xf numFmtId="0" fontId="5" fillId="6" borderId="7" xfId="2" applyFont="1" applyFill="1" applyBorder="1" applyAlignment="1">
      <alignment horizontal="left" vertical="center" wrapText="1"/>
    </xf>
    <xf numFmtId="0" fontId="2" fillId="6" borderId="7" xfId="2" applyFont="1" applyFill="1" applyBorder="1" applyAlignment="1">
      <alignment horizontal="left" vertical="center" wrapText="1"/>
    </xf>
    <xf numFmtId="0" fontId="2" fillId="6" borderId="7" xfId="2" applyNumberFormat="1" applyFont="1" applyFill="1" applyBorder="1" applyAlignment="1">
      <alignment horizontal="center" vertical="center"/>
    </xf>
    <xf numFmtId="0" fontId="2" fillId="4" borderId="5" xfId="2" applyFont="1" applyFill="1" applyBorder="1" applyAlignment="1">
      <alignment horizontal="left" wrapText="1"/>
    </xf>
    <xf numFmtId="0" fontId="2" fillId="6" borderId="8" xfId="2" applyNumberFormat="1" applyFont="1" applyFill="1" applyBorder="1" applyAlignment="1">
      <alignment horizontal="center" vertical="center"/>
    </xf>
    <xf numFmtId="14" fontId="2" fillId="6" borderId="7" xfId="2" applyNumberFormat="1" applyFont="1" applyFill="1" applyBorder="1" applyAlignment="1">
      <alignment horizontal="center" vertical="center"/>
    </xf>
    <xf numFmtId="0" fontId="6" fillId="5" borderId="7" xfId="2" applyFont="1" applyFill="1" applyBorder="1" applyAlignment="1">
      <alignment horizontal="left" vertical="center" wrapText="1"/>
    </xf>
    <xf numFmtId="0" fontId="7" fillId="5" borderId="7" xfId="2" applyFont="1" applyFill="1" applyBorder="1" applyAlignment="1">
      <alignment horizontal="left" vertical="center" wrapText="1"/>
    </xf>
    <xf numFmtId="0" fontId="6" fillId="5" borderId="7" xfId="2" applyFont="1" applyFill="1" applyBorder="1" applyAlignment="1">
      <alignment horizontal="left" vertical="top"/>
    </xf>
    <xf numFmtId="0" fontId="4" fillId="4" borderId="5" xfId="2" applyFont="1" applyFill="1" applyBorder="1" applyAlignment="1">
      <alignment horizontal="center" vertical="center" wrapText="1"/>
    </xf>
    <xf numFmtId="0" fontId="4" fillId="4" borderId="7" xfId="2" applyFont="1" applyFill="1" applyBorder="1" applyAlignment="1">
      <alignment horizontal="center" vertical="center" wrapText="1"/>
    </xf>
    <xf numFmtId="0" fontId="4" fillId="6" borderId="7" xfId="2" applyFont="1" applyFill="1" applyBorder="1" applyAlignment="1">
      <alignment horizontal="center" vertical="center" wrapText="1"/>
    </xf>
    <xf numFmtId="0" fontId="2" fillId="6" borderId="9" xfId="2" applyFont="1" applyFill="1" applyBorder="1" applyAlignment="1">
      <alignment horizontal="center" vertical="center" wrapText="1"/>
    </xf>
    <xf numFmtId="0" fontId="2" fillId="6" borderId="5" xfId="2" applyFont="1" applyFill="1" applyBorder="1" applyAlignment="1">
      <alignment horizontal="left" vertical="center" wrapText="1"/>
    </xf>
    <xf numFmtId="14" fontId="4" fillId="6" borderId="7" xfId="2" applyNumberFormat="1" applyFont="1" applyFill="1" applyBorder="1" applyAlignment="1">
      <alignment horizontal="left" vertical="center" wrapText="1"/>
    </xf>
    <xf numFmtId="0" fontId="4" fillId="11" borderId="7" xfId="7" applyFont="1" applyFill="1" applyBorder="1" applyAlignment="1">
      <alignment wrapText="1"/>
    </xf>
    <xf numFmtId="0" fontId="4" fillId="11" borderId="7" xfId="7" applyFont="1" applyFill="1" applyBorder="1" applyAlignment="1">
      <alignment horizontal="center" vertical="center"/>
    </xf>
    <xf numFmtId="0" fontId="2" fillId="7" borderId="7" xfId="7" applyFont="1" applyFill="1" applyBorder="1" applyAlignment="1">
      <alignment wrapText="1"/>
    </xf>
    <xf numFmtId="14" fontId="6" fillId="6" borderId="7" xfId="2" applyNumberFormat="1" applyFont="1" applyFill="1" applyBorder="1" applyAlignment="1">
      <alignment horizontal="left" vertical="center" wrapText="1"/>
    </xf>
    <xf numFmtId="14" fontId="6" fillId="6" borderId="7" xfId="2" applyNumberFormat="1" applyFont="1" applyFill="1" applyBorder="1" applyAlignment="1">
      <alignment horizontal="left" vertical="top"/>
    </xf>
    <xf numFmtId="0" fontId="2" fillId="4" borderId="2" xfId="2" applyFont="1" applyFill="1" applyBorder="1" applyAlignment="1">
      <alignment horizontal="center" vertical="center" wrapText="1"/>
    </xf>
    <xf numFmtId="0" fontId="6" fillId="6" borderId="7" xfId="2" applyFont="1" applyFill="1" applyBorder="1" applyAlignment="1">
      <alignment horizontal="left" vertical="center" readingOrder="1"/>
    </xf>
    <xf numFmtId="0" fontId="6" fillId="6" borderId="7" xfId="2" applyFont="1" applyFill="1" applyBorder="1" applyAlignment="1">
      <alignment horizontal="left" vertical="center" wrapText="1"/>
    </xf>
    <xf numFmtId="14" fontId="6" fillId="6" borderId="7" xfId="2" applyNumberFormat="1" applyFont="1" applyFill="1" applyBorder="1" applyAlignment="1">
      <alignment horizontal="left" vertical="center" wrapText="1" readingOrder="1"/>
    </xf>
    <xf numFmtId="0" fontId="6" fillId="6" borderId="7" xfId="2" applyFont="1" applyFill="1" applyBorder="1" applyAlignment="1">
      <alignment horizontal="left" readingOrder="1"/>
    </xf>
    <xf numFmtId="0" fontId="2" fillId="4" borderId="9" xfId="2" applyFont="1" applyFill="1" applyBorder="1" applyAlignment="1">
      <alignment horizontal="left" vertical="center" wrapText="1"/>
    </xf>
    <xf numFmtId="0" fontId="2" fillId="4" borderId="0" xfId="2" applyFont="1" applyFill="1" applyBorder="1" applyAlignment="1">
      <alignment horizontal="center" vertical="center" wrapText="1"/>
    </xf>
    <xf numFmtId="0" fontId="4" fillId="4" borderId="7" xfId="7" applyFont="1" applyFill="1" applyBorder="1" applyAlignment="1">
      <alignment horizontal="left" vertical="center"/>
    </xf>
    <xf numFmtId="0" fontId="1" fillId="4" borderId="7" xfId="7" applyFill="1" applyBorder="1" applyAlignment="1">
      <alignment horizontal="center" vertical="center"/>
    </xf>
    <xf numFmtId="0" fontId="2" fillId="7" borderId="13" xfId="7" applyFont="1" applyFill="1" applyBorder="1" applyAlignment="1">
      <alignment horizontal="left" vertical="center" wrapText="1"/>
    </xf>
    <xf numFmtId="0" fontId="2" fillId="7" borderId="7" xfId="7" applyFont="1" applyFill="1" applyBorder="1" applyAlignment="1">
      <alignment horizontal="center" vertical="center"/>
    </xf>
    <xf numFmtId="0" fontId="2" fillId="7" borderId="7" xfId="7" applyFont="1" applyFill="1" applyBorder="1" applyAlignment="1">
      <alignment horizontal="left" vertical="center" wrapText="1"/>
    </xf>
    <xf numFmtId="0" fontId="2" fillId="7" borderId="13" xfId="7" applyFont="1" applyFill="1" applyBorder="1" applyAlignment="1">
      <alignment horizontal="left" wrapText="1"/>
    </xf>
    <xf numFmtId="0" fontId="2" fillId="6" borderId="7" xfId="2" applyFont="1" applyFill="1" applyBorder="1" applyAlignment="1">
      <alignment horizontal="left" vertical="center" readingOrder="1"/>
    </xf>
    <xf numFmtId="0" fontId="2" fillId="6" borderId="7" xfId="2" applyFont="1" applyFill="1" applyBorder="1" applyAlignment="1">
      <alignment horizontal="left" vertical="top" wrapText="1"/>
    </xf>
    <xf numFmtId="0" fontId="2" fillId="6" borderId="9" xfId="2" applyFont="1" applyFill="1" applyBorder="1" applyAlignment="1">
      <alignment horizontal="left" vertical="center" readingOrder="1"/>
    </xf>
    <xf numFmtId="0" fontId="2" fillId="6" borderId="9" xfId="2" applyFont="1" applyFill="1" applyBorder="1" applyAlignment="1">
      <alignment horizontal="left" vertical="top" wrapText="1"/>
    </xf>
    <xf numFmtId="0" fontId="2" fillId="6" borderId="9" xfId="2" applyFont="1" applyFill="1" applyBorder="1" applyAlignment="1">
      <alignment horizontal="left" vertical="top"/>
    </xf>
    <xf numFmtId="0" fontId="2" fillId="4" borderId="2" xfId="2" applyFont="1" applyFill="1" applyBorder="1" applyAlignment="1">
      <alignment horizontal="center" vertical="center"/>
    </xf>
    <xf numFmtId="0" fontId="2" fillId="4" borderId="2" xfId="2" applyFont="1" applyFill="1" applyBorder="1" applyAlignment="1">
      <alignment horizontal="left" vertical="center" wrapText="1"/>
    </xf>
    <xf numFmtId="0" fontId="2" fillId="2" borderId="7" xfId="2" applyFont="1" applyFill="1" applyBorder="1" applyAlignment="1">
      <alignment horizontal="left" vertical="center" wrapText="1"/>
    </xf>
    <xf numFmtId="0" fontId="2" fillId="2" borderId="7" xfId="2" applyFont="1" applyFill="1" applyBorder="1" applyAlignment="1">
      <alignment horizontal="center" vertical="center" wrapText="1"/>
    </xf>
    <xf numFmtId="0" fontId="2" fillId="2" borderId="4" xfId="2" applyFont="1" applyFill="1" applyBorder="1" applyAlignment="1">
      <alignment horizontal="left" vertical="center" wrapText="1"/>
    </xf>
    <xf numFmtId="0" fontId="2" fillId="2" borderId="4" xfId="2" applyFont="1" applyFill="1" applyBorder="1" applyAlignment="1">
      <alignment horizontal="center" vertical="center" wrapText="1"/>
    </xf>
    <xf numFmtId="0" fontId="4" fillId="7" borderId="5" xfId="7" applyFont="1" applyFill="1" applyBorder="1" applyAlignment="1">
      <alignment wrapText="1"/>
    </xf>
    <xf numFmtId="14" fontId="6" fillId="6" borderId="9" xfId="2" applyNumberFormat="1" applyFont="1" applyFill="1" applyBorder="1" applyAlignment="1">
      <alignment horizontal="left" vertical="center" wrapText="1"/>
    </xf>
    <xf numFmtId="14" fontId="6" fillId="6" borderId="9" xfId="2" applyNumberFormat="1" applyFont="1" applyFill="1" applyBorder="1" applyAlignment="1">
      <alignment horizontal="left" vertical="center" readingOrder="1"/>
    </xf>
    <xf numFmtId="0" fontId="2" fillId="4" borderId="23" xfId="2" applyFont="1" applyFill="1" applyBorder="1" applyAlignment="1">
      <alignment horizontal="left" wrapText="1"/>
    </xf>
    <xf numFmtId="0" fontId="2" fillId="4" borderId="24" xfId="2" applyFont="1" applyFill="1" applyBorder="1" applyAlignment="1">
      <alignment horizontal="center" vertical="center" wrapText="1"/>
    </xf>
    <xf numFmtId="0" fontId="2" fillId="12" borderId="7" xfId="2" applyFont="1" applyFill="1" applyBorder="1" applyAlignment="1">
      <alignment horizontal="left" vertical="center" wrapText="1"/>
    </xf>
    <xf numFmtId="0" fontId="2" fillId="12" borderId="13" xfId="2" applyFont="1" applyFill="1" applyBorder="1" applyAlignment="1">
      <alignment horizontal="left" vertical="center" wrapText="1"/>
    </xf>
    <xf numFmtId="0" fontId="2" fillId="12" borderId="7" xfId="2" applyFont="1" applyFill="1" applyBorder="1" applyAlignment="1">
      <alignment horizontal="center" vertical="center" wrapText="1"/>
    </xf>
    <xf numFmtId="14" fontId="2" fillId="12" borderId="7" xfId="2" applyNumberFormat="1" applyFont="1" applyFill="1" applyBorder="1" applyAlignment="1">
      <alignment horizontal="left" vertical="center" wrapText="1"/>
    </xf>
    <xf numFmtId="0" fontId="2" fillId="12" borderId="7" xfId="2" applyNumberFormat="1" applyFont="1" applyFill="1" applyBorder="1" applyAlignment="1">
      <alignment horizontal="center" vertical="center"/>
    </xf>
    <xf numFmtId="0" fontId="2" fillId="12" borderId="4" xfId="2" applyFont="1" applyFill="1" applyBorder="1" applyAlignment="1">
      <alignment horizontal="left" vertical="center" wrapText="1"/>
    </xf>
    <xf numFmtId="14" fontId="2" fillId="12" borderId="4" xfId="2" applyNumberFormat="1" applyFont="1" applyFill="1" applyBorder="1" applyAlignment="1">
      <alignment horizontal="left" vertical="center" wrapText="1"/>
    </xf>
    <xf numFmtId="0" fontId="2" fillId="12" borderId="4" xfId="2" applyFont="1" applyFill="1" applyBorder="1" applyAlignment="1">
      <alignment horizontal="center" vertical="center" wrapText="1"/>
    </xf>
    <xf numFmtId="14" fontId="6" fillId="8" borderId="5" xfId="2" applyNumberFormat="1" applyFont="1" applyFill="1" applyBorder="1" applyAlignment="1">
      <alignment horizontal="left" vertical="center" wrapText="1"/>
    </xf>
    <xf numFmtId="14" fontId="6" fillId="8" borderId="5" xfId="2" applyNumberFormat="1" applyFont="1" applyFill="1" applyBorder="1" applyAlignment="1">
      <alignment horizontal="left" vertical="center" readingOrder="1"/>
    </xf>
    <xf numFmtId="0" fontId="2" fillId="8" borderId="5" xfId="2" applyFont="1" applyFill="1" applyBorder="1" applyAlignment="1">
      <alignment horizontal="center" vertical="center" wrapText="1"/>
    </xf>
    <xf numFmtId="0" fontId="2" fillId="6" borderId="9" xfId="2" applyNumberFormat="1" applyFont="1" applyFill="1" applyBorder="1" applyAlignment="1">
      <alignment vertical="center"/>
    </xf>
    <xf numFmtId="0" fontId="2" fillId="6" borderId="8" xfId="2" applyNumberFormat="1" applyFont="1" applyFill="1" applyBorder="1" applyAlignment="1">
      <alignment vertical="center"/>
    </xf>
    <xf numFmtId="0" fontId="2" fillId="6" borderId="5" xfId="2" applyNumberFormat="1" applyFont="1" applyFill="1" applyBorder="1" applyAlignment="1">
      <alignment vertical="center"/>
    </xf>
    <xf numFmtId="0" fontId="4" fillId="4" borderId="5" xfId="2" applyFont="1" applyFill="1" applyBorder="1" applyAlignment="1">
      <alignment horizontal="left" wrapText="1"/>
    </xf>
    <xf numFmtId="0" fontId="4" fillId="4" borderId="5" xfId="2" applyFont="1" applyFill="1" applyBorder="1" applyAlignment="1">
      <alignment horizontal="left" vertical="center" wrapText="1"/>
    </xf>
    <xf numFmtId="0" fontId="4" fillId="4" borderId="7" xfId="2" applyFont="1" applyFill="1" applyBorder="1" applyAlignment="1">
      <alignment horizontal="left" wrapText="1"/>
    </xf>
    <xf numFmtId="0" fontId="4" fillId="4" borderId="7" xfId="2" applyFont="1" applyFill="1" applyBorder="1" applyAlignment="1">
      <alignment horizontal="left" vertical="center" wrapText="1"/>
    </xf>
    <xf numFmtId="0" fontId="4" fillId="6" borderId="7" xfId="2" applyFont="1" applyFill="1" applyBorder="1" applyAlignment="1">
      <alignment horizontal="left" vertical="center" wrapText="1"/>
    </xf>
    <xf numFmtId="0" fontId="4" fillId="11" borderId="7" xfId="7" applyFont="1" applyFill="1" applyBorder="1" applyAlignment="1">
      <alignment horizontal="left" wrapText="1"/>
    </xf>
    <xf numFmtId="0" fontId="2" fillId="4" borderId="0" xfId="2" applyFont="1" applyFill="1" applyBorder="1" applyAlignment="1">
      <alignment horizontal="left" vertical="center" wrapText="1"/>
    </xf>
    <xf numFmtId="14" fontId="2" fillId="6" borderId="9" xfId="2" applyNumberFormat="1" applyFont="1" applyFill="1" applyBorder="1" applyAlignment="1">
      <alignment horizontal="left" vertical="center" wrapText="1"/>
    </xf>
    <xf numFmtId="14" fontId="6" fillId="6" borderId="7" xfId="2" applyNumberFormat="1" applyFont="1" applyFill="1" applyBorder="1" applyAlignment="1">
      <alignment horizontal="left" vertical="center" readingOrder="1"/>
    </xf>
    <xf numFmtId="0" fontId="6" fillId="6" borderId="7" xfId="2" applyFont="1" applyFill="1" applyBorder="1" applyAlignment="1">
      <alignment horizontal="center" vertical="center" wrapText="1"/>
    </xf>
    <xf numFmtId="0" fontId="2" fillId="6" borderId="7" xfId="2" applyFont="1" applyFill="1" applyBorder="1" applyAlignment="1">
      <alignment horizontal="left" wrapText="1"/>
    </xf>
    <xf numFmtId="0" fontId="1" fillId="0" borderId="0" xfId="7" applyAlignment="1"/>
    <xf numFmtId="0" fontId="8" fillId="3" borderId="3" xfId="2" applyFont="1" applyFill="1" applyBorder="1" applyAlignment="1">
      <alignment horizontal="center" vertical="center" wrapText="1" readingOrder="1"/>
    </xf>
    <xf numFmtId="0" fontId="8" fillId="3" borderId="4" xfId="2" applyFont="1" applyFill="1" applyBorder="1" applyAlignment="1">
      <alignment horizontal="center" vertical="center" wrapText="1" readingOrder="1"/>
    </xf>
    <xf numFmtId="0" fontId="8" fillId="3" borderId="4" xfId="2" applyFont="1" applyFill="1" applyBorder="1" applyAlignment="1">
      <alignment horizontal="left" vertical="center" wrapText="1" readingOrder="1"/>
    </xf>
    <xf numFmtId="0" fontId="8" fillId="3" borderId="4" xfId="2" applyFont="1" applyFill="1" applyBorder="1" applyAlignment="1">
      <alignment horizontal="left" vertical="top" wrapText="1"/>
    </xf>
    <xf numFmtId="0" fontId="6" fillId="4" borderId="5" xfId="2" applyFont="1" applyFill="1" applyBorder="1" applyAlignment="1">
      <alignment horizontal="center" vertical="center" wrapText="1"/>
    </xf>
    <xf numFmtId="0" fontId="6" fillId="4" borderId="5" xfId="2" applyFont="1" applyFill="1" applyBorder="1" applyAlignment="1">
      <alignment horizontal="left" vertical="center" wrapText="1"/>
    </xf>
    <xf numFmtId="0" fontId="6" fillId="4" borderId="5" xfId="2" applyFont="1" applyFill="1" applyBorder="1" applyAlignment="1">
      <alignment horizontal="left" vertical="top"/>
    </xf>
    <xf numFmtId="0" fontId="6" fillId="4" borderId="7" xfId="2" applyFont="1" applyFill="1" applyBorder="1" applyAlignment="1">
      <alignment horizontal="center" vertical="center" wrapText="1"/>
    </xf>
    <xf numFmtId="0" fontId="6" fillId="4" borderId="7" xfId="2" applyFont="1" applyFill="1" applyBorder="1" applyAlignment="1">
      <alignment horizontal="left" vertical="center" wrapText="1"/>
    </xf>
    <xf numFmtId="0" fontId="6" fillId="4" borderId="7" xfId="2" applyFont="1" applyFill="1" applyBorder="1" applyAlignment="1">
      <alignment horizontal="left" vertical="top"/>
    </xf>
    <xf numFmtId="0" fontId="6" fillId="4" borderId="9" xfId="2" applyFont="1" applyFill="1" applyBorder="1" applyAlignment="1">
      <alignment horizontal="center" vertical="center" wrapText="1"/>
    </xf>
    <xf numFmtId="0" fontId="6" fillId="4" borderId="9" xfId="2" applyFont="1" applyFill="1" applyBorder="1" applyAlignment="1">
      <alignment horizontal="center" vertical="center"/>
    </xf>
    <xf numFmtId="1" fontId="2" fillId="5" borderId="7" xfId="2" applyNumberFormat="1" applyFont="1" applyFill="1" applyBorder="1" applyAlignment="1" applyProtection="1">
      <alignment horizontal="left" vertical="center" readingOrder="1"/>
    </xf>
    <xf numFmtId="0" fontId="2" fillId="5" borderId="7" xfId="2" applyFont="1" applyFill="1" applyBorder="1" applyAlignment="1">
      <alignment horizontal="left" vertical="top"/>
    </xf>
    <xf numFmtId="0" fontId="2" fillId="5" borderId="7" xfId="2" applyFont="1" applyFill="1" applyBorder="1" applyAlignment="1">
      <alignment horizontal="left" vertical="top" wrapText="1"/>
    </xf>
    <xf numFmtId="0" fontId="2" fillId="6" borderId="2" xfId="2" applyFont="1" applyFill="1" applyBorder="1" applyAlignment="1">
      <alignment horizontal="left" vertical="center" readingOrder="1"/>
    </xf>
    <xf numFmtId="0" fontId="2" fillId="6" borderId="2" xfId="2" applyFont="1" applyFill="1" applyBorder="1" applyAlignment="1">
      <alignment horizontal="left" vertical="top" wrapText="1"/>
    </xf>
    <xf numFmtId="0" fontId="2" fillId="6" borderId="7" xfId="2" applyFont="1" applyFill="1" applyBorder="1" applyAlignment="1">
      <alignment horizontal="left" vertical="top"/>
    </xf>
    <xf numFmtId="14" fontId="6" fillId="6" borderId="7" xfId="2" applyNumberFormat="1" applyFont="1" applyFill="1" applyBorder="1" applyAlignment="1">
      <alignment horizontal="left" vertical="center"/>
    </xf>
    <xf numFmtId="14" fontId="6" fillId="6" borderId="7" xfId="2" applyNumberFormat="1" applyFont="1" applyFill="1" applyBorder="1" applyAlignment="1">
      <alignment horizontal="left" vertical="top" wrapText="1"/>
    </xf>
    <xf numFmtId="0" fontId="6" fillId="6" borderId="7" xfId="2" applyFont="1" applyFill="1" applyBorder="1" applyAlignment="1">
      <alignment horizontal="left" vertical="top"/>
    </xf>
    <xf numFmtId="0" fontId="2" fillId="4" borderId="2" xfId="2" applyFont="1" applyFill="1" applyBorder="1" applyAlignment="1">
      <alignment horizontal="left" vertical="center" readingOrder="1"/>
    </xf>
    <xf numFmtId="0" fontId="2" fillId="4" borderId="2" xfId="2" applyFont="1" applyFill="1" applyBorder="1" applyAlignment="1">
      <alignment horizontal="left" vertical="top" wrapText="1"/>
    </xf>
    <xf numFmtId="0" fontId="2" fillId="4" borderId="7" xfId="2" applyFont="1" applyFill="1" applyBorder="1" applyAlignment="1">
      <alignment horizontal="left" vertical="center" readingOrder="1"/>
    </xf>
    <xf numFmtId="0" fontId="2" fillId="4" borderId="7" xfId="2" applyFont="1" applyFill="1" applyBorder="1" applyAlignment="1">
      <alignment horizontal="left" vertical="top"/>
    </xf>
    <xf numFmtId="0" fontId="2" fillId="5" borderId="7" xfId="2" applyFont="1" applyFill="1" applyBorder="1" applyAlignment="1">
      <alignment horizontal="left" vertical="center" readingOrder="1"/>
    </xf>
    <xf numFmtId="0" fontId="6" fillId="5" borderId="7" xfId="2" applyFont="1" applyFill="1" applyBorder="1" applyAlignment="1">
      <alignment horizontal="center" vertical="center" wrapText="1"/>
    </xf>
    <xf numFmtId="0" fontId="6" fillId="5" borderId="9" xfId="2" applyFont="1" applyFill="1" applyBorder="1" applyAlignment="1">
      <alignment horizontal="center" vertical="center" wrapText="1"/>
    </xf>
    <xf numFmtId="0" fontId="6" fillId="5" borderId="7" xfId="2" applyFont="1" applyFill="1" applyBorder="1" applyAlignment="1">
      <alignment horizontal="left" vertical="top" wrapText="1"/>
    </xf>
    <xf numFmtId="14" fontId="6" fillId="0" borderId="7" xfId="2" applyNumberFormat="1" applyFont="1" applyFill="1" applyBorder="1" applyAlignment="1">
      <alignment horizontal="center" vertical="center"/>
    </xf>
    <xf numFmtId="0" fontId="2" fillId="4" borderId="2" xfId="2" applyFont="1" applyFill="1" applyBorder="1" applyAlignment="1">
      <alignment horizontal="left" vertical="top"/>
    </xf>
    <xf numFmtId="0" fontId="6" fillId="4" borderId="8" xfId="2" applyFont="1" applyFill="1" applyBorder="1" applyAlignment="1">
      <alignment horizontal="center" vertical="center" wrapText="1"/>
    </xf>
    <xf numFmtId="0" fontId="2" fillId="4" borderId="7" xfId="2" applyFont="1" applyFill="1" applyBorder="1" applyAlignment="1">
      <alignment horizontal="left" vertical="top" wrapText="1"/>
    </xf>
    <xf numFmtId="0" fontId="6" fillId="4" borderId="7" xfId="2" applyFont="1" applyFill="1" applyBorder="1" applyAlignment="1">
      <alignment horizontal="left" vertical="top" wrapText="1"/>
    </xf>
    <xf numFmtId="0" fontId="2" fillId="2" borderId="2" xfId="4" applyFont="1" applyFill="1" applyBorder="1" applyAlignment="1"/>
    <xf numFmtId="0" fontId="8" fillId="3" borderId="11" xfId="2" applyFont="1" applyFill="1" applyBorder="1" applyAlignment="1">
      <alignment horizontal="center" vertical="center" wrapText="1" readingOrder="1"/>
    </xf>
    <xf numFmtId="0" fontId="2" fillId="5" borderId="7" xfId="2" applyFont="1" applyFill="1" applyBorder="1" applyAlignment="1">
      <alignment horizontal="center" vertical="center" readingOrder="1"/>
    </xf>
    <xf numFmtId="1" fontId="2" fillId="5" borderId="7" xfId="2" applyNumberFormat="1" applyFont="1" applyFill="1" applyBorder="1" applyAlignment="1">
      <alignment horizontal="center" vertical="center" readingOrder="1"/>
    </xf>
    <xf numFmtId="1" fontId="2" fillId="6" borderId="7" xfId="2" applyNumberFormat="1" applyFont="1" applyFill="1" applyBorder="1" applyAlignment="1">
      <alignment horizontal="center" vertical="center" readingOrder="1"/>
    </xf>
    <xf numFmtId="14" fontId="6" fillId="6" borderId="7" xfId="2" applyNumberFormat="1" applyFont="1" applyFill="1" applyBorder="1" applyAlignment="1">
      <alignment vertical="center"/>
    </xf>
    <xf numFmtId="0" fontId="6" fillId="6" borderId="7" xfId="2" applyFont="1" applyFill="1" applyBorder="1" applyAlignment="1">
      <alignment vertical="center" wrapText="1"/>
    </xf>
    <xf numFmtId="0" fontId="2" fillId="4" borderId="2" xfId="2" applyFont="1" applyFill="1" applyBorder="1" applyAlignment="1">
      <alignment horizontal="center" vertical="center" readingOrder="1"/>
    </xf>
    <xf numFmtId="0" fontId="2" fillId="4" borderId="7" xfId="2" applyFont="1" applyFill="1" applyBorder="1" applyAlignment="1">
      <alignment horizontal="center" vertical="center" readingOrder="1"/>
    </xf>
    <xf numFmtId="1" fontId="1" fillId="0" borderId="0" xfId="5" applyNumberFormat="1" applyAlignment="1"/>
    <xf numFmtId="43" fontId="0" fillId="0" borderId="0" xfId="1" applyFont="1" applyAlignment="1"/>
    <xf numFmtId="49" fontId="1" fillId="0" borderId="0" xfId="5" applyNumberFormat="1" applyAlignment="1"/>
    <xf numFmtId="0" fontId="1" fillId="0" borderId="0" xfId="5" applyNumberFormat="1" applyAlignment="1"/>
    <xf numFmtId="0" fontId="6" fillId="6" borderId="7" xfId="2" applyNumberFormat="1" applyFont="1" applyFill="1" applyBorder="1" applyAlignment="1">
      <alignment horizontal="left" vertical="center"/>
    </xf>
    <xf numFmtId="0" fontId="1" fillId="0" borderId="0" xfId="5" applyAlignment="1">
      <alignment vertical="top"/>
    </xf>
    <xf numFmtId="2" fontId="6" fillId="6" borderId="7" xfId="2" applyNumberFormat="1" applyFont="1" applyFill="1" applyBorder="1" applyAlignment="1">
      <alignment horizontal="left" vertical="center" wrapText="1"/>
    </xf>
    <xf numFmtId="0" fontId="1" fillId="0" borderId="0" xfId="5" applyAlignment="1">
      <alignment horizontal="center" vertical="top"/>
    </xf>
    <xf numFmtId="49" fontId="6" fillId="6" borderId="7" xfId="1" applyNumberFormat="1" applyFont="1" applyFill="1" applyBorder="1" applyAlignment="1">
      <alignment horizontal="left" vertical="center" wrapText="1"/>
    </xf>
    <xf numFmtId="0" fontId="6" fillId="6" borderId="7" xfId="2" applyFont="1" applyFill="1" applyBorder="1" applyAlignment="1">
      <alignment horizontal="left" vertical="top" wrapText="1"/>
    </xf>
    <xf numFmtId="14" fontId="6" fillId="4" borderId="7" xfId="2" applyNumberFormat="1" applyFont="1" applyFill="1" applyBorder="1" applyAlignment="1">
      <alignment horizontal="left" vertical="center" wrapText="1" readingOrder="1"/>
    </xf>
    <xf numFmtId="14" fontId="6" fillId="4" borderId="7" xfId="2" applyNumberFormat="1" applyFont="1" applyFill="1" applyBorder="1" applyAlignment="1">
      <alignment horizontal="left" vertical="top" wrapText="1"/>
    </xf>
    <xf numFmtId="14" fontId="6" fillId="4" borderId="7" xfId="2" applyNumberFormat="1" applyFont="1" applyFill="1" applyBorder="1" applyAlignment="1">
      <alignment horizontal="left" vertical="center" wrapText="1"/>
    </xf>
    <xf numFmtId="0" fontId="6" fillId="6" borderId="7" xfId="2" applyNumberFormat="1" applyFont="1" applyFill="1" applyBorder="1" applyAlignment="1">
      <alignment horizontal="left" vertical="center" wrapText="1" readingOrder="1"/>
    </xf>
    <xf numFmtId="0" fontId="6" fillId="4" borderId="7" xfId="2" applyNumberFormat="1" applyFont="1" applyFill="1" applyBorder="1" applyAlignment="1">
      <alignment horizontal="left" vertical="center" wrapText="1" readingOrder="1"/>
    </xf>
    <xf numFmtId="0" fontId="6" fillId="4" borderId="7" xfId="2" applyFont="1" applyFill="1" applyBorder="1" applyAlignment="1">
      <alignment horizontal="center" wrapText="1"/>
    </xf>
    <xf numFmtId="0" fontId="6" fillId="4" borderId="7" xfId="2" applyFont="1" applyFill="1" applyBorder="1" applyAlignment="1">
      <alignment horizontal="left" readingOrder="1"/>
    </xf>
    <xf numFmtId="0" fontId="6" fillId="5" borderId="7" xfId="2" applyFont="1" applyFill="1" applyBorder="1" applyAlignment="1">
      <alignment horizontal="left" readingOrder="1"/>
    </xf>
    <xf numFmtId="0" fontId="6" fillId="6" borderId="7" xfId="2" applyNumberFormat="1" applyFont="1" applyFill="1" applyBorder="1" applyAlignment="1">
      <alignment horizontal="left" vertical="center" wrapText="1"/>
    </xf>
    <xf numFmtId="0" fontId="6" fillId="6" borderId="7" xfId="2" applyFont="1" applyFill="1" applyBorder="1" applyAlignment="1">
      <alignment horizontal="left" vertical="center" wrapText="1" readingOrder="1"/>
    </xf>
    <xf numFmtId="0" fontId="1" fillId="13" borderId="7" xfId="7" applyFill="1" applyBorder="1" applyAlignment="1"/>
    <xf numFmtId="14" fontId="6" fillId="13" borderId="7" xfId="2" applyNumberFormat="1" applyFont="1" applyFill="1" applyBorder="1" applyAlignment="1">
      <alignment horizontal="left" vertical="center"/>
    </xf>
    <xf numFmtId="14" fontId="6" fillId="13" borderId="7" xfId="2" applyNumberFormat="1" applyFont="1" applyFill="1" applyBorder="1" applyAlignment="1">
      <alignment horizontal="left" vertical="center" wrapText="1" readingOrder="1"/>
    </xf>
    <xf numFmtId="0" fontId="6" fillId="13" borderId="7" xfId="2" applyFont="1" applyFill="1" applyBorder="1" applyAlignment="1">
      <alignment horizontal="left" vertical="center" wrapText="1"/>
    </xf>
    <xf numFmtId="0" fontId="6" fillId="13" borderId="7" xfId="2" applyFont="1" applyFill="1" applyBorder="1" applyAlignment="1">
      <alignment horizontal="left" vertical="center" readingOrder="1"/>
    </xf>
    <xf numFmtId="0" fontId="6" fillId="5" borderId="9" xfId="2" applyFont="1" applyFill="1" applyBorder="1" applyAlignment="1">
      <alignment vertical="center" wrapText="1"/>
    </xf>
    <xf numFmtId="0" fontId="2" fillId="5" borderId="7" xfId="2" applyFont="1" applyFill="1" applyBorder="1" applyAlignment="1">
      <alignment horizontal="center" vertical="center" wrapText="1" readingOrder="1"/>
    </xf>
    <xf numFmtId="0" fontId="6" fillId="5" borderId="8" xfId="2" applyFont="1" applyFill="1" applyBorder="1" applyAlignment="1">
      <alignment vertical="center" wrapText="1"/>
    </xf>
    <xf numFmtId="0" fontId="2" fillId="5" borderId="7" xfId="2" applyFont="1" applyFill="1" applyBorder="1" applyAlignment="1">
      <alignment horizontal="left" vertical="center" wrapText="1" readingOrder="1"/>
    </xf>
    <xf numFmtId="0" fontId="6" fillId="5" borderId="7" xfId="2" applyFont="1" applyFill="1" applyBorder="1" applyAlignment="1">
      <alignment vertical="center" wrapText="1"/>
    </xf>
    <xf numFmtId="0" fontId="6" fillId="13" borderId="7" xfId="2" applyFont="1" applyFill="1" applyBorder="1" applyAlignment="1">
      <alignment vertical="center" wrapText="1"/>
    </xf>
    <xf numFmtId="14" fontId="6" fillId="13" borderId="7" xfId="2" applyNumberFormat="1" applyFont="1" applyFill="1" applyBorder="1" applyAlignment="1">
      <alignment horizontal="left" vertical="center" wrapText="1"/>
    </xf>
    <xf numFmtId="14" fontId="6" fillId="13" borderId="7" xfId="2" applyNumberFormat="1" applyFont="1" applyFill="1" applyBorder="1" applyAlignment="1">
      <alignment vertical="center"/>
    </xf>
    <xf numFmtId="14" fontId="6" fillId="13" borderId="8" xfId="2" applyNumberFormat="1" applyFont="1" applyFill="1" applyBorder="1" applyAlignment="1">
      <alignment horizontal="center" vertical="center"/>
    </xf>
    <xf numFmtId="14" fontId="6" fillId="13" borderId="5" xfId="2" applyNumberFormat="1" applyFont="1" applyFill="1" applyBorder="1" applyAlignment="1">
      <alignment horizontal="center" vertical="center"/>
    </xf>
    <xf numFmtId="0" fontId="6" fillId="4" borderId="5" xfId="2" applyFont="1" applyFill="1" applyBorder="1" applyAlignment="1">
      <alignment horizontal="left" vertical="center" readingOrder="1"/>
    </xf>
    <xf numFmtId="0" fontId="6" fillId="4" borderId="7" xfId="2" applyFont="1" applyFill="1" applyBorder="1" applyAlignment="1">
      <alignment horizontal="left" vertical="center" readingOrder="1"/>
    </xf>
    <xf numFmtId="0" fontId="6" fillId="4" borderId="7" xfId="2" applyFont="1" applyFill="1" applyBorder="1" applyAlignment="1">
      <alignment horizontal="left" vertical="center" wrapText="1" readingOrder="1"/>
    </xf>
    <xf numFmtId="0" fontId="6" fillId="5" borderId="7" xfId="2" applyFont="1" applyFill="1" applyBorder="1" applyAlignment="1">
      <alignment horizontal="left" wrapText="1" readingOrder="1"/>
    </xf>
    <xf numFmtId="0" fontId="6" fillId="5" borderId="7" xfId="2" applyFont="1" applyFill="1" applyBorder="1" applyAlignment="1">
      <alignment horizontal="left" vertical="center" readingOrder="1"/>
    </xf>
    <xf numFmtId="0" fontId="6" fillId="5" borderId="7" xfId="2" applyFont="1" applyFill="1" applyBorder="1" applyAlignment="1">
      <alignment horizontal="left" vertical="center" wrapText="1" readingOrder="1"/>
    </xf>
    <xf numFmtId="0" fontId="6" fillId="4" borderId="5" xfId="2" applyFont="1" applyFill="1" applyBorder="1" applyAlignment="1">
      <alignment horizontal="left" readingOrder="1"/>
    </xf>
    <xf numFmtId="0" fontId="1" fillId="7" borderId="7" xfId="7" applyFill="1" applyBorder="1" applyAlignment="1"/>
    <xf numFmtId="0" fontId="6" fillId="4" borderId="7" xfId="2" quotePrefix="1" applyFont="1" applyFill="1" applyBorder="1" applyAlignment="1">
      <alignment horizontal="left" vertical="center" wrapText="1"/>
    </xf>
    <xf numFmtId="14" fontId="6" fillId="14" borderId="7" xfId="2" applyNumberFormat="1" applyFont="1" applyFill="1" applyBorder="1" applyAlignment="1">
      <alignment horizontal="left" vertical="center" wrapText="1" readingOrder="1"/>
    </xf>
    <xf numFmtId="14" fontId="6" fillId="14" borderId="7" xfId="2" applyNumberFormat="1" applyFont="1" applyFill="1" applyBorder="1" applyAlignment="1">
      <alignment horizontal="left" vertical="center" wrapText="1"/>
    </xf>
    <xf numFmtId="0" fontId="6" fillId="4" borderId="5" xfId="2" applyFont="1" applyFill="1" applyBorder="1" applyAlignment="1">
      <alignment horizontal="center" vertical="center" wrapText="1"/>
    </xf>
    <xf numFmtId="0" fontId="6" fillId="4" borderId="7" xfId="2" applyFont="1" applyFill="1" applyBorder="1" applyAlignment="1">
      <alignment horizontal="center" vertical="center" wrapText="1"/>
    </xf>
    <xf numFmtId="0" fontId="6" fillId="5" borderId="7" xfId="2" applyFont="1" applyFill="1" applyBorder="1" applyAlignment="1">
      <alignment horizontal="center" vertical="center" wrapText="1"/>
    </xf>
    <xf numFmtId="0" fontId="6" fillId="6" borderId="7" xfId="2" applyFont="1" applyFill="1" applyBorder="1" applyAlignment="1">
      <alignment horizontal="center" vertical="center" wrapText="1"/>
    </xf>
    <xf numFmtId="0" fontId="6" fillId="6" borderId="9" xfId="2" applyFont="1" applyFill="1" applyBorder="1" applyAlignment="1">
      <alignment horizontal="center" vertical="center" wrapText="1"/>
    </xf>
    <xf numFmtId="0" fontId="6" fillId="5" borderId="9" xfId="2" applyFont="1" applyFill="1" applyBorder="1" applyAlignment="1">
      <alignment horizontal="center" vertical="center" wrapText="1"/>
    </xf>
    <xf numFmtId="0" fontId="6" fillId="5" borderId="8" xfId="2" applyFont="1" applyFill="1" applyBorder="1" applyAlignment="1">
      <alignment horizontal="center" vertical="center" wrapText="1"/>
    </xf>
    <xf numFmtId="0" fontId="6" fillId="4" borderId="8" xfId="2" applyFont="1" applyFill="1" applyBorder="1" applyAlignment="1">
      <alignment horizontal="center" vertical="center" wrapText="1"/>
    </xf>
    <xf numFmtId="0" fontId="6" fillId="6" borderId="8" xfId="2" applyNumberFormat="1" applyFont="1" applyFill="1" applyBorder="1" applyAlignment="1">
      <alignment horizontal="center" vertical="center"/>
    </xf>
    <xf numFmtId="14" fontId="19" fillId="6" borderId="5" xfId="2" applyNumberFormat="1" applyFont="1" applyFill="1" applyBorder="1" applyAlignment="1">
      <alignment horizontal="left" vertical="center" wrapText="1" readingOrder="1"/>
    </xf>
    <xf numFmtId="0" fontId="6" fillId="2" borderId="2" xfId="4" applyFont="1" applyFill="1" applyBorder="1" applyAlignment="1">
      <alignment horizontal="center" vertical="center"/>
    </xf>
    <xf numFmtId="0" fontId="6" fillId="2" borderId="10" xfId="4" applyFont="1" applyFill="1" applyBorder="1" applyAlignment="1"/>
    <xf numFmtId="0" fontId="20" fillId="0" borderId="0" xfId="0" applyFont="1" applyAlignment="1"/>
    <xf numFmtId="164" fontId="8" fillId="3" borderId="3" xfId="2" applyNumberFormat="1" applyFont="1" applyFill="1" applyBorder="1" applyAlignment="1">
      <alignment horizontal="center" vertical="center" wrapText="1" readingOrder="1"/>
    </xf>
    <xf numFmtId="0" fontId="8" fillId="3" borderId="4" xfId="2" applyFont="1" applyFill="1" applyBorder="1" applyAlignment="1">
      <alignment horizontal="left" vertical="center" wrapText="1"/>
    </xf>
    <xf numFmtId="0" fontId="6" fillId="4" borderId="7" xfId="2" applyFont="1" applyFill="1" applyBorder="1" applyAlignment="1">
      <alignment horizontal="left" wrapText="1"/>
    </xf>
    <xf numFmtId="0" fontId="20" fillId="7" borderId="7" xfId="7" applyFont="1" applyFill="1" applyBorder="1" applyAlignment="1">
      <alignment vertical="center" wrapText="1"/>
    </xf>
    <xf numFmtId="0" fontId="20" fillId="7" borderId="7" xfId="7" applyFont="1" applyFill="1" applyBorder="1" applyAlignment="1">
      <alignment horizontal="left" wrapText="1"/>
    </xf>
    <xf numFmtId="0" fontId="20" fillId="7" borderId="7" xfId="7" applyFont="1" applyFill="1" applyBorder="1" applyAlignment="1">
      <alignment horizontal="center" vertical="center"/>
    </xf>
    <xf numFmtId="0" fontId="20" fillId="7" borderId="7" xfId="7" applyFont="1" applyFill="1" applyBorder="1" applyAlignment="1">
      <alignment wrapText="1"/>
    </xf>
    <xf numFmtId="0" fontId="20" fillId="8" borderId="0" xfId="7" applyFont="1" applyFill="1" applyAlignment="1">
      <alignment horizontal="center" vertical="center"/>
    </xf>
    <xf numFmtId="0" fontId="20" fillId="7" borderId="7" xfId="7" applyFont="1" applyFill="1" applyBorder="1" applyAlignment="1">
      <alignment horizontal="left" vertical="center" wrapText="1"/>
    </xf>
    <xf numFmtId="0" fontId="20" fillId="6" borderId="7" xfId="7" applyFont="1" applyFill="1" applyBorder="1" applyAlignment="1">
      <alignment horizontal="center" wrapText="1"/>
    </xf>
    <xf numFmtId="0" fontId="20" fillId="6" borderId="7" xfId="7" applyFont="1" applyFill="1" applyBorder="1" applyAlignment="1">
      <alignment wrapText="1"/>
    </xf>
    <xf numFmtId="0" fontId="20" fillId="6" borderId="7" xfId="7" applyFont="1" applyFill="1" applyBorder="1" applyAlignment="1">
      <alignment horizontal="left" wrapText="1"/>
    </xf>
    <xf numFmtId="0" fontId="20" fillId="6" borderId="0" xfId="7" applyFont="1" applyFill="1" applyAlignment="1">
      <alignment horizontal="center" vertical="center"/>
    </xf>
    <xf numFmtId="0" fontId="21" fillId="6" borderId="7" xfId="2" applyFont="1" applyFill="1" applyBorder="1" applyAlignment="1">
      <alignment horizontal="left" vertical="center" wrapText="1"/>
    </xf>
    <xf numFmtId="0" fontId="6" fillId="6" borderId="7" xfId="2" applyNumberFormat="1" applyFont="1" applyFill="1" applyBorder="1" applyAlignment="1">
      <alignment horizontal="center" vertical="center"/>
    </xf>
    <xf numFmtId="0" fontId="6" fillId="4" borderId="5" xfId="2" applyFont="1" applyFill="1" applyBorder="1" applyAlignment="1">
      <alignment horizontal="left" wrapText="1"/>
    </xf>
    <xf numFmtId="0" fontId="20" fillId="9" borderId="7" xfId="7" applyFont="1" applyFill="1" applyBorder="1" applyAlignment="1">
      <alignment vertical="center" wrapText="1"/>
    </xf>
    <xf numFmtId="0" fontId="20" fillId="10" borderId="7" xfId="7" applyFont="1" applyFill="1" applyBorder="1" applyAlignment="1">
      <alignment horizontal="center" vertical="center"/>
    </xf>
    <xf numFmtId="0" fontId="20" fillId="7" borderId="7" xfId="7" quotePrefix="1" applyFont="1" applyFill="1" applyBorder="1" applyAlignment="1">
      <alignment wrapText="1"/>
    </xf>
    <xf numFmtId="14" fontId="6" fillId="6" borderId="7" xfId="2" applyNumberFormat="1" applyFont="1" applyFill="1" applyBorder="1" applyAlignment="1">
      <alignment horizontal="center" vertical="center"/>
    </xf>
    <xf numFmtId="0" fontId="6" fillId="6" borderId="5" xfId="2" applyFont="1" applyFill="1" applyBorder="1" applyAlignment="1">
      <alignment horizontal="left" wrapText="1"/>
    </xf>
    <xf numFmtId="0" fontId="6" fillId="6" borderId="5" xfId="2" applyFont="1" applyFill="1" applyBorder="1" applyAlignment="1">
      <alignment horizontal="left" vertical="center" wrapText="1"/>
    </xf>
    <xf numFmtId="0" fontId="20" fillId="4" borderId="7" xfId="2" applyFont="1" applyFill="1" applyBorder="1" applyAlignment="1">
      <alignment wrapText="1"/>
    </xf>
    <xf numFmtId="14" fontId="20" fillId="6" borderId="7" xfId="2" applyNumberFormat="1" applyFont="1" applyFill="1" applyBorder="1" applyAlignment="1">
      <alignment horizontal="left" vertical="center" wrapText="1"/>
    </xf>
    <xf numFmtId="0" fontId="20" fillId="11" borderId="7" xfId="7" applyFont="1" applyFill="1" applyBorder="1" applyAlignment="1">
      <alignment vertical="center" wrapText="1"/>
    </xf>
    <xf numFmtId="0" fontId="20" fillId="11" borderId="7" xfId="7" applyFont="1" applyFill="1" applyBorder="1" applyAlignment="1">
      <alignment wrapText="1"/>
    </xf>
    <xf numFmtId="0" fontId="20" fillId="11" borderId="7" xfId="7" applyFont="1" applyFill="1" applyBorder="1" applyAlignment="1">
      <alignment horizontal="center" vertical="center"/>
    </xf>
    <xf numFmtId="0" fontId="20" fillId="11" borderId="9" xfId="7" applyFont="1" applyFill="1" applyBorder="1" applyAlignment="1">
      <alignment horizontal="center" vertical="center"/>
    </xf>
    <xf numFmtId="14" fontId="24" fillId="6" borderId="7" xfId="2" applyNumberFormat="1" applyFont="1" applyFill="1" applyBorder="1" applyAlignment="1">
      <alignment horizontal="left" vertical="center" wrapText="1"/>
    </xf>
    <xf numFmtId="0" fontId="20" fillId="0" borderId="0" xfId="7" applyFont="1" applyAlignment="1">
      <alignment horizontal="center" vertical="center"/>
    </xf>
    <xf numFmtId="0" fontId="6" fillId="4" borderId="5" xfId="2" quotePrefix="1" applyFont="1" applyFill="1" applyBorder="1" applyAlignment="1">
      <alignment horizontal="left" wrapText="1"/>
    </xf>
    <xf numFmtId="0" fontId="6" fillId="4" borderId="5" xfId="2" quotePrefix="1" applyFont="1" applyFill="1" applyBorder="1" applyAlignment="1">
      <alignment horizontal="left" vertical="center" wrapText="1"/>
    </xf>
    <xf numFmtId="0" fontId="6" fillId="7" borderId="7" xfId="7" applyFont="1" applyFill="1" applyBorder="1" applyAlignment="1">
      <alignment wrapText="1"/>
    </xf>
    <xf numFmtId="14" fontId="25" fillId="6" borderId="7" xfId="2" applyNumberFormat="1" applyFont="1" applyFill="1" applyBorder="1" applyAlignment="1">
      <alignment horizontal="left" vertical="center" wrapText="1"/>
    </xf>
    <xf numFmtId="164" fontId="6" fillId="0" borderId="5" xfId="2" applyNumberFormat="1" applyFont="1" applyFill="1" applyBorder="1" applyAlignment="1">
      <alignment horizontal="center" vertical="center"/>
    </xf>
    <xf numFmtId="14" fontId="20" fillId="14" borderId="7" xfId="2" applyNumberFormat="1" applyFont="1" applyFill="1" applyBorder="1" applyAlignment="1">
      <alignment horizontal="left" vertical="center" wrapText="1"/>
    </xf>
    <xf numFmtId="0" fontId="6" fillId="14" borderId="7" xfId="2" applyNumberFormat="1" applyFont="1" applyFill="1" applyBorder="1" applyAlignment="1">
      <alignment horizontal="center" vertical="center"/>
    </xf>
    <xf numFmtId="0" fontId="20" fillId="4" borderId="7" xfId="7" applyFont="1" applyFill="1" applyBorder="1" applyAlignment="1">
      <alignment horizontal="center" vertical="center"/>
    </xf>
    <xf numFmtId="0" fontId="6" fillId="4" borderId="9" xfId="2" applyFont="1" applyFill="1" applyBorder="1" applyAlignment="1">
      <alignment horizontal="left" vertical="center" wrapText="1"/>
    </xf>
    <xf numFmtId="0" fontId="6" fillId="4" borderId="0" xfId="2" applyFont="1" applyFill="1" applyBorder="1" applyAlignment="1">
      <alignment horizontal="center" vertical="center" wrapText="1"/>
    </xf>
    <xf numFmtId="0" fontId="20" fillId="4" borderId="7" xfId="7" applyFont="1" applyFill="1" applyBorder="1" applyAlignment="1">
      <alignment horizontal="left" vertical="center"/>
    </xf>
    <xf numFmtId="0" fontId="6" fillId="7" borderId="7" xfId="7" applyFont="1" applyFill="1" applyBorder="1" applyAlignment="1">
      <alignment horizontal="center" vertical="center"/>
    </xf>
    <xf numFmtId="0" fontId="6" fillId="7" borderId="7" xfId="7" applyFont="1" applyFill="1" applyBorder="1" applyAlignment="1">
      <alignment horizontal="left" vertical="center" wrapText="1"/>
    </xf>
    <xf numFmtId="0" fontId="6" fillId="6" borderId="9" xfId="2" applyFont="1" applyFill="1" applyBorder="1" applyAlignment="1">
      <alignment horizontal="left" vertical="top" wrapText="1"/>
    </xf>
    <xf numFmtId="0" fontId="6" fillId="6" borderId="9" xfId="2" applyFont="1" applyFill="1" applyBorder="1" applyAlignment="1">
      <alignment horizontal="left" vertical="top"/>
    </xf>
    <xf numFmtId="0" fontId="6" fillId="4" borderId="2" xfId="2" applyFont="1" applyFill="1" applyBorder="1" applyAlignment="1">
      <alignment horizontal="left" vertical="center" wrapText="1"/>
    </xf>
    <xf numFmtId="0" fontId="6" fillId="4" borderId="2" xfId="2" applyFont="1" applyFill="1" applyBorder="1" applyAlignment="1">
      <alignment horizontal="center" vertical="center" wrapText="1"/>
    </xf>
    <xf numFmtId="0" fontId="6" fillId="2" borderId="7" xfId="2" applyFont="1" applyFill="1" applyBorder="1" applyAlignment="1">
      <alignment horizontal="left" vertical="center" wrapText="1"/>
    </xf>
    <xf numFmtId="0" fontId="6" fillId="2" borderId="7" xfId="2" applyFont="1" applyFill="1" applyBorder="1" applyAlignment="1">
      <alignment horizontal="center" vertical="center" wrapText="1"/>
    </xf>
    <xf numFmtId="0" fontId="6" fillId="2" borderId="4" xfId="2" applyFont="1" applyFill="1" applyBorder="1" applyAlignment="1">
      <alignment horizontal="left" vertical="center" wrapText="1"/>
    </xf>
    <xf numFmtId="0" fontId="6" fillId="2" borderId="4" xfId="2" applyFont="1" applyFill="1" applyBorder="1" applyAlignment="1">
      <alignment horizontal="center" vertical="center" wrapText="1"/>
    </xf>
    <xf numFmtId="0" fontId="20" fillId="7" borderId="5" xfId="7" applyFont="1" applyFill="1" applyBorder="1" applyAlignment="1">
      <alignment wrapText="1"/>
    </xf>
    <xf numFmtId="0" fontId="20" fillId="7" borderId="5" xfId="7" applyFont="1" applyFill="1" applyBorder="1" applyAlignment="1">
      <alignment horizontal="center" vertical="center"/>
    </xf>
    <xf numFmtId="0" fontId="6" fillId="4" borderId="24" xfId="2" applyFont="1" applyFill="1" applyBorder="1" applyAlignment="1">
      <alignment horizontal="center" vertical="center" wrapText="1"/>
    </xf>
    <xf numFmtId="0" fontId="6" fillId="12" borderId="7" xfId="2" applyFont="1" applyFill="1" applyBorder="1" applyAlignment="1">
      <alignment horizontal="left" vertical="center" wrapText="1"/>
    </xf>
    <xf numFmtId="0" fontId="6" fillId="12" borderId="13" xfId="2" applyFont="1" applyFill="1" applyBorder="1" applyAlignment="1">
      <alignment horizontal="left" vertical="center" wrapText="1"/>
    </xf>
    <xf numFmtId="0" fontId="6" fillId="12" borderId="7" xfId="2" applyFont="1" applyFill="1" applyBorder="1" applyAlignment="1">
      <alignment horizontal="center" vertical="center" wrapText="1"/>
    </xf>
    <xf numFmtId="14" fontId="6" fillId="12" borderId="7" xfId="2" applyNumberFormat="1" applyFont="1" applyFill="1" applyBorder="1" applyAlignment="1">
      <alignment horizontal="left" vertical="center" wrapText="1"/>
    </xf>
    <xf numFmtId="0" fontId="6" fillId="12" borderId="7" xfId="2" applyNumberFormat="1" applyFont="1" applyFill="1" applyBorder="1" applyAlignment="1">
      <alignment horizontal="center" vertical="center"/>
    </xf>
    <xf numFmtId="0" fontId="6" fillId="12" borderId="4" xfId="2" applyFont="1" applyFill="1" applyBorder="1" applyAlignment="1">
      <alignment horizontal="left" vertical="center" wrapText="1"/>
    </xf>
    <xf numFmtId="14" fontId="6" fillId="12" borderId="4" xfId="2" applyNumberFormat="1" applyFont="1" applyFill="1" applyBorder="1" applyAlignment="1">
      <alignment horizontal="left" vertical="center" wrapText="1"/>
    </xf>
    <xf numFmtId="0" fontId="6" fillId="12" borderId="4" xfId="2" applyFont="1" applyFill="1" applyBorder="1" applyAlignment="1">
      <alignment horizontal="center" vertical="center" wrapText="1"/>
    </xf>
    <xf numFmtId="0" fontId="6" fillId="8" borderId="5" xfId="2" applyFont="1" applyFill="1" applyBorder="1" applyAlignment="1">
      <alignment horizontal="center" vertical="center" wrapText="1"/>
    </xf>
    <xf numFmtId="164" fontId="20" fillId="0" borderId="0" xfId="8" applyNumberFormat="1" applyFont="1" applyAlignment="1"/>
    <xf numFmtId="0" fontId="20" fillId="0" borderId="0" xfId="8" applyFont="1" applyAlignment="1">
      <alignment wrapText="1"/>
    </xf>
    <xf numFmtId="0" fontId="19" fillId="4" borderId="5" xfId="2" applyFont="1" applyFill="1" applyBorder="1" applyAlignment="1">
      <alignment horizontal="left" wrapText="1"/>
    </xf>
    <xf numFmtId="0" fontId="19" fillId="4" borderId="5" xfId="2" applyFont="1" applyFill="1" applyBorder="1" applyAlignment="1">
      <alignment horizontal="left" vertical="center" wrapText="1"/>
    </xf>
    <xf numFmtId="14" fontId="27" fillId="6" borderId="7" xfId="2" applyNumberFormat="1" applyFont="1" applyFill="1" applyBorder="1" applyAlignment="1">
      <alignment horizontal="left" vertical="center" wrapText="1" readingOrder="1"/>
    </xf>
    <xf numFmtId="0" fontId="6" fillId="4" borderId="8" xfId="2" applyFont="1" applyFill="1" applyBorder="1" applyAlignment="1">
      <alignment horizontal="center" vertical="center" wrapText="1"/>
    </xf>
    <xf numFmtId="0" fontId="6" fillId="4" borderId="7" xfId="2" applyFont="1" applyFill="1" applyBorder="1" applyAlignment="1">
      <alignment horizontal="center" vertical="center" wrapText="1"/>
    </xf>
    <xf numFmtId="0" fontId="6" fillId="6" borderId="7" xfId="2" applyFont="1" applyFill="1" applyBorder="1" applyAlignment="1">
      <alignment horizontal="center" vertical="center" wrapText="1"/>
    </xf>
    <xf numFmtId="0" fontId="6" fillId="6" borderId="8" xfId="2" applyNumberFormat="1" applyFont="1" applyFill="1" applyBorder="1" applyAlignment="1">
      <alignment horizontal="center" vertical="center"/>
    </xf>
    <xf numFmtId="0" fontId="27" fillId="7" borderId="7" xfId="7" applyFont="1" applyFill="1" applyBorder="1" applyAlignment="1">
      <alignment wrapText="1"/>
    </xf>
    <xf numFmtId="0" fontId="27" fillId="7" borderId="7" xfId="7" applyFont="1" applyFill="1" applyBorder="1" applyAlignment="1">
      <alignment horizontal="center" vertical="center"/>
    </xf>
    <xf numFmtId="0" fontId="27" fillId="7" borderId="7" xfId="7" applyFont="1" applyFill="1" applyBorder="1" applyAlignment="1">
      <alignment vertical="center" wrapText="1"/>
    </xf>
    <xf numFmtId="0" fontId="19" fillId="7" borderId="9" xfId="7" applyFont="1" applyFill="1" applyBorder="1" applyAlignment="1">
      <alignment wrapText="1"/>
    </xf>
    <xf numFmtId="0" fontId="19" fillId="7" borderId="5" xfId="7" applyFont="1" applyFill="1" applyBorder="1" applyAlignment="1">
      <alignment wrapText="1"/>
    </xf>
    <xf numFmtId="0" fontId="6" fillId="6" borderId="5" xfId="2" applyFont="1" applyFill="1" applyBorder="1" applyAlignment="1">
      <alignment horizontal="left" readingOrder="1"/>
    </xf>
    <xf numFmtId="0" fontId="24" fillId="6" borderId="5" xfId="2" applyFont="1" applyFill="1" applyBorder="1" applyAlignment="1">
      <alignment horizontal="left" vertical="center" readingOrder="1"/>
    </xf>
    <xf numFmtId="0" fontId="20" fillId="6" borderId="7" xfId="7" applyFont="1" applyFill="1" applyBorder="1" applyAlignment="1">
      <alignment horizontal="left" vertical="center" wrapText="1" readingOrder="1"/>
    </xf>
    <xf numFmtId="0" fontId="6" fillId="6" borderId="7" xfId="2" applyFont="1" applyFill="1" applyBorder="1" applyAlignment="1">
      <alignment horizontal="center" vertical="center" wrapText="1"/>
    </xf>
    <xf numFmtId="0" fontId="6" fillId="4" borderId="5" xfId="2" applyFont="1" applyFill="1" applyBorder="1" applyAlignment="1">
      <alignment horizontal="center" vertical="center" wrapText="1"/>
    </xf>
    <xf numFmtId="0" fontId="6" fillId="6" borderId="5" xfId="2" applyFont="1" applyFill="1" applyBorder="1" applyAlignment="1">
      <alignment horizontal="center" vertical="center" wrapText="1"/>
    </xf>
    <xf numFmtId="0" fontId="6" fillId="6" borderId="5" xfId="2" applyFont="1" applyFill="1" applyBorder="1" applyAlignment="1">
      <alignment horizontal="left" vertical="top" wrapText="1"/>
    </xf>
    <xf numFmtId="0" fontId="6" fillId="5" borderId="7" xfId="2" applyFont="1" applyFill="1" applyBorder="1" applyAlignment="1">
      <alignment horizontal="center" vertical="center" wrapText="1"/>
    </xf>
    <xf numFmtId="0" fontId="6" fillId="6" borderId="7" xfId="2" applyFont="1" applyFill="1" applyBorder="1" applyAlignment="1">
      <alignment horizontal="center" vertical="center" wrapText="1"/>
    </xf>
    <xf numFmtId="0" fontId="6" fillId="4" borderId="8" xfId="2" applyFont="1" applyFill="1" applyBorder="1" applyAlignment="1">
      <alignment horizontal="center" vertical="center" wrapText="1"/>
    </xf>
    <xf numFmtId="0" fontId="6" fillId="4" borderId="5" xfId="2" applyFont="1" applyFill="1" applyBorder="1" applyAlignment="1">
      <alignment horizontal="center" vertical="center" wrapText="1"/>
    </xf>
    <xf numFmtId="0" fontId="1" fillId="7" borderId="9" xfId="7" applyFill="1" applyBorder="1" applyAlignment="1">
      <alignment horizontal="center"/>
    </xf>
    <xf numFmtId="0" fontId="1" fillId="7" borderId="8" xfId="7" applyFill="1" applyBorder="1" applyAlignment="1">
      <alignment horizontal="center"/>
    </xf>
    <xf numFmtId="0" fontId="1" fillId="7" borderId="5" xfId="7" applyFill="1" applyBorder="1" applyAlignment="1">
      <alignment horizontal="center"/>
    </xf>
    <xf numFmtId="0" fontId="6" fillId="6" borderId="9" xfId="2" applyNumberFormat="1" applyFont="1" applyFill="1" applyBorder="1" applyAlignment="1">
      <alignment horizontal="center" vertical="center"/>
    </xf>
    <xf numFmtId="0" fontId="6" fillId="6" borderId="8" xfId="2" applyNumberFormat="1" applyFont="1" applyFill="1" applyBorder="1" applyAlignment="1">
      <alignment horizontal="center" vertical="center"/>
    </xf>
    <xf numFmtId="0" fontId="6" fillId="6" borderId="5" xfId="2" applyNumberFormat="1" applyFont="1" applyFill="1" applyBorder="1" applyAlignment="1">
      <alignment horizontal="center" vertical="center"/>
    </xf>
    <xf numFmtId="0" fontId="6" fillId="4" borderId="9" xfId="2" applyFont="1" applyFill="1" applyBorder="1" applyAlignment="1">
      <alignment horizontal="center" vertical="center" wrapText="1"/>
    </xf>
    <xf numFmtId="0" fontId="6" fillId="5" borderId="9" xfId="2" applyFont="1" applyFill="1" applyBorder="1" applyAlignment="1">
      <alignment horizontal="center" vertical="center" wrapText="1"/>
    </xf>
    <xf numFmtId="0" fontId="6" fillId="5" borderId="8" xfId="2" applyFont="1" applyFill="1" applyBorder="1" applyAlignment="1">
      <alignment horizontal="center" vertical="center" wrapText="1"/>
    </xf>
    <xf numFmtId="0" fontId="6" fillId="5" borderId="5" xfId="2" applyFont="1" applyFill="1" applyBorder="1" applyAlignment="1">
      <alignment horizontal="center" vertical="center" wrapText="1"/>
    </xf>
    <xf numFmtId="14" fontId="6" fillId="6" borderId="9" xfId="2" applyNumberFormat="1" applyFont="1" applyFill="1" applyBorder="1" applyAlignment="1">
      <alignment horizontal="center" vertical="center"/>
    </xf>
    <xf numFmtId="14" fontId="6" fillId="6" borderId="8" xfId="2" applyNumberFormat="1" applyFont="1" applyFill="1" applyBorder="1" applyAlignment="1">
      <alignment horizontal="center" vertical="center"/>
    </xf>
    <xf numFmtId="14" fontId="6" fillId="6" borderId="5" xfId="2" applyNumberFormat="1" applyFont="1" applyFill="1" applyBorder="1" applyAlignment="1">
      <alignment horizontal="center" vertical="center"/>
    </xf>
    <xf numFmtId="0" fontId="6" fillId="4" borderId="7" xfId="2" applyFont="1" applyFill="1" applyBorder="1" applyAlignment="1">
      <alignment horizontal="center" vertical="center"/>
    </xf>
    <xf numFmtId="0" fontId="6" fillId="4" borderId="5" xfId="2" applyFont="1" applyFill="1" applyBorder="1" applyAlignment="1">
      <alignment horizontal="center" vertical="center"/>
    </xf>
    <xf numFmtId="0" fontId="6" fillId="4" borderId="7" xfId="2" applyFont="1" applyFill="1" applyBorder="1" applyAlignment="1">
      <alignment horizontal="center" vertical="center" wrapText="1"/>
    </xf>
    <xf numFmtId="0" fontId="6" fillId="6" borderId="9" xfId="2" applyFont="1" applyFill="1" applyBorder="1" applyAlignment="1">
      <alignment horizontal="center" vertical="center" wrapText="1"/>
    </xf>
    <xf numFmtId="0" fontId="6" fillId="6" borderId="8" xfId="2" applyFont="1" applyFill="1" applyBorder="1" applyAlignment="1">
      <alignment horizontal="center" vertical="center" wrapText="1"/>
    </xf>
    <xf numFmtId="0" fontId="6" fillId="6" borderId="5" xfId="2" applyFont="1" applyFill="1" applyBorder="1" applyAlignment="1">
      <alignment horizontal="center" vertical="center" wrapText="1"/>
    </xf>
    <xf numFmtId="0" fontId="2" fillId="2" borderId="1" xfId="4" applyFont="1" applyFill="1" applyBorder="1" applyAlignment="1">
      <alignment horizontal="center"/>
    </xf>
    <xf numFmtId="0" fontId="2" fillId="2" borderId="2" xfId="4" applyFont="1" applyFill="1" applyBorder="1" applyAlignment="1">
      <alignment horizontal="center"/>
    </xf>
    <xf numFmtId="14" fontId="6" fillId="0" borderId="5" xfId="2" applyNumberFormat="1" applyFont="1" applyBorder="1" applyAlignment="1">
      <alignment horizontal="center" vertical="center"/>
    </xf>
    <xf numFmtId="14" fontId="6" fillId="0" borderId="7" xfId="2" applyNumberFormat="1" applyFont="1" applyBorder="1" applyAlignment="1">
      <alignment horizontal="center" vertical="center"/>
    </xf>
    <xf numFmtId="14" fontId="6" fillId="0" borderId="7" xfId="2" applyNumberFormat="1" applyFont="1" applyFill="1" applyBorder="1" applyAlignment="1">
      <alignment horizontal="center" vertical="center"/>
    </xf>
    <xf numFmtId="1" fontId="2" fillId="5" borderId="19" xfId="2" applyNumberFormat="1" applyFont="1" applyFill="1" applyBorder="1" applyAlignment="1">
      <alignment horizontal="center" vertical="center" readingOrder="1"/>
    </xf>
    <xf numFmtId="0" fontId="2" fillId="4" borderId="10" xfId="2" applyFont="1" applyFill="1" applyBorder="1" applyAlignment="1">
      <alignment horizontal="center" vertical="center" readingOrder="1"/>
    </xf>
    <xf numFmtId="0" fontId="2" fillId="4" borderId="19" xfId="2" applyFont="1" applyFill="1" applyBorder="1" applyAlignment="1">
      <alignment horizontal="center" vertical="center" readingOrder="1"/>
    </xf>
    <xf numFmtId="0" fontId="2" fillId="5" borderId="24" xfId="2" applyFont="1" applyFill="1" applyBorder="1" applyAlignment="1">
      <alignment horizontal="center" vertical="center" wrapText="1" readingOrder="1"/>
    </xf>
    <xf numFmtId="0" fontId="2" fillId="5" borderId="20" xfId="2" applyFont="1" applyFill="1" applyBorder="1" applyAlignment="1">
      <alignment horizontal="center" vertical="center" wrapText="1" readingOrder="1"/>
    </xf>
    <xf numFmtId="14" fontId="6" fillId="4" borderId="9" xfId="2" applyNumberFormat="1" applyFont="1" applyFill="1" applyBorder="1" applyAlignment="1">
      <alignment horizontal="center" vertical="center"/>
    </xf>
    <xf numFmtId="0" fontId="6" fillId="4" borderId="8" xfId="2" applyNumberFormat="1" applyFont="1" applyFill="1" applyBorder="1" applyAlignment="1">
      <alignment horizontal="center" vertical="center"/>
    </xf>
    <xf numFmtId="0" fontId="6" fillId="4" borderId="5" xfId="2" applyNumberFormat="1" applyFont="1" applyFill="1" applyBorder="1" applyAlignment="1">
      <alignment horizontal="center" vertical="center"/>
    </xf>
    <xf numFmtId="0" fontId="6" fillId="13" borderId="7" xfId="2" applyFont="1" applyFill="1" applyBorder="1" applyAlignment="1">
      <alignment horizontal="center" vertical="center" wrapText="1"/>
    </xf>
    <xf numFmtId="0" fontId="2" fillId="5" borderId="9" xfId="2" applyFont="1" applyFill="1" applyBorder="1" applyAlignment="1">
      <alignment horizontal="center" vertical="center" wrapText="1" readingOrder="1"/>
    </xf>
    <xf numFmtId="0" fontId="2" fillId="5" borderId="8" xfId="2" applyFont="1" applyFill="1" applyBorder="1" applyAlignment="1">
      <alignment horizontal="center" vertical="center" wrapText="1" readingOrder="1"/>
    </xf>
    <xf numFmtId="0" fontId="2" fillId="5" borderId="5" xfId="2" applyFont="1" applyFill="1" applyBorder="1" applyAlignment="1">
      <alignment horizontal="center" vertical="center" wrapText="1" readingOrder="1"/>
    </xf>
    <xf numFmtId="0" fontId="2" fillId="4" borderId="6" xfId="2" applyFont="1" applyFill="1" applyBorder="1" applyAlignment="1">
      <alignment horizontal="center" vertical="center" readingOrder="1"/>
    </xf>
    <xf numFmtId="0" fontId="2" fillId="4" borderId="8" xfId="2" applyFont="1" applyFill="1" applyBorder="1" applyAlignment="1">
      <alignment horizontal="center" vertical="center" readingOrder="1"/>
    </xf>
    <xf numFmtId="0" fontId="2" fillId="4" borderId="5" xfId="2" applyFont="1" applyFill="1" applyBorder="1" applyAlignment="1">
      <alignment horizontal="center" vertical="center" readingOrder="1"/>
    </xf>
    <xf numFmtId="0" fontId="2" fillId="5" borderId="9" xfId="2" applyFont="1" applyFill="1" applyBorder="1" applyAlignment="1">
      <alignment horizontal="center" vertical="center" readingOrder="1"/>
    </xf>
    <xf numFmtId="0" fontId="2" fillId="5" borderId="8" xfId="2" applyFont="1" applyFill="1" applyBorder="1" applyAlignment="1">
      <alignment horizontal="center" vertical="center" readingOrder="1"/>
    </xf>
    <xf numFmtId="0" fontId="2" fillId="5" borderId="5" xfId="2" applyFont="1" applyFill="1" applyBorder="1" applyAlignment="1">
      <alignment horizontal="center" vertical="center" readingOrder="1"/>
    </xf>
    <xf numFmtId="0" fontId="9" fillId="5" borderId="7" xfId="2" applyFont="1" applyFill="1" applyBorder="1" applyAlignment="1">
      <alignment horizontal="center" vertical="center" wrapText="1" readingOrder="1"/>
    </xf>
    <xf numFmtId="0" fontId="9" fillId="4" borderId="2" xfId="2" applyFont="1" applyFill="1" applyBorder="1" applyAlignment="1">
      <alignment horizontal="center" vertical="center" wrapText="1" readingOrder="1"/>
    </xf>
    <xf numFmtId="0" fontId="9" fillId="4" borderId="7" xfId="2" applyFont="1" applyFill="1" applyBorder="1" applyAlignment="1">
      <alignment horizontal="center" vertical="center" wrapText="1" readingOrder="1"/>
    </xf>
    <xf numFmtId="0" fontId="9" fillId="5" borderId="7" xfId="2" applyFont="1" applyFill="1" applyBorder="1" applyAlignment="1">
      <alignment horizontal="center" vertical="center"/>
    </xf>
    <xf numFmtId="0" fontId="9" fillId="4" borderId="2" xfId="2" applyFont="1" applyFill="1" applyBorder="1" applyAlignment="1">
      <alignment horizontal="center" vertical="center"/>
    </xf>
    <xf numFmtId="0" fontId="9" fillId="4" borderId="7" xfId="2" applyFont="1" applyFill="1" applyBorder="1" applyAlignment="1">
      <alignment horizontal="center" vertical="center"/>
    </xf>
    <xf numFmtId="0" fontId="6" fillId="13" borderId="9" xfId="2" applyFont="1" applyFill="1" applyBorder="1" applyAlignment="1">
      <alignment horizontal="center" vertical="center" wrapText="1"/>
    </xf>
    <xf numFmtId="0" fontId="6" fillId="13" borderId="8" xfId="2" applyFont="1" applyFill="1" applyBorder="1" applyAlignment="1">
      <alignment horizontal="center" vertical="center" wrapText="1"/>
    </xf>
    <xf numFmtId="0" fontId="6" fillId="13" borderId="5" xfId="2" applyFont="1" applyFill="1" applyBorder="1" applyAlignment="1">
      <alignment horizontal="center" vertical="center" wrapText="1"/>
    </xf>
    <xf numFmtId="0" fontId="9" fillId="5" borderId="7" xfId="6" applyFont="1" applyFill="1" applyBorder="1" applyAlignment="1">
      <alignment horizontal="center" vertical="center"/>
    </xf>
    <xf numFmtId="0" fontId="10" fillId="6" borderId="9" xfId="2" applyFont="1" applyFill="1" applyBorder="1" applyAlignment="1">
      <alignment horizontal="center" vertical="center" wrapText="1"/>
    </xf>
    <xf numFmtId="0" fontId="10" fillId="6" borderId="8" xfId="2" applyFont="1" applyFill="1" applyBorder="1" applyAlignment="1">
      <alignment horizontal="center" vertical="center" wrapText="1"/>
    </xf>
    <xf numFmtId="0" fontId="10" fillId="6" borderId="5" xfId="2" applyFont="1" applyFill="1" applyBorder="1" applyAlignment="1">
      <alignment horizontal="center" vertical="center" wrapText="1"/>
    </xf>
    <xf numFmtId="14" fontId="6" fillId="0" borderId="6" xfId="2" applyNumberFormat="1" applyFont="1" applyBorder="1" applyAlignment="1">
      <alignment horizontal="center" vertical="center"/>
    </xf>
    <xf numFmtId="14" fontId="6" fillId="0" borderId="8" xfId="2" applyNumberFormat="1" applyFont="1" applyBorder="1" applyAlignment="1">
      <alignment horizontal="center" vertical="center"/>
    </xf>
    <xf numFmtId="0" fontId="2" fillId="6" borderId="9" xfId="2" applyNumberFormat="1" applyFont="1" applyFill="1" applyBorder="1" applyAlignment="1">
      <alignment horizontal="center" vertical="center"/>
    </xf>
    <xf numFmtId="0" fontId="2" fillId="6" borderId="8" xfId="2" applyNumberFormat="1" applyFont="1" applyFill="1" applyBorder="1" applyAlignment="1">
      <alignment horizontal="center" vertical="center"/>
    </xf>
    <xf numFmtId="0" fontId="2" fillId="6" borderId="5" xfId="2" applyNumberFormat="1" applyFont="1" applyFill="1" applyBorder="1" applyAlignment="1">
      <alignment horizontal="center" vertical="center"/>
    </xf>
    <xf numFmtId="0" fontId="2" fillId="4" borderId="10" xfId="2" applyFont="1" applyFill="1" applyBorder="1" applyAlignment="1">
      <alignment horizontal="center" vertical="center" wrapText="1"/>
    </xf>
    <xf numFmtId="0" fontId="2" fillId="4" borderId="19" xfId="2" applyFont="1" applyFill="1" applyBorder="1" applyAlignment="1">
      <alignment horizontal="center" vertical="center" wrapText="1"/>
    </xf>
    <xf numFmtId="0" fontId="2" fillId="2" borderId="20" xfId="2" applyFont="1" applyFill="1" applyBorder="1" applyAlignment="1">
      <alignment horizontal="center" vertical="center" wrapText="1"/>
    </xf>
    <xf numFmtId="0" fontId="2" fillId="2" borderId="21" xfId="2" applyFont="1" applyFill="1" applyBorder="1" applyAlignment="1">
      <alignment horizontal="center" vertical="center" wrapText="1"/>
    </xf>
    <xf numFmtId="0" fontId="4" fillId="7" borderId="8" xfId="7" applyFont="1" applyFill="1" applyBorder="1" applyAlignment="1">
      <alignment horizontal="center"/>
    </xf>
    <xf numFmtId="0" fontId="2" fillId="12" borderId="19" xfId="2" applyFont="1" applyFill="1" applyBorder="1" applyAlignment="1">
      <alignment horizontal="center" vertical="center" wrapText="1"/>
    </xf>
    <xf numFmtId="0" fontId="2" fillId="12" borderId="11" xfId="2" applyFont="1" applyFill="1" applyBorder="1" applyAlignment="1">
      <alignment horizontal="center" vertical="center" wrapText="1"/>
    </xf>
    <xf numFmtId="0" fontId="4" fillId="7" borderId="9" xfId="7" applyFont="1" applyFill="1" applyBorder="1" applyAlignment="1">
      <alignment horizontal="center"/>
    </xf>
    <xf numFmtId="0" fontId="2" fillId="4" borderId="8" xfId="2" applyFont="1" applyFill="1" applyBorder="1" applyAlignment="1">
      <alignment horizontal="center" vertical="center" wrapText="1"/>
    </xf>
    <xf numFmtId="0" fontId="2" fillId="4" borderId="5" xfId="2" applyFont="1" applyFill="1" applyBorder="1" applyAlignment="1">
      <alignment horizontal="center" vertical="center" wrapText="1"/>
    </xf>
    <xf numFmtId="0" fontId="4" fillId="7" borderId="9" xfId="7" applyFont="1" applyFill="1" applyBorder="1" applyAlignment="1">
      <alignment horizontal="center" vertical="center"/>
    </xf>
    <xf numFmtId="0" fontId="4" fillId="7" borderId="8" xfId="7" applyFont="1" applyFill="1" applyBorder="1" applyAlignment="1">
      <alignment horizontal="center" vertical="center"/>
    </xf>
    <xf numFmtId="0" fontId="2" fillId="7" borderId="9" xfId="7" applyFont="1" applyFill="1" applyBorder="1" applyAlignment="1">
      <alignment horizontal="center" vertical="center"/>
    </xf>
    <xf numFmtId="0" fontId="2" fillId="7" borderId="8" xfId="7" applyFont="1" applyFill="1" applyBorder="1" applyAlignment="1">
      <alignment horizontal="center" vertical="center"/>
    </xf>
    <xf numFmtId="0" fontId="2" fillId="7" borderId="5" xfId="7" applyFont="1" applyFill="1" applyBorder="1" applyAlignment="1">
      <alignment horizontal="center" vertical="center"/>
    </xf>
    <xf numFmtId="0" fontId="4" fillId="11" borderId="9" xfId="7" applyFont="1" applyFill="1" applyBorder="1" applyAlignment="1">
      <alignment horizontal="center" vertical="center"/>
    </xf>
    <xf numFmtId="0" fontId="4" fillId="11" borderId="8" xfId="7" applyFont="1" applyFill="1" applyBorder="1" applyAlignment="1">
      <alignment horizontal="center" vertical="center"/>
    </xf>
    <xf numFmtId="0" fontId="4" fillId="7" borderId="5" xfId="7" applyFont="1" applyFill="1" applyBorder="1" applyAlignment="1">
      <alignment horizontal="center" vertical="center"/>
    </xf>
    <xf numFmtId="0" fontId="2" fillId="5" borderId="5" xfId="2" applyFont="1" applyFill="1" applyBorder="1" applyAlignment="1">
      <alignment horizontal="center" vertical="center" wrapText="1"/>
    </xf>
    <xf numFmtId="0" fontId="2" fillId="5" borderId="7" xfId="2" applyFont="1" applyFill="1" applyBorder="1" applyAlignment="1">
      <alignment horizontal="center" vertical="center" wrapText="1"/>
    </xf>
    <xf numFmtId="0" fontId="2" fillId="6" borderId="7" xfId="2" applyFont="1" applyFill="1" applyBorder="1" applyAlignment="1">
      <alignment horizontal="center" vertical="center" wrapText="1"/>
    </xf>
    <xf numFmtId="0" fontId="2" fillId="6" borderId="9" xfId="2" applyFont="1" applyFill="1" applyBorder="1" applyAlignment="1">
      <alignment horizontal="center" vertical="center" wrapText="1"/>
    </xf>
    <xf numFmtId="0" fontId="2" fillId="12" borderId="9" xfId="2" applyFont="1" applyFill="1" applyBorder="1" applyAlignment="1">
      <alignment horizontal="center" vertical="center"/>
    </xf>
    <xf numFmtId="0" fontId="2" fillId="12" borderId="8" xfId="2" applyFont="1" applyFill="1" applyBorder="1" applyAlignment="1">
      <alignment horizontal="center" vertical="center"/>
    </xf>
    <xf numFmtId="0" fontId="2" fillId="12" borderId="16" xfId="2" applyFont="1" applyFill="1" applyBorder="1" applyAlignment="1">
      <alignment horizontal="center" vertical="center"/>
    </xf>
    <xf numFmtId="0" fontId="2" fillId="4" borderId="6" xfId="2" applyFont="1" applyFill="1" applyBorder="1" applyAlignment="1">
      <alignment horizontal="center" vertical="center"/>
    </xf>
    <xf numFmtId="0" fontId="2" fillId="4" borderId="8" xfId="2" applyFont="1" applyFill="1" applyBorder="1" applyAlignment="1">
      <alignment horizontal="center" vertical="center"/>
    </xf>
    <xf numFmtId="0" fontId="2" fillId="4" borderId="5" xfId="2" applyFont="1" applyFill="1" applyBorder="1" applyAlignment="1">
      <alignment horizontal="center" vertical="center"/>
    </xf>
    <xf numFmtId="0" fontId="4" fillId="7" borderId="5" xfId="7" applyFont="1" applyFill="1" applyBorder="1" applyAlignment="1">
      <alignment horizontal="center"/>
    </xf>
    <xf numFmtId="0" fontId="2" fillId="4" borderId="7" xfId="2" applyFont="1" applyFill="1" applyBorder="1" applyAlignment="1">
      <alignment horizontal="center" vertical="center"/>
    </xf>
    <xf numFmtId="0" fontId="2" fillId="4" borderId="2" xfId="2" applyFont="1" applyFill="1" applyBorder="1" applyAlignment="1">
      <alignment horizontal="center" vertical="center"/>
    </xf>
    <xf numFmtId="0" fontId="2" fillId="2" borderId="8" xfId="2" applyFont="1" applyFill="1" applyBorder="1" applyAlignment="1">
      <alignment horizontal="center" vertical="center"/>
    </xf>
    <xf numFmtId="0" fontId="2" fillId="2" borderId="16" xfId="2" applyFont="1" applyFill="1" applyBorder="1" applyAlignment="1">
      <alignment horizontal="center" vertical="center"/>
    </xf>
    <xf numFmtId="0" fontId="2" fillId="6" borderId="8" xfId="2" applyFont="1" applyFill="1" applyBorder="1" applyAlignment="1">
      <alignment horizontal="center" vertical="center" wrapText="1"/>
    </xf>
    <xf numFmtId="0" fontId="2" fillId="6" borderId="5" xfId="2" applyFont="1" applyFill="1" applyBorder="1" applyAlignment="1">
      <alignment horizontal="center" vertical="center" wrapText="1"/>
    </xf>
    <xf numFmtId="0" fontId="2" fillId="4" borderId="4" xfId="2" applyFont="1" applyFill="1" applyBorder="1" applyAlignment="1">
      <alignment horizontal="center" vertical="center"/>
    </xf>
    <xf numFmtId="0" fontId="4" fillId="4" borderId="5" xfId="2" applyFont="1" applyFill="1" applyBorder="1" applyAlignment="1">
      <alignment horizontal="center" vertical="center"/>
    </xf>
    <xf numFmtId="0" fontId="4" fillId="4" borderId="7" xfId="2" applyFont="1" applyFill="1" applyBorder="1" applyAlignment="1">
      <alignment horizontal="center" vertical="center"/>
    </xf>
    <xf numFmtId="0" fontId="4" fillId="5" borderId="7" xfId="2" applyFont="1" applyFill="1" applyBorder="1" applyAlignment="1">
      <alignment horizontal="center" vertical="center" wrapText="1"/>
    </xf>
    <xf numFmtId="0" fontId="4" fillId="6" borderId="7" xfId="2" applyFont="1" applyFill="1" applyBorder="1" applyAlignment="1">
      <alignment horizontal="center" vertical="center" wrapText="1"/>
    </xf>
    <xf numFmtId="0" fontId="2" fillId="4" borderId="6" xfId="2" applyFont="1" applyFill="1" applyBorder="1" applyAlignment="1">
      <alignment horizontal="center" vertical="center" wrapText="1"/>
    </xf>
    <xf numFmtId="0" fontId="2" fillId="4" borderId="16" xfId="2" applyFont="1" applyFill="1" applyBorder="1" applyAlignment="1">
      <alignment horizontal="center" vertical="center" wrapText="1"/>
    </xf>
    <xf numFmtId="0" fontId="2" fillId="5" borderId="8" xfId="2" applyFont="1" applyFill="1" applyBorder="1" applyAlignment="1">
      <alignment horizontal="center" vertical="center" wrapText="1"/>
    </xf>
    <xf numFmtId="0" fontId="2" fillId="5" borderId="9" xfId="2" applyFont="1" applyFill="1" applyBorder="1" applyAlignment="1">
      <alignment horizontal="center" vertical="center" wrapText="1"/>
    </xf>
    <xf numFmtId="0" fontId="2" fillId="4" borderId="7" xfId="2" applyFont="1" applyFill="1" applyBorder="1" applyAlignment="1">
      <alignment horizontal="center" vertical="center" wrapText="1"/>
    </xf>
    <xf numFmtId="0" fontId="2" fillId="4" borderId="9" xfId="2" applyFont="1" applyFill="1" applyBorder="1" applyAlignment="1">
      <alignment horizontal="center" vertical="center" wrapText="1"/>
    </xf>
    <xf numFmtId="0" fontId="2" fillId="4" borderId="2" xfId="2" applyFont="1" applyFill="1" applyBorder="1" applyAlignment="1">
      <alignment horizontal="center" vertical="center" wrapText="1"/>
    </xf>
    <xf numFmtId="0" fontId="2" fillId="4" borderId="4" xfId="2" applyFont="1" applyFill="1" applyBorder="1" applyAlignment="1">
      <alignment horizontal="center" vertical="center" wrapText="1"/>
    </xf>
    <xf numFmtId="0" fontId="4" fillId="4" borderId="5" xfId="2" applyFont="1" applyFill="1" applyBorder="1" applyAlignment="1">
      <alignment horizontal="center" vertical="center" wrapText="1"/>
    </xf>
    <xf numFmtId="0" fontId="4" fillId="4" borderId="7" xfId="2" applyFont="1" applyFill="1" applyBorder="1" applyAlignment="1">
      <alignment horizontal="center" vertical="center" wrapText="1"/>
    </xf>
    <xf numFmtId="0" fontId="2" fillId="4" borderId="1" xfId="2" applyFont="1" applyFill="1" applyBorder="1" applyAlignment="1">
      <alignment horizontal="center" vertical="center" wrapText="1"/>
    </xf>
    <xf numFmtId="0" fontId="2" fillId="4" borderId="17" xfId="2" applyFont="1" applyFill="1" applyBorder="1" applyAlignment="1">
      <alignment horizontal="center" vertical="center" wrapText="1"/>
    </xf>
    <xf numFmtId="0" fontId="2" fillId="4" borderId="15" xfId="2" applyFont="1" applyFill="1" applyBorder="1" applyAlignment="1">
      <alignment horizontal="center" vertical="center" wrapText="1"/>
    </xf>
    <xf numFmtId="0" fontId="2" fillId="4" borderId="3" xfId="2" applyFont="1" applyFill="1" applyBorder="1" applyAlignment="1">
      <alignment horizontal="center" vertical="center" wrapText="1"/>
    </xf>
    <xf numFmtId="0" fontId="4" fillId="5" borderId="9" xfId="2" applyFont="1" applyFill="1" applyBorder="1" applyAlignment="1">
      <alignment horizontal="center" vertical="center" wrapText="1"/>
    </xf>
    <xf numFmtId="0" fontId="4" fillId="5" borderId="8" xfId="2" applyFont="1" applyFill="1" applyBorder="1" applyAlignment="1">
      <alignment horizontal="center" vertical="center" wrapText="1"/>
    </xf>
    <xf numFmtId="0" fontId="4" fillId="5" borderId="5" xfId="2" applyFont="1" applyFill="1" applyBorder="1" applyAlignment="1">
      <alignment horizontal="center" vertical="center" wrapText="1"/>
    </xf>
    <xf numFmtId="164" fontId="2" fillId="0" borderId="14" xfId="2" applyNumberFormat="1" applyFont="1" applyBorder="1" applyAlignment="1">
      <alignment horizontal="center" vertical="center"/>
    </xf>
    <xf numFmtId="164" fontId="2" fillId="0" borderId="12" xfId="2" applyNumberFormat="1" applyFont="1" applyBorder="1" applyAlignment="1">
      <alignment horizontal="center" vertical="center"/>
    </xf>
    <xf numFmtId="164" fontId="2" fillId="0" borderId="7" xfId="2" applyNumberFormat="1" applyFont="1" applyBorder="1" applyAlignment="1">
      <alignment horizontal="center" vertical="center"/>
    </xf>
    <xf numFmtId="164" fontId="2" fillId="0" borderId="7" xfId="2" applyNumberFormat="1" applyFont="1" applyFill="1" applyBorder="1" applyAlignment="1">
      <alignment horizontal="center" vertical="center"/>
    </xf>
    <xf numFmtId="0" fontId="2" fillId="7" borderId="12" xfId="7" applyFont="1" applyFill="1" applyBorder="1" applyAlignment="1">
      <alignment horizontal="left" vertical="center" wrapText="1"/>
    </xf>
    <xf numFmtId="0" fontId="2" fillId="7" borderId="13" xfId="7" applyFont="1" applyFill="1" applyBorder="1" applyAlignment="1">
      <alignment horizontal="left" vertical="center" wrapText="1"/>
    </xf>
    <xf numFmtId="0" fontId="2" fillId="7" borderId="12" xfId="7" applyFont="1" applyFill="1" applyBorder="1" applyAlignment="1">
      <alignment horizontal="left" wrapText="1"/>
    </xf>
    <xf numFmtId="0" fontId="2" fillId="7" borderId="13" xfId="7" applyFont="1" applyFill="1" applyBorder="1" applyAlignment="1">
      <alignment horizontal="left" wrapText="1"/>
    </xf>
    <xf numFmtId="0" fontId="2" fillId="4" borderId="12" xfId="2" applyFont="1" applyFill="1" applyBorder="1" applyAlignment="1">
      <alignment horizontal="left" wrapText="1"/>
    </xf>
    <xf numFmtId="0" fontId="2" fillId="4" borderId="18" xfId="2" applyFont="1" applyFill="1" applyBorder="1" applyAlignment="1">
      <alignment horizontal="left" wrapText="1"/>
    </xf>
    <xf numFmtId="0" fontId="2" fillId="4" borderId="13" xfId="2" applyFont="1" applyFill="1" applyBorder="1" applyAlignment="1">
      <alignment horizontal="left" wrapText="1"/>
    </xf>
    <xf numFmtId="0" fontId="2" fillId="4" borderId="22" xfId="2" applyFont="1" applyFill="1" applyBorder="1" applyAlignment="1">
      <alignment horizontal="left" wrapText="1"/>
    </xf>
    <xf numFmtId="0" fontId="2" fillId="4" borderId="23" xfId="2" applyFont="1" applyFill="1" applyBorder="1" applyAlignment="1">
      <alignment horizontal="left" wrapText="1"/>
    </xf>
    <xf numFmtId="164" fontId="2" fillId="0" borderId="5" xfId="2" applyNumberFormat="1" applyFont="1" applyBorder="1" applyAlignment="1">
      <alignment horizontal="center" vertical="center"/>
    </xf>
    <xf numFmtId="164" fontId="4" fillId="0" borderId="5" xfId="2" applyNumberFormat="1" applyFont="1" applyBorder="1" applyAlignment="1">
      <alignment horizontal="center" vertical="center"/>
    </xf>
    <xf numFmtId="164" fontId="4" fillId="0" borderId="7" xfId="2" applyNumberFormat="1" applyFont="1" applyBorder="1" applyAlignment="1">
      <alignment horizontal="center" vertical="center"/>
    </xf>
    <xf numFmtId="164" fontId="4" fillId="0" borderId="7" xfId="2" applyNumberFormat="1" applyFont="1" applyFill="1" applyBorder="1" applyAlignment="1">
      <alignment horizontal="center" vertical="center"/>
    </xf>
    <xf numFmtId="164" fontId="2" fillId="0" borderId="9" xfId="2" applyNumberFormat="1" applyFont="1" applyBorder="1" applyAlignment="1">
      <alignment horizontal="center" vertical="center"/>
    </xf>
    <xf numFmtId="164" fontId="2" fillId="0" borderId="8" xfId="2" applyNumberFormat="1" applyFont="1" applyBorder="1" applyAlignment="1">
      <alignment horizontal="center" vertical="center"/>
    </xf>
    <xf numFmtId="0" fontId="6" fillId="4" borderId="6" xfId="2" applyFont="1" applyFill="1" applyBorder="1" applyAlignment="1">
      <alignment horizontal="center" vertical="center" wrapText="1"/>
    </xf>
    <xf numFmtId="0" fontId="6" fillId="4" borderId="16" xfId="2" applyFont="1" applyFill="1" applyBorder="1" applyAlignment="1">
      <alignment horizontal="center" vertical="center" wrapText="1"/>
    </xf>
    <xf numFmtId="0" fontId="20" fillId="17" borderId="25" xfId="0" applyFont="1" applyFill="1" applyBorder="1" applyAlignment="1">
      <alignment horizontal="center" wrapText="1"/>
    </xf>
    <xf numFmtId="0" fontId="20" fillId="17" borderId="26" xfId="0" applyFont="1" applyFill="1" applyBorder="1" applyAlignment="1">
      <alignment horizontal="center" wrapText="1"/>
    </xf>
    <xf numFmtId="0" fontId="20" fillId="17" borderId="27" xfId="0" applyFont="1" applyFill="1" applyBorder="1" applyAlignment="1">
      <alignment horizontal="center" wrapText="1"/>
    </xf>
    <xf numFmtId="0" fontId="20" fillId="7" borderId="8" xfId="7" applyFont="1" applyFill="1" applyBorder="1" applyAlignment="1">
      <alignment horizontal="center"/>
    </xf>
    <xf numFmtId="0" fontId="6" fillId="4" borderId="10" xfId="2" applyFont="1" applyFill="1" applyBorder="1" applyAlignment="1">
      <alignment horizontal="center" vertical="center" wrapText="1"/>
    </xf>
    <xf numFmtId="0" fontId="6" fillId="4" borderId="19" xfId="2" applyFont="1" applyFill="1" applyBorder="1" applyAlignment="1">
      <alignment horizontal="center" vertical="center" wrapText="1"/>
    </xf>
    <xf numFmtId="0" fontId="20" fillId="7" borderId="9" xfId="7" applyFont="1" applyFill="1" applyBorder="1" applyAlignment="1">
      <alignment horizontal="center"/>
    </xf>
    <xf numFmtId="0" fontId="20" fillId="7" borderId="5" xfId="7" applyFont="1" applyFill="1" applyBorder="1" applyAlignment="1">
      <alignment horizontal="center"/>
    </xf>
    <xf numFmtId="0" fontId="27" fillId="7" borderId="9" xfId="7" applyFont="1" applyFill="1" applyBorder="1" applyAlignment="1">
      <alignment horizontal="center" vertical="center"/>
    </xf>
    <xf numFmtId="0" fontId="27" fillId="7" borderId="8" xfId="7" applyFont="1" applyFill="1" applyBorder="1" applyAlignment="1">
      <alignment horizontal="center" vertical="center"/>
    </xf>
    <xf numFmtId="0" fontId="27" fillId="7" borderId="5" xfId="7" applyFont="1" applyFill="1" applyBorder="1" applyAlignment="1">
      <alignment horizontal="center" vertical="center"/>
    </xf>
    <xf numFmtId="0" fontId="6" fillId="7" borderId="9" xfId="7" applyFont="1" applyFill="1" applyBorder="1" applyAlignment="1">
      <alignment horizontal="center" vertical="center"/>
    </xf>
    <xf numFmtId="0" fontId="6" fillId="7" borderId="8" xfId="7" applyFont="1" applyFill="1" applyBorder="1" applyAlignment="1">
      <alignment horizontal="center" vertical="center"/>
    </xf>
    <xf numFmtId="0" fontId="6" fillId="6" borderId="16" xfId="2" applyNumberFormat="1" applyFont="1" applyFill="1" applyBorder="1" applyAlignment="1">
      <alignment horizontal="center" vertical="center"/>
    </xf>
    <xf numFmtId="0" fontId="20" fillId="4" borderId="9" xfId="2" applyFont="1" applyFill="1" applyBorder="1" applyAlignment="1">
      <alignment horizontal="center" vertical="center"/>
    </xf>
    <xf numFmtId="0" fontId="20" fillId="4" borderId="8" xfId="2" applyFont="1" applyFill="1" applyBorder="1" applyAlignment="1">
      <alignment horizontal="center" vertical="center"/>
    </xf>
    <xf numFmtId="0" fontId="20" fillId="4" borderId="5" xfId="2" applyFont="1" applyFill="1" applyBorder="1" applyAlignment="1">
      <alignment horizontal="center" vertical="center"/>
    </xf>
    <xf numFmtId="0" fontId="20" fillId="7" borderId="9" xfId="7" applyFont="1" applyFill="1" applyBorder="1" applyAlignment="1">
      <alignment horizontal="center" vertical="center" wrapText="1"/>
    </xf>
    <xf numFmtId="0" fontId="20" fillId="7" borderId="5" xfId="7" applyFont="1" applyFill="1" applyBorder="1" applyAlignment="1">
      <alignment horizontal="center" vertical="center" wrapText="1"/>
    </xf>
    <xf numFmtId="0" fontId="20" fillId="7" borderId="9" xfId="7" applyFont="1" applyFill="1" applyBorder="1" applyAlignment="1">
      <alignment horizontal="center" wrapText="1"/>
    </xf>
    <xf numFmtId="0" fontId="20" fillId="7" borderId="5" xfId="7" applyFont="1" applyFill="1" applyBorder="1" applyAlignment="1">
      <alignment horizontal="center" wrapText="1"/>
    </xf>
    <xf numFmtId="0" fontId="20" fillId="7" borderId="9" xfId="7" applyFont="1" applyFill="1" applyBorder="1" applyAlignment="1">
      <alignment horizontal="center" vertical="center"/>
    </xf>
    <xf numFmtId="0" fontId="20" fillId="7" borderId="5" xfId="7" applyFont="1" applyFill="1" applyBorder="1" applyAlignment="1">
      <alignment horizontal="center" vertical="center"/>
    </xf>
    <xf numFmtId="0" fontId="20" fillId="7" borderId="8" xfId="7" applyFont="1" applyFill="1" applyBorder="1" applyAlignment="1">
      <alignment horizontal="center" vertical="center"/>
    </xf>
    <xf numFmtId="0" fontId="6" fillId="4" borderId="2" xfId="2" applyFont="1" applyFill="1" applyBorder="1" applyAlignment="1">
      <alignment horizontal="center" vertical="center"/>
    </xf>
    <xf numFmtId="0" fontId="6" fillId="4" borderId="4" xfId="2" applyFont="1" applyFill="1" applyBorder="1" applyAlignment="1">
      <alignment horizontal="center" vertical="center"/>
    </xf>
    <xf numFmtId="0" fontId="20" fillId="7" borderId="7" xfId="7" applyFont="1" applyFill="1" applyBorder="1" applyAlignment="1">
      <alignment horizontal="center"/>
    </xf>
    <xf numFmtId="0" fontId="6" fillId="6" borderId="7" xfId="2" applyNumberFormat="1" applyFont="1" applyFill="1" applyBorder="1" applyAlignment="1">
      <alignment horizontal="center" vertical="center"/>
    </xf>
    <xf numFmtId="0" fontId="6" fillId="2" borderId="20" xfId="2" applyFont="1" applyFill="1" applyBorder="1" applyAlignment="1">
      <alignment horizontal="center" vertical="center" wrapText="1"/>
    </xf>
    <xf numFmtId="0" fontId="6" fillId="2" borderId="21" xfId="2" applyFont="1" applyFill="1" applyBorder="1" applyAlignment="1">
      <alignment horizontal="center" vertical="center" wrapText="1"/>
    </xf>
    <xf numFmtId="0" fontId="6" fillId="12" borderId="19" xfId="2" applyFont="1" applyFill="1" applyBorder="1" applyAlignment="1">
      <alignment horizontal="center" vertical="center" wrapText="1"/>
    </xf>
    <xf numFmtId="0" fontId="6" fillId="12" borderId="11" xfId="2" applyFont="1" applyFill="1" applyBorder="1" applyAlignment="1">
      <alignment horizontal="center" vertical="center" wrapText="1"/>
    </xf>
    <xf numFmtId="0" fontId="6" fillId="4" borderId="9" xfId="2" applyFont="1" applyFill="1" applyBorder="1" applyAlignment="1">
      <alignment horizontal="center" vertical="center"/>
    </xf>
    <xf numFmtId="0" fontId="6" fillId="4" borderId="8" xfId="2" applyFont="1" applyFill="1" applyBorder="1" applyAlignment="1">
      <alignment horizontal="center" vertical="center"/>
    </xf>
    <xf numFmtId="0" fontId="20" fillId="5" borderId="7" xfId="2" applyFont="1" applyFill="1" applyBorder="1" applyAlignment="1">
      <alignment horizontal="center" vertical="center" wrapText="1"/>
    </xf>
    <xf numFmtId="0" fontId="20" fillId="4" borderId="7" xfId="2" applyFont="1" applyFill="1" applyBorder="1" applyAlignment="1">
      <alignment horizontal="center" vertical="center"/>
    </xf>
    <xf numFmtId="0" fontId="20" fillId="4" borderId="9" xfId="2" applyFont="1" applyFill="1" applyBorder="1" applyAlignment="1">
      <alignment horizontal="center" vertical="center" wrapText="1"/>
    </xf>
    <xf numFmtId="0" fontId="20" fillId="4" borderId="8" xfId="2" applyFont="1" applyFill="1" applyBorder="1" applyAlignment="1">
      <alignment horizontal="center" vertical="center" wrapText="1"/>
    </xf>
    <xf numFmtId="0" fontId="20" fillId="4" borderId="5" xfId="2" applyFont="1" applyFill="1" applyBorder="1" applyAlignment="1">
      <alignment horizontal="center" vertical="center" wrapText="1"/>
    </xf>
    <xf numFmtId="0" fontId="20" fillId="5" borderId="9" xfId="2" applyFont="1" applyFill="1" applyBorder="1" applyAlignment="1">
      <alignment horizontal="center" vertical="center" wrapText="1"/>
    </xf>
    <xf numFmtId="0" fontId="20" fillId="5" borderId="8" xfId="2" applyFont="1" applyFill="1" applyBorder="1" applyAlignment="1">
      <alignment horizontal="center" vertical="center" wrapText="1"/>
    </xf>
    <xf numFmtId="0" fontId="6" fillId="4" borderId="2" xfId="2" applyFont="1" applyFill="1" applyBorder="1" applyAlignment="1">
      <alignment horizontal="center" vertical="center" wrapText="1"/>
    </xf>
    <xf numFmtId="0" fontId="6" fillId="4" borderId="4" xfId="2" applyFont="1" applyFill="1" applyBorder="1" applyAlignment="1">
      <alignment horizontal="center" vertical="center" wrapText="1"/>
    </xf>
    <xf numFmtId="0" fontId="20" fillId="4" borderId="7" xfId="2" applyFont="1" applyFill="1" applyBorder="1" applyAlignment="1">
      <alignment horizontal="center" vertical="center" wrapText="1"/>
    </xf>
    <xf numFmtId="0" fontId="20" fillId="6" borderId="7" xfId="2" applyFont="1" applyFill="1" applyBorder="1" applyAlignment="1">
      <alignment horizontal="center" vertical="center" wrapText="1"/>
    </xf>
    <xf numFmtId="0" fontId="6" fillId="4" borderId="1" xfId="2" applyFont="1" applyFill="1" applyBorder="1" applyAlignment="1">
      <alignment horizontal="center" vertical="center" wrapText="1"/>
    </xf>
    <xf numFmtId="0" fontId="6" fillId="4" borderId="17" xfId="2" applyFont="1" applyFill="1" applyBorder="1" applyAlignment="1">
      <alignment horizontal="center" vertical="center" wrapText="1"/>
    </xf>
    <xf numFmtId="0" fontId="6" fillId="4" borderId="15" xfId="2" applyFont="1" applyFill="1" applyBorder="1" applyAlignment="1">
      <alignment horizontal="center" vertical="center" wrapText="1"/>
    </xf>
    <xf numFmtId="0" fontId="6" fillId="4" borderId="3" xfId="2" applyFont="1" applyFill="1" applyBorder="1" applyAlignment="1">
      <alignment horizontal="center" vertical="center" wrapText="1"/>
    </xf>
    <xf numFmtId="0" fontId="20" fillId="5" borderId="5" xfId="2" applyFont="1" applyFill="1" applyBorder="1" applyAlignment="1">
      <alignment horizontal="center" vertical="center" wrapText="1"/>
    </xf>
    <xf numFmtId="0" fontId="6" fillId="2" borderId="1" xfId="4" applyFont="1" applyFill="1" applyBorder="1" applyAlignment="1">
      <alignment horizontal="center"/>
    </xf>
    <xf numFmtId="0" fontId="6" fillId="2" borderId="2" xfId="4" applyFont="1" applyFill="1" applyBorder="1" applyAlignment="1">
      <alignment horizontal="center"/>
    </xf>
    <xf numFmtId="0" fontId="6" fillId="6" borderId="12" xfId="2" applyFont="1" applyFill="1" applyBorder="1" applyAlignment="1">
      <alignment horizontal="left" vertical="center" wrapText="1"/>
    </xf>
    <xf numFmtId="0" fontId="6" fillId="6" borderId="13" xfId="2" applyFont="1" applyFill="1" applyBorder="1" applyAlignment="1">
      <alignment horizontal="left" vertical="center" wrapText="1"/>
    </xf>
    <xf numFmtId="0" fontId="6" fillId="7" borderId="12" xfId="7" applyFont="1" applyFill="1" applyBorder="1" applyAlignment="1">
      <alignment horizontal="left" vertical="center" wrapText="1"/>
    </xf>
    <xf numFmtId="0" fontId="6" fillId="7" borderId="13" xfId="7" applyFont="1" applyFill="1" applyBorder="1" applyAlignment="1">
      <alignment horizontal="left" vertical="center" wrapText="1"/>
    </xf>
    <xf numFmtId="0" fontId="6" fillId="4" borderId="12" xfId="2" applyFont="1" applyFill="1" applyBorder="1" applyAlignment="1">
      <alignment horizontal="left" wrapText="1"/>
    </xf>
    <xf numFmtId="0" fontId="6" fillId="4" borderId="18" xfId="2" applyFont="1" applyFill="1" applyBorder="1" applyAlignment="1">
      <alignment horizontal="left" wrapText="1"/>
    </xf>
    <xf numFmtId="0" fontId="6" fillId="4" borderId="13" xfId="2" applyFont="1" applyFill="1" applyBorder="1" applyAlignment="1">
      <alignment horizontal="left" wrapText="1"/>
    </xf>
    <xf numFmtId="0" fontId="6" fillId="4" borderId="22" xfId="2" applyFont="1" applyFill="1" applyBorder="1" applyAlignment="1">
      <alignment horizontal="left" wrapText="1"/>
    </xf>
    <xf numFmtId="0" fontId="6" fillId="4" borderId="23" xfId="2" applyFont="1" applyFill="1" applyBorder="1" applyAlignment="1">
      <alignment horizontal="left" wrapText="1"/>
    </xf>
    <xf numFmtId="164" fontId="6" fillId="0" borderId="5" xfId="2" applyNumberFormat="1" applyFont="1" applyBorder="1" applyAlignment="1">
      <alignment horizontal="center" vertical="center"/>
    </xf>
    <xf numFmtId="164" fontId="6" fillId="0" borderId="7" xfId="2" applyNumberFormat="1" applyFont="1" applyBorder="1" applyAlignment="1">
      <alignment horizontal="center" vertical="center"/>
    </xf>
    <xf numFmtId="164" fontId="6" fillId="0" borderId="7" xfId="2" applyNumberFormat="1" applyFont="1" applyFill="1" applyBorder="1" applyAlignment="1">
      <alignment horizontal="center" vertical="center"/>
    </xf>
    <xf numFmtId="164" fontId="6" fillId="0" borderId="9" xfId="2" applyNumberFormat="1" applyFont="1" applyBorder="1" applyAlignment="1">
      <alignment horizontal="center" vertical="center"/>
    </xf>
    <xf numFmtId="164" fontId="6" fillId="0" borderId="8" xfId="2" applyNumberFormat="1" applyFont="1" applyBorder="1" applyAlignment="1">
      <alignment horizontal="center" vertical="center"/>
    </xf>
    <xf numFmtId="164" fontId="20" fillId="0" borderId="5" xfId="2" applyNumberFormat="1" applyFont="1" applyBorder="1" applyAlignment="1">
      <alignment horizontal="center" vertical="center"/>
    </xf>
    <xf numFmtId="164" fontId="20" fillId="0" borderId="7" xfId="2" applyNumberFormat="1" applyFont="1" applyBorder="1" applyAlignment="1">
      <alignment horizontal="center" vertical="center"/>
    </xf>
    <xf numFmtId="164" fontId="20" fillId="0" borderId="7" xfId="2" applyNumberFormat="1" applyFont="1" applyFill="1" applyBorder="1" applyAlignment="1">
      <alignment horizontal="center" vertical="center"/>
    </xf>
    <xf numFmtId="164" fontId="6" fillId="0" borderId="14" xfId="2" applyNumberFormat="1" applyFont="1" applyBorder="1" applyAlignment="1">
      <alignment horizontal="center" vertical="center"/>
    </xf>
    <xf numFmtId="164" fontId="6" fillId="0" borderId="12" xfId="2" applyNumberFormat="1" applyFont="1" applyBorder="1" applyAlignment="1">
      <alignment horizontal="center" vertical="center"/>
    </xf>
    <xf numFmtId="0" fontId="6" fillId="15" borderId="8" xfId="2" applyFont="1" applyFill="1" applyBorder="1" applyAlignment="1">
      <alignment horizontal="center" vertical="center" wrapText="1"/>
    </xf>
    <xf numFmtId="0" fontId="6" fillId="15" borderId="5" xfId="2" applyFont="1" applyFill="1" applyBorder="1" applyAlignment="1">
      <alignment horizontal="center" vertical="center" wrapText="1"/>
    </xf>
    <xf numFmtId="0" fontId="6" fillId="16" borderId="12" xfId="2" applyNumberFormat="1" applyFont="1" applyFill="1" applyBorder="1" applyAlignment="1">
      <alignment horizontal="center" vertical="center" wrapText="1"/>
    </xf>
    <xf numFmtId="0" fontId="6" fillId="6" borderId="30" xfId="2" applyNumberFormat="1" applyFont="1" applyFill="1" applyBorder="1" applyAlignment="1">
      <alignment horizontal="center" vertical="center"/>
    </xf>
    <xf numFmtId="0" fontId="6" fillId="6" borderId="29" xfId="2" applyNumberFormat="1" applyFont="1" applyFill="1" applyBorder="1" applyAlignment="1">
      <alignment horizontal="center" vertical="center"/>
    </xf>
    <xf numFmtId="0" fontId="6" fillId="6" borderId="33" xfId="2" applyNumberFormat="1" applyFont="1" applyFill="1" applyBorder="1" applyAlignment="1">
      <alignment horizontal="center" vertical="center"/>
    </xf>
    <xf numFmtId="0" fontId="6" fillId="6" borderId="16" xfId="2" applyFont="1" applyFill="1" applyBorder="1" applyAlignment="1">
      <alignment horizontal="center" vertical="center" wrapText="1"/>
    </xf>
    <xf numFmtId="164" fontId="6" fillId="0" borderId="30" xfId="2" applyNumberFormat="1" applyFont="1" applyBorder="1" applyAlignment="1">
      <alignment horizontal="center" vertical="center"/>
    </xf>
    <xf numFmtId="164" fontId="6" fillId="0" borderId="29" xfId="2" applyNumberFormat="1" applyFont="1" applyBorder="1" applyAlignment="1">
      <alignment horizontal="center" vertical="center"/>
    </xf>
    <xf numFmtId="0" fontId="6" fillId="6" borderId="31" xfId="2" applyFont="1" applyFill="1" applyBorder="1" applyAlignment="1">
      <alignment horizontal="center" vertical="center" wrapText="1"/>
    </xf>
    <xf numFmtId="0" fontId="6" fillId="6" borderId="28" xfId="2" applyFont="1" applyFill="1" applyBorder="1" applyAlignment="1">
      <alignment horizontal="center" vertical="center" wrapText="1"/>
    </xf>
    <xf numFmtId="0" fontId="6" fillId="6" borderId="32" xfId="2" applyFont="1" applyFill="1" applyBorder="1" applyAlignment="1">
      <alignment horizontal="center" vertical="center" wrapText="1"/>
    </xf>
  </cellXfs>
  <cellStyles count="13">
    <cellStyle name="Comma" xfId="1" builtinId="3"/>
    <cellStyle name="Normal" xfId="0" builtinId="0"/>
    <cellStyle name="Normal 2" xfId="7"/>
    <cellStyle name="Normal 3" xfId="8"/>
    <cellStyle name="Normal 4" xfId="9"/>
    <cellStyle name="Normal 42" xfId="2"/>
    <cellStyle name="Normal 44" xfId="4"/>
    <cellStyle name="Normal 5" xfId="11"/>
    <cellStyle name="Normal 6" xfId="3"/>
    <cellStyle name="Normal 68" xfId="6"/>
    <cellStyle name="Normal 7" xfId="12"/>
    <cellStyle name="Normal 73" xfId="5"/>
    <cellStyle name="Normal 8" xfId="10"/>
  </cellStyles>
  <dxfs count="39">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ill>
        <patternFill patternType="solid">
          <bgColor theme="5" tint="0.59996337778862885"/>
        </patternFill>
      </fill>
    </dxf>
  </dxfs>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70091860713525"/>
  </sheetPr>
  <dimension ref="A1:K52"/>
  <sheetViews>
    <sheetView zoomScale="110" zoomScaleNormal="110" workbookViewId="0">
      <selection activeCell="A3" sqref="A3:K16"/>
    </sheetView>
  </sheetViews>
  <sheetFormatPr defaultColWidth="23.28515625" defaultRowHeight="15"/>
  <cols>
    <col min="1" max="1" width="13.28515625" style="104" customWidth="1"/>
    <col min="2" max="2" width="4" style="104" customWidth="1"/>
    <col min="3" max="5" width="5.28515625" style="104" customWidth="1"/>
    <col min="6" max="6" width="7.28515625" style="104" customWidth="1"/>
    <col min="7" max="7" width="25.28515625" style="104" customWidth="1"/>
    <col min="8" max="8" width="20.28515625" style="104" customWidth="1"/>
    <col min="9" max="9" width="53.140625" style="104" customWidth="1"/>
    <col min="10" max="10" width="8.28515625" style="104" customWidth="1"/>
    <col min="11" max="16384" width="23.28515625" style="104"/>
  </cols>
  <sheetData>
    <row r="1" spans="1:11">
      <c r="A1" s="314" t="s">
        <v>0</v>
      </c>
      <c r="B1" s="315"/>
      <c r="C1" s="315"/>
      <c r="D1" s="315"/>
      <c r="E1" s="315"/>
      <c r="F1" s="315"/>
      <c r="G1" s="315"/>
      <c r="H1" s="315"/>
      <c r="I1" s="315"/>
      <c r="J1" s="139" t="s">
        <v>1</v>
      </c>
      <c r="K1" s="15"/>
    </row>
    <row r="2" spans="1:11" ht="33.75">
      <c r="A2" s="105" t="s">
        <v>2</v>
      </c>
      <c r="B2" s="106" t="s">
        <v>3</v>
      </c>
      <c r="C2" s="106" t="s">
        <v>4</v>
      </c>
      <c r="D2" s="106" t="s">
        <v>5</v>
      </c>
      <c r="E2" s="106" t="s">
        <v>6</v>
      </c>
      <c r="F2" s="106" t="s">
        <v>7</v>
      </c>
      <c r="G2" s="107" t="s">
        <v>8</v>
      </c>
      <c r="H2" s="107" t="s">
        <v>9</v>
      </c>
      <c r="I2" s="107" t="s">
        <v>10</v>
      </c>
      <c r="J2" s="106" t="s">
        <v>11</v>
      </c>
      <c r="K2" s="140" t="s">
        <v>12</v>
      </c>
    </row>
    <row r="3" spans="1:11">
      <c r="A3" s="316"/>
      <c r="B3" s="294" t="s">
        <v>13</v>
      </c>
      <c r="C3" s="294">
        <v>12000</v>
      </c>
      <c r="D3" s="294"/>
      <c r="E3" s="294"/>
      <c r="F3" s="309"/>
      <c r="G3" s="110"/>
      <c r="H3" s="189"/>
      <c r="I3" s="110"/>
      <c r="J3" s="109"/>
      <c r="K3" s="293">
        <f>SUM(J3:J6)</f>
        <v>0</v>
      </c>
    </row>
    <row r="4" spans="1:11">
      <c r="A4" s="317"/>
      <c r="B4" s="310"/>
      <c r="C4" s="310"/>
      <c r="D4" s="310"/>
      <c r="E4" s="310"/>
      <c r="F4" s="308"/>
      <c r="G4" s="113"/>
      <c r="H4" s="164"/>
      <c r="I4" s="113"/>
      <c r="J4" s="112"/>
      <c r="K4" s="293"/>
    </row>
    <row r="5" spans="1:11">
      <c r="A5" s="317"/>
      <c r="B5" s="310"/>
      <c r="C5" s="310"/>
      <c r="D5" s="310"/>
      <c r="E5" s="310"/>
      <c r="F5" s="308"/>
      <c r="G5" s="113"/>
      <c r="H5" s="164"/>
      <c r="I5" s="113"/>
      <c r="J5" s="112"/>
      <c r="K5" s="293"/>
    </row>
    <row r="6" spans="1:11">
      <c r="A6" s="317"/>
      <c r="B6" s="310"/>
      <c r="C6" s="310"/>
      <c r="D6" s="310"/>
      <c r="E6" s="310"/>
      <c r="F6" s="308"/>
      <c r="G6" s="113"/>
      <c r="H6" s="164"/>
      <c r="I6" s="113"/>
      <c r="J6" s="112"/>
      <c r="K6" s="294"/>
    </row>
    <row r="7" spans="1:11">
      <c r="A7" s="317"/>
      <c r="B7" s="291" t="s">
        <v>14</v>
      </c>
      <c r="C7" s="302">
        <v>12000</v>
      </c>
      <c r="D7" s="291"/>
      <c r="E7" s="291"/>
      <c r="F7" s="291"/>
      <c r="G7" s="190"/>
      <c r="H7" s="190"/>
      <c r="I7" s="190"/>
      <c r="J7" s="190"/>
      <c r="K7" s="295"/>
    </row>
    <row r="8" spans="1:11">
      <c r="A8" s="317"/>
      <c r="B8" s="291"/>
      <c r="C8" s="303"/>
      <c r="D8" s="291"/>
      <c r="E8" s="291"/>
      <c r="F8" s="291"/>
      <c r="G8" s="190"/>
      <c r="H8" s="190"/>
      <c r="I8" s="190"/>
      <c r="J8" s="190"/>
      <c r="K8" s="296"/>
    </row>
    <row r="9" spans="1:11">
      <c r="A9" s="317"/>
      <c r="B9" s="291"/>
      <c r="C9" s="303"/>
      <c r="D9" s="291"/>
      <c r="E9" s="291"/>
      <c r="F9" s="291"/>
      <c r="G9" s="190"/>
      <c r="H9" s="190"/>
      <c r="I9" s="190"/>
      <c r="J9" s="190"/>
      <c r="K9" s="296"/>
    </row>
    <row r="10" spans="1:11">
      <c r="A10" s="317"/>
      <c r="B10" s="291"/>
      <c r="C10" s="303"/>
      <c r="D10" s="291"/>
      <c r="E10" s="291"/>
      <c r="F10" s="291"/>
      <c r="G10" s="190"/>
      <c r="H10" s="190"/>
      <c r="I10" s="190"/>
      <c r="J10" s="190"/>
      <c r="K10" s="296"/>
    </row>
    <row r="11" spans="1:11">
      <c r="A11" s="317"/>
      <c r="B11" s="291"/>
      <c r="C11" s="303"/>
      <c r="D11" s="291"/>
      <c r="E11" s="291"/>
      <c r="F11" s="291"/>
      <c r="G11" s="190"/>
      <c r="H11" s="190"/>
      <c r="I11" s="190"/>
      <c r="J11" s="190"/>
      <c r="K11" s="296"/>
    </row>
    <row r="12" spans="1:11">
      <c r="A12" s="317"/>
      <c r="B12" s="291"/>
      <c r="C12" s="304"/>
      <c r="D12" s="291"/>
      <c r="E12" s="291"/>
      <c r="F12" s="291"/>
      <c r="G12" s="190"/>
      <c r="H12" s="190"/>
      <c r="I12" s="190"/>
      <c r="J12" s="190"/>
      <c r="K12" s="297"/>
    </row>
    <row r="13" spans="1:11">
      <c r="A13" s="318"/>
      <c r="B13" s="292" t="s">
        <v>15</v>
      </c>
      <c r="C13" s="292">
        <v>12000</v>
      </c>
      <c r="D13" s="292"/>
      <c r="E13" s="292"/>
      <c r="F13" s="292"/>
      <c r="G13" s="53"/>
      <c r="H13" s="101"/>
      <c r="I13" s="48"/>
      <c r="J13" s="144"/>
      <c r="K13" s="298">
        <f>SUM(J13:J16)</f>
        <v>0</v>
      </c>
    </row>
    <row r="14" spans="1:11">
      <c r="A14" s="318"/>
      <c r="B14" s="292"/>
      <c r="C14" s="292"/>
      <c r="D14" s="292"/>
      <c r="E14" s="292"/>
      <c r="F14" s="292"/>
      <c r="G14" s="48"/>
      <c r="H14" s="101"/>
      <c r="I14" s="48"/>
      <c r="J14" s="144"/>
      <c r="K14" s="299"/>
    </row>
    <row r="15" spans="1:11">
      <c r="A15" s="318"/>
      <c r="B15" s="292"/>
      <c r="C15" s="292"/>
      <c r="D15" s="292"/>
      <c r="E15" s="292"/>
      <c r="F15" s="292"/>
      <c r="G15" s="123"/>
      <c r="H15" s="53"/>
      <c r="I15" s="48"/>
      <c r="J15" s="144"/>
      <c r="K15" s="299"/>
    </row>
    <row r="16" spans="1:11">
      <c r="A16" s="318"/>
      <c r="B16" s="292"/>
      <c r="C16" s="292"/>
      <c r="D16" s="292"/>
      <c r="E16" s="292"/>
      <c r="F16" s="292"/>
      <c r="G16" s="52"/>
      <c r="H16" s="51"/>
      <c r="I16" s="52"/>
      <c r="J16" s="145"/>
      <c r="K16" s="300"/>
    </row>
    <row r="17" spans="1:11">
      <c r="A17" s="317"/>
      <c r="B17" s="310" t="s">
        <v>13</v>
      </c>
      <c r="C17" s="294">
        <v>12000</v>
      </c>
      <c r="D17" s="310"/>
      <c r="E17" s="310"/>
      <c r="F17" s="308"/>
      <c r="G17" s="113"/>
      <c r="H17" s="164"/>
      <c r="I17" s="113"/>
      <c r="J17" s="112"/>
      <c r="K17" s="301"/>
    </row>
    <row r="18" spans="1:11">
      <c r="A18" s="317"/>
      <c r="B18" s="310"/>
      <c r="C18" s="310"/>
      <c r="D18" s="310"/>
      <c r="E18" s="310"/>
      <c r="F18" s="308"/>
      <c r="G18" s="113"/>
      <c r="H18" s="164"/>
      <c r="I18" s="113"/>
      <c r="J18" s="112"/>
      <c r="K18" s="293"/>
    </row>
    <row r="19" spans="1:11">
      <c r="A19" s="317"/>
      <c r="B19" s="310"/>
      <c r="C19" s="310"/>
      <c r="D19" s="310"/>
      <c r="E19" s="310"/>
      <c r="F19" s="308"/>
      <c r="G19" s="113"/>
      <c r="H19" s="164"/>
      <c r="I19" s="113"/>
      <c r="J19" s="112"/>
      <c r="K19" s="293"/>
    </row>
    <row r="20" spans="1:11">
      <c r="A20" s="317"/>
      <c r="B20" s="310"/>
      <c r="C20" s="310"/>
      <c r="D20" s="310"/>
      <c r="E20" s="310"/>
      <c r="F20" s="308"/>
      <c r="G20" s="113"/>
      <c r="H20" s="164"/>
      <c r="I20" s="113"/>
      <c r="J20" s="112"/>
      <c r="K20" s="294"/>
    </row>
    <row r="21" spans="1:11">
      <c r="A21" s="317"/>
      <c r="B21" s="291" t="s">
        <v>14</v>
      </c>
      <c r="C21" s="302">
        <v>12000</v>
      </c>
      <c r="D21" s="291"/>
      <c r="E21" s="291"/>
      <c r="F21" s="291"/>
      <c r="G21" s="36"/>
      <c r="H21" s="165"/>
      <c r="I21" s="36"/>
      <c r="J21" s="131"/>
      <c r="K21" s="302"/>
    </row>
    <row r="22" spans="1:11">
      <c r="A22" s="317"/>
      <c r="B22" s="291"/>
      <c r="C22" s="303"/>
      <c r="D22" s="291"/>
      <c r="E22" s="291"/>
      <c r="F22" s="291"/>
      <c r="G22" s="36"/>
      <c r="H22" s="165"/>
      <c r="I22" s="36"/>
      <c r="J22" s="131"/>
      <c r="K22" s="303"/>
    </row>
    <row r="23" spans="1:11">
      <c r="A23" s="317"/>
      <c r="B23" s="291"/>
      <c r="C23" s="303"/>
      <c r="D23" s="291"/>
      <c r="E23" s="291"/>
      <c r="F23" s="291"/>
      <c r="G23" s="36"/>
      <c r="H23" s="165"/>
      <c r="I23" s="36"/>
      <c r="J23" s="131"/>
      <c r="K23" s="303"/>
    </row>
    <row r="24" spans="1:11">
      <c r="A24" s="317"/>
      <c r="B24" s="291"/>
      <c r="C24" s="304"/>
      <c r="D24" s="291"/>
      <c r="E24" s="291"/>
      <c r="F24" s="291"/>
      <c r="G24" s="36"/>
      <c r="H24" s="165"/>
      <c r="I24" s="36"/>
      <c r="J24" s="131"/>
      <c r="K24" s="304"/>
    </row>
    <row r="25" spans="1:11">
      <c r="A25" s="318"/>
      <c r="B25" s="311" t="s">
        <v>15</v>
      </c>
      <c r="C25" s="292">
        <v>12000</v>
      </c>
      <c r="D25" s="292"/>
      <c r="E25" s="292"/>
      <c r="F25" s="292"/>
      <c r="G25" s="53"/>
      <c r="H25" s="101"/>
      <c r="I25" s="48"/>
      <c r="J25" s="144"/>
      <c r="K25" s="305"/>
    </row>
    <row r="26" spans="1:11">
      <c r="A26" s="318"/>
      <c r="B26" s="312"/>
      <c r="C26" s="292"/>
      <c r="D26" s="292"/>
      <c r="E26" s="292"/>
      <c r="F26" s="292"/>
      <c r="G26" s="48"/>
      <c r="H26" s="101"/>
      <c r="I26" s="48"/>
      <c r="J26" s="144"/>
      <c r="K26" s="306"/>
    </row>
    <row r="27" spans="1:11">
      <c r="A27" s="318"/>
      <c r="B27" s="312"/>
      <c r="C27" s="292"/>
      <c r="D27" s="292"/>
      <c r="E27" s="292"/>
      <c r="F27" s="292"/>
      <c r="G27" s="123"/>
      <c r="H27" s="53"/>
      <c r="I27" s="48"/>
      <c r="J27" s="144"/>
      <c r="K27" s="306"/>
    </row>
    <row r="28" spans="1:11">
      <c r="A28" s="318"/>
      <c r="B28" s="313"/>
      <c r="C28" s="292"/>
      <c r="D28" s="292"/>
      <c r="E28" s="292"/>
      <c r="F28" s="292"/>
      <c r="G28" s="52"/>
      <c r="H28" s="51"/>
      <c r="I28" s="52"/>
      <c r="J28" s="145"/>
      <c r="K28" s="307"/>
    </row>
    <row r="29" spans="1:11">
      <c r="A29" s="317"/>
      <c r="B29" s="310" t="s">
        <v>13</v>
      </c>
      <c r="C29" s="294">
        <v>12000</v>
      </c>
      <c r="D29" s="310"/>
      <c r="E29" s="310"/>
      <c r="F29" s="308"/>
      <c r="G29" s="113"/>
      <c r="H29" s="164"/>
      <c r="I29" s="113"/>
      <c r="J29" s="112"/>
      <c r="K29" s="301"/>
    </row>
    <row r="30" spans="1:11">
      <c r="A30" s="317"/>
      <c r="B30" s="310"/>
      <c r="C30" s="310"/>
      <c r="D30" s="310"/>
      <c r="E30" s="310"/>
      <c r="F30" s="308"/>
      <c r="G30" s="113"/>
      <c r="H30" s="164"/>
      <c r="I30" s="113"/>
      <c r="J30" s="112"/>
      <c r="K30" s="293"/>
    </row>
    <row r="31" spans="1:11">
      <c r="A31" s="317"/>
      <c r="B31" s="310"/>
      <c r="C31" s="310"/>
      <c r="D31" s="310"/>
      <c r="E31" s="310"/>
      <c r="F31" s="308"/>
      <c r="G31" s="113"/>
      <c r="H31" s="164"/>
      <c r="I31" s="113"/>
      <c r="J31" s="112"/>
      <c r="K31" s="293"/>
    </row>
    <row r="32" spans="1:11">
      <c r="A32" s="317"/>
      <c r="B32" s="310"/>
      <c r="C32" s="310"/>
      <c r="D32" s="310"/>
      <c r="E32" s="310"/>
      <c r="F32" s="308"/>
      <c r="G32" s="113"/>
      <c r="H32" s="164"/>
      <c r="I32" s="113"/>
      <c r="J32" s="112"/>
      <c r="K32" s="294"/>
    </row>
    <row r="33" spans="1:11">
      <c r="A33" s="317"/>
      <c r="B33" s="291" t="s">
        <v>14</v>
      </c>
      <c r="C33" s="302">
        <v>12000</v>
      </c>
      <c r="D33" s="291"/>
      <c r="E33" s="291"/>
      <c r="F33" s="291"/>
      <c r="G33" s="36"/>
      <c r="H33" s="165"/>
      <c r="I33" s="36"/>
      <c r="J33" s="131"/>
      <c r="K33" s="302"/>
    </row>
    <row r="34" spans="1:11">
      <c r="A34" s="317"/>
      <c r="B34" s="291"/>
      <c r="C34" s="303"/>
      <c r="D34" s="291"/>
      <c r="E34" s="291"/>
      <c r="F34" s="291"/>
      <c r="G34" s="36"/>
      <c r="H34" s="165"/>
      <c r="I34" s="36"/>
      <c r="J34" s="131"/>
      <c r="K34" s="303"/>
    </row>
    <row r="35" spans="1:11">
      <c r="A35" s="317"/>
      <c r="B35" s="291"/>
      <c r="C35" s="303"/>
      <c r="D35" s="291"/>
      <c r="E35" s="291"/>
      <c r="F35" s="291"/>
      <c r="G35" s="36"/>
      <c r="H35" s="165"/>
      <c r="I35" s="36"/>
      <c r="J35" s="131"/>
      <c r="K35" s="303"/>
    </row>
    <row r="36" spans="1:11">
      <c r="A36" s="317"/>
      <c r="B36" s="291"/>
      <c r="C36" s="304"/>
      <c r="D36" s="291"/>
      <c r="E36" s="291"/>
      <c r="F36" s="291"/>
      <c r="G36" s="36"/>
      <c r="H36" s="165"/>
      <c r="I36" s="36"/>
      <c r="J36" s="131"/>
      <c r="K36" s="304"/>
    </row>
    <row r="37" spans="1:11">
      <c r="A37" s="318"/>
      <c r="B37" s="311" t="s">
        <v>15</v>
      </c>
      <c r="C37" s="292">
        <v>12000</v>
      </c>
      <c r="D37" s="292"/>
      <c r="E37" s="292"/>
      <c r="F37" s="292"/>
      <c r="G37" s="53"/>
      <c r="H37" s="101"/>
      <c r="I37" s="48"/>
      <c r="J37" s="144"/>
      <c r="K37" s="305"/>
    </row>
    <row r="38" spans="1:11">
      <c r="A38" s="318"/>
      <c r="B38" s="312"/>
      <c r="C38" s="292"/>
      <c r="D38" s="292"/>
      <c r="E38" s="292"/>
      <c r="F38" s="292"/>
      <c r="G38" s="48"/>
      <c r="H38" s="101"/>
      <c r="I38" s="48"/>
      <c r="J38" s="144"/>
      <c r="K38" s="306"/>
    </row>
    <row r="39" spans="1:11">
      <c r="A39" s="318"/>
      <c r="B39" s="312"/>
      <c r="C39" s="292"/>
      <c r="D39" s="292"/>
      <c r="E39" s="292"/>
      <c r="F39" s="292"/>
      <c r="G39" s="123"/>
      <c r="H39" s="53"/>
      <c r="I39" s="48"/>
      <c r="J39" s="144"/>
      <c r="K39" s="306"/>
    </row>
    <row r="40" spans="1:11">
      <c r="A40" s="318"/>
      <c r="B40" s="313"/>
      <c r="C40" s="292"/>
      <c r="D40" s="292"/>
      <c r="E40" s="292"/>
      <c r="F40" s="292"/>
      <c r="G40" s="52"/>
      <c r="H40" s="51"/>
      <c r="I40" s="52"/>
      <c r="J40" s="145"/>
      <c r="K40" s="307"/>
    </row>
    <row r="41" spans="1:11">
      <c r="A41" s="317"/>
      <c r="B41" s="310" t="s">
        <v>13</v>
      </c>
      <c r="C41" s="294">
        <v>12000</v>
      </c>
      <c r="D41" s="310"/>
      <c r="E41" s="310"/>
      <c r="F41" s="308"/>
      <c r="G41" s="113"/>
      <c r="H41" s="164"/>
      <c r="I41" s="113"/>
      <c r="J41" s="112"/>
      <c r="K41" s="301"/>
    </row>
    <row r="42" spans="1:11">
      <c r="A42" s="317"/>
      <c r="B42" s="310"/>
      <c r="C42" s="310"/>
      <c r="D42" s="310"/>
      <c r="E42" s="310"/>
      <c r="F42" s="308"/>
      <c r="G42" s="113"/>
      <c r="H42" s="164"/>
      <c r="I42" s="113"/>
      <c r="J42" s="112"/>
      <c r="K42" s="293"/>
    </row>
    <row r="43" spans="1:11">
      <c r="A43" s="317"/>
      <c r="B43" s="310"/>
      <c r="C43" s="310"/>
      <c r="D43" s="310"/>
      <c r="E43" s="310"/>
      <c r="F43" s="308"/>
      <c r="G43" s="113"/>
      <c r="H43" s="164"/>
      <c r="I43" s="113"/>
      <c r="J43" s="112"/>
      <c r="K43" s="293"/>
    </row>
    <row r="44" spans="1:11">
      <c r="A44" s="317"/>
      <c r="B44" s="310"/>
      <c r="C44" s="310"/>
      <c r="D44" s="310"/>
      <c r="E44" s="310"/>
      <c r="F44" s="308"/>
      <c r="G44" s="113"/>
      <c r="H44" s="164"/>
      <c r="I44" s="113"/>
      <c r="J44" s="112"/>
      <c r="K44" s="294"/>
    </row>
    <row r="45" spans="1:11">
      <c r="A45" s="317"/>
      <c r="B45" s="291" t="s">
        <v>14</v>
      </c>
      <c r="C45" s="302">
        <v>12000</v>
      </c>
      <c r="D45" s="291"/>
      <c r="E45" s="291"/>
      <c r="F45" s="291"/>
      <c r="G45" s="36"/>
      <c r="H45" s="165"/>
      <c r="I45" s="36"/>
      <c r="J45" s="131"/>
      <c r="K45" s="302"/>
    </row>
    <row r="46" spans="1:11">
      <c r="A46" s="317"/>
      <c r="B46" s="291"/>
      <c r="C46" s="303"/>
      <c r="D46" s="291"/>
      <c r="E46" s="291"/>
      <c r="F46" s="291"/>
      <c r="G46" s="36"/>
      <c r="H46" s="165"/>
      <c r="I46" s="36"/>
      <c r="J46" s="131"/>
      <c r="K46" s="303"/>
    </row>
    <row r="47" spans="1:11">
      <c r="A47" s="317"/>
      <c r="B47" s="291"/>
      <c r="C47" s="303"/>
      <c r="D47" s="291"/>
      <c r="E47" s="291"/>
      <c r="F47" s="291"/>
      <c r="G47" s="36"/>
      <c r="H47" s="165"/>
      <c r="I47" s="36"/>
      <c r="J47" s="131"/>
      <c r="K47" s="303"/>
    </row>
    <row r="48" spans="1:11">
      <c r="A48" s="317"/>
      <c r="B48" s="291"/>
      <c r="C48" s="304"/>
      <c r="D48" s="291"/>
      <c r="E48" s="291"/>
      <c r="F48" s="291"/>
      <c r="G48" s="36"/>
      <c r="H48" s="165"/>
      <c r="I48" s="36"/>
      <c r="J48" s="131"/>
      <c r="K48" s="304"/>
    </row>
    <row r="49" spans="1:11">
      <c r="A49" s="318"/>
      <c r="B49" s="311" t="s">
        <v>15</v>
      </c>
      <c r="C49" s="292">
        <v>12000</v>
      </c>
      <c r="D49" s="292"/>
      <c r="E49" s="292"/>
      <c r="F49" s="292"/>
      <c r="G49" s="53"/>
      <c r="H49" s="101"/>
      <c r="I49" s="48"/>
      <c r="J49" s="144"/>
      <c r="K49" s="305"/>
    </row>
    <row r="50" spans="1:11">
      <c r="A50" s="318"/>
      <c r="B50" s="312"/>
      <c r="C50" s="292"/>
      <c r="D50" s="292"/>
      <c r="E50" s="292"/>
      <c r="F50" s="292"/>
      <c r="G50" s="48"/>
      <c r="H50" s="101"/>
      <c r="I50" s="48"/>
      <c r="J50" s="144"/>
      <c r="K50" s="306"/>
    </row>
    <row r="51" spans="1:11">
      <c r="A51" s="318"/>
      <c r="B51" s="312"/>
      <c r="C51" s="292"/>
      <c r="D51" s="292"/>
      <c r="E51" s="292"/>
      <c r="F51" s="292"/>
      <c r="G51" s="123"/>
      <c r="H51" s="53"/>
      <c r="I51" s="48"/>
      <c r="J51" s="144"/>
      <c r="K51" s="306"/>
    </row>
    <row r="52" spans="1:11">
      <c r="A52" s="318"/>
      <c r="B52" s="313"/>
      <c r="C52" s="292"/>
      <c r="D52" s="292"/>
      <c r="E52" s="292"/>
      <c r="F52" s="292"/>
      <c r="G52" s="52"/>
      <c r="H52" s="51"/>
      <c r="I52" s="52"/>
      <c r="J52" s="145"/>
      <c r="K52" s="307"/>
    </row>
  </sheetData>
  <mergeCells count="77">
    <mergeCell ref="A1:I1"/>
    <mergeCell ref="A3:A16"/>
    <mergeCell ref="A17:A28"/>
    <mergeCell ref="A29:A40"/>
    <mergeCell ref="A41:A52"/>
    <mergeCell ref="B3:B6"/>
    <mergeCell ref="B7:B12"/>
    <mergeCell ref="B13:B16"/>
    <mergeCell ref="B17:B20"/>
    <mergeCell ref="B21:B24"/>
    <mergeCell ref="B25:B28"/>
    <mergeCell ref="B29:B32"/>
    <mergeCell ref="B33:B36"/>
    <mergeCell ref="B37:B40"/>
    <mergeCell ref="B41:B44"/>
    <mergeCell ref="B45:B48"/>
    <mergeCell ref="B49:B52"/>
    <mergeCell ref="C3:C6"/>
    <mergeCell ref="C7:C12"/>
    <mergeCell ref="C13:C16"/>
    <mergeCell ref="C17:C20"/>
    <mergeCell ref="C21:C24"/>
    <mergeCell ref="C25:C28"/>
    <mergeCell ref="C29:C32"/>
    <mergeCell ref="C33:C36"/>
    <mergeCell ref="C37:C40"/>
    <mergeCell ref="C41:C44"/>
    <mergeCell ref="C45:C48"/>
    <mergeCell ref="C49:C52"/>
    <mergeCell ref="D33:D36"/>
    <mergeCell ref="D37:D40"/>
    <mergeCell ref="D41:D44"/>
    <mergeCell ref="D3:D6"/>
    <mergeCell ref="D7:D12"/>
    <mergeCell ref="D13:D16"/>
    <mergeCell ref="D17:D20"/>
    <mergeCell ref="D21:D24"/>
    <mergeCell ref="D45:D48"/>
    <mergeCell ref="D49:D52"/>
    <mergeCell ref="E3:E6"/>
    <mergeCell ref="E7:E12"/>
    <mergeCell ref="E13:E16"/>
    <mergeCell ref="E17:E20"/>
    <mergeCell ref="E21:E24"/>
    <mergeCell ref="E25:E28"/>
    <mergeCell ref="E29:E32"/>
    <mergeCell ref="E33:E36"/>
    <mergeCell ref="E37:E40"/>
    <mergeCell ref="E41:E44"/>
    <mergeCell ref="E45:E48"/>
    <mergeCell ref="E49:E52"/>
    <mergeCell ref="D25:D28"/>
    <mergeCell ref="D29:D32"/>
    <mergeCell ref="F33:F36"/>
    <mergeCell ref="F37:F40"/>
    <mergeCell ref="F41:F44"/>
    <mergeCell ref="F3:F6"/>
    <mergeCell ref="F7:F12"/>
    <mergeCell ref="F13:F16"/>
    <mergeCell ref="F17:F20"/>
    <mergeCell ref="F21:F24"/>
    <mergeCell ref="F45:F48"/>
    <mergeCell ref="F49:F52"/>
    <mergeCell ref="K3:K6"/>
    <mergeCell ref="K7:K12"/>
    <mergeCell ref="K13:K16"/>
    <mergeCell ref="K17:K20"/>
    <mergeCell ref="K21:K24"/>
    <mergeCell ref="K25:K28"/>
    <mergeCell ref="K29:K32"/>
    <mergeCell ref="K33:K36"/>
    <mergeCell ref="K37:K40"/>
    <mergeCell ref="K41:K44"/>
    <mergeCell ref="K45:K48"/>
    <mergeCell ref="K49:K52"/>
    <mergeCell ref="F25:F28"/>
    <mergeCell ref="F29:F32"/>
  </mergeCells>
  <phoneticPr fontId="18" type="noConversion"/>
  <conditionalFormatting sqref="C77:C1048576">
    <cfRule type="expression" dxfId="38" priority="1" stopIfTrue="1">
      <formula>#REF!&lt;#REF!</formula>
    </cfRule>
  </conditionalFormatting>
  <pageMargins left="0.69930555555555596" right="0.6993055555555559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8"/>
  </sheetPr>
  <dimension ref="A1:J76"/>
  <sheetViews>
    <sheetView zoomScale="115" zoomScaleNormal="115" workbookViewId="0">
      <pane xSplit="10" ySplit="2" topLeftCell="T28" activePane="bottomRight" state="frozen"/>
      <selection pane="topRight"/>
      <selection pane="bottomLeft"/>
      <selection pane="bottomRight" activeCell="I48" sqref="G48:I48"/>
    </sheetView>
  </sheetViews>
  <sheetFormatPr defaultColWidth="9" defaultRowHeight="15"/>
  <cols>
    <col min="7" max="7" width="27" customWidth="1"/>
    <col min="8" max="8" width="60" customWidth="1"/>
  </cols>
  <sheetData>
    <row r="1" spans="1:10">
      <c r="A1" s="314" t="s">
        <v>0</v>
      </c>
      <c r="B1" s="315"/>
      <c r="C1" s="315"/>
      <c r="D1" s="315"/>
      <c r="E1" s="315"/>
      <c r="F1" s="315"/>
      <c r="G1" s="315"/>
      <c r="H1" s="315"/>
      <c r="I1" s="139" t="s">
        <v>1</v>
      </c>
      <c r="J1" s="15"/>
    </row>
    <row r="2" spans="1:10" ht="33.75" hidden="1">
      <c r="A2" s="105" t="s">
        <v>2</v>
      </c>
      <c r="B2" s="106" t="s">
        <v>3</v>
      </c>
      <c r="C2" s="106" t="s">
        <v>4</v>
      </c>
      <c r="D2" s="106" t="s">
        <v>5</v>
      </c>
      <c r="E2" s="106" t="s">
        <v>6</v>
      </c>
      <c r="F2" s="106" t="s">
        <v>7</v>
      </c>
      <c r="G2" s="107" t="s">
        <v>9</v>
      </c>
      <c r="H2" s="107" t="s">
        <v>10</v>
      </c>
      <c r="I2" s="106" t="s">
        <v>11</v>
      </c>
      <c r="J2" s="140" t="s">
        <v>12</v>
      </c>
    </row>
    <row r="3" spans="1:10" hidden="1">
      <c r="A3" s="316">
        <v>45705</v>
      </c>
      <c r="B3" s="294" t="s">
        <v>13</v>
      </c>
      <c r="C3" s="294">
        <v>12000</v>
      </c>
      <c r="D3" s="294">
        <v>4200</v>
      </c>
      <c r="E3" s="294">
        <v>0.5</v>
      </c>
      <c r="F3" s="309" t="s">
        <v>16</v>
      </c>
      <c r="G3" s="183" t="s">
        <v>17</v>
      </c>
      <c r="H3" s="110" t="s">
        <v>18</v>
      </c>
      <c r="I3" s="109">
        <v>40</v>
      </c>
      <c r="J3" s="293">
        <f>SUM(I3:I6)</f>
        <v>40</v>
      </c>
    </row>
    <row r="4" spans="1:10">
      <c r="A4" s="317"/>
      <c r="B4" s="310"/>
      <c r="C4" s="310"/>
      <c r="D4" s="310"/>
      <c r="E4" s="310"/>
      <c r="F4" s="308"/>
      <c r="G4" s="164"/>
      <c r="H4" s="113"/>
      <c r="I4" s="112"/>
      <c r="J4" s="293"/>
    </row>
    <row r="5" spans="1:10">
      <c r="A5" s="317"/>
      <c r="B5" s="310"/>
      <c r="C5" s="310"/>
      <c r="D5" s="310"/>
      <c r="E5" s="310"/>
      <c r="F5" s="308"/>
      <c r="G5" s="113"/>
      <c r="H5" s="113"/>
      <c r="I5" s="112"/>
      <c r="J5" s="293"/>
    </row>
    <row r="6" spans="1:10">
      <c r="A6" s="317"/>
      <c r="B6" s="310"/>
      <c r="C6" s="310"/>
      <c r="D6" s="310"/>
      <c r="E6" s="310"/>
      <c r="F6" s="308"/>
      <c r="G6" s="164"/>
      <c r="H6" s="113"/>
      <c r="I6" s="112"/>
      <c r="J6" s="294"/>
    </row>
    <row r="7" spans="1:10">
      <c r="A7" s="317"/>
      <c r="B7" s="291" t="s">
        <v>14</v>
      </c>
      <c r="C7" s="291">
        <v>12000</v>
      </c>
      <c r="D7" s="291"/>
      <c r="E7" s="291"/>
      <c r="F7" s="291"/>
      <c r="G7" s="165"/>
      <c r="H7" s="36"/>
      <c r="I7" s="131"/>
      <c r="J7" s="302">
        <f>SUM(I7:I10)</f>
        <v>0</v>
      </c>
    </row>
    <row r="8" spans="1:10">
      <c r="A8" s="317"/>
      <c r="B8" s="291"/>
      <c r="C8" s="291"/>
      <c r="D8" s="291"/>
      <c r="E8" s="291"/>
      <c r="F8" s="291"/>
      <c r="G8" s="165"/>
      <c r="H8" s="36"/>
      <c r="I8" s="131"/>
      <c r="J8" s="303"/>
    </row>
    <row r="9" spans="1:10">
      <c r="A9" s="317"/>
      <c r="B9" s="291"/>
      <c r="C9" s="291"/>
      <c r="D9" s="291"/>
      <c r="E9" s="291"/>
      <c r="F9" s="291"/>
      <c r="G9" s="165"/>
      <c r="H9" s="36"/>
      <c r="I9" s="131"/>
      <c r="J9" s="303"/>
    </row>
    <row r="10" spans="1:10">
      <c r="A10" s="317"/>
      <c r="B10" s="291"/>
      <c r="C10" s="291"/>
      <c r="D10" s="291"/>
      <c r="E10" s="291"/>
      <c r="F10" s="291"/>
      <c r="G10" s="165"/>
      <c r="H10" s="36"/>
      <c r="I10" s="131"/>
      <c r="J10" s="304"/>
    </row>
    <row r="11" spans="1:10">
      <c r="A11" s="318"/>
      <c r="B11" s="292" t="s">
        <v>19</v>
      </c>
      <c r="C11" s="292">
        <v>12000</v>
      </c>
      <c r="D11" s="292"/>
      <c r="E11" s="292"/>
      <c r="F11" s="292"/>
      <c r="G11" s="101"/>
      <c r="H11" s="48"/>
      <c r="I11" s="144"/>
      <c r="J11" s="298">
        <f>SUM(I11:I14)</f>
        <v>0</v>
      </c>
    </row>
    <row r="12" spans="1:10">
      <c r="A12" s="318"/>
      <c r="B12" s="292"/>
      <c r="C12" s="292"/>
      <c r="D12" s="292"/>
      <c r="E12" s="292"/>
      <c r="F12" s="292"/>
      <c r="G12" s="101"/>
      <c r="H12" s="48"/>
      <c r="I12" s="144"/>
      <c r="J12" s="299"/>
    </row>
    <row r="13" spans="1:10">
      <c r="A13" s="318"/>
      <c r="B13" s="292"/>
      <c r="C13" s="292"/>
      <c r="D13" s="292"/>
      <c r="E13" s="292"/>
      <c r="F13" s="292"/>
      <c r="G13" s="53"/>
      <c r="H13" s="48"/>
      <c r="I13" s="144"/>
      <c r="J13" s="299"/>
    </row>
    <row r="14" spans="1:10">
      <c r="A14" s="318"/>
      <c r="B14" s="292"/>
      <c r="C14" s="292"/>
      <c r="D14" s="292"/>
      <c r="E14" s="292"/>
      <c r="F14" s="292"/>
      <c r="G14" s="51"/>
      <c r="H14" s="52"/>
      <c r="I14" s="145"/>
      <c r="J14" s="300"/>
    </row>
    <row r="15" spans="1:10" hidden="1">
      <c r="A15" s="317">
        <v>45706</v>
      </c>
      <c r="B15" s="310" t="s">
        <v>13</v>
      </c>
      <c r="C15" s="294">
        <v>12000</v>
      </c>
      <c r="D15" s="310">
        <v>4200</v>
      </c>
      <c r="E15" s="310">
        <v>1.1000000000000001</v>
      </c>
      <c r="F15" s="308" t="s">
        <v>16</v>
      </c>
      <c r="G15" s="164" t="s">
        <v>20</v>
      </c>
      <c r="H15" s="113" t="s">
        <v>21</v>
      </c>
      <c r="I15" s="112">
        <v>60</v>
      </c>
      <c r="J15" s="301">
        <f>SUM(I15:I18)</f>
        <v>265</v>
      </c>
    </row>
    <row r="16" spans="1:10">
      <c r="A16" s="317"/>
      <c r="B16" s="310"/>
      <c r="C16" s="310"/>
      <c r="D16" s="310"/>
      <c r="E16" s="310"/>
      <c r="F16" s="308"/>
      <c r="G16" s="184" t="s">
        <v>22</v>
      </c>
      <c r="H16" s="113" t="s">
        <v>23</v>
      </c>
      <c r="I16" s="112">
        <v>180</v>
      </c>
      <c r="J16" s="293"/>
    </row>
    <row r="17" spans="1:10">
      <c r="A17" s="317"/>
      <c r="B17" s="310"/>
      <c r="C17" s="310"/>
      <c r="D17" s="310"/>
      <c r="E17" s="310"/>
      <c r="F17" s="308"/>
      <c r="G17" s="164" t="s">
        <v>24</v>
      </c>
      <c r="H17" s="113" t="s">
        <v>25</v>
      </c>
      <c r="I17" s="112">
        <v>20</v>
      </c>
      <c r="J17" s="293"/>
    </row>
    <row r="18" spans="1:10">
      <c r="A18" s="317"/>
      <c r="B18" s="310"/>
      <c r="C18" s="310"/>
      <c r="D18" s="310"/>
      <c r="E18" s="310"/>
      <c r="F18" s="308"/>
      <c r="G18" s="164" t="s">
        <v>26</v>
      </c>
      <c r="H18" s="113" t="s">
        <v>27</v>
      </c>
      <c r="I18" s="112">
        <v>5</v>
      </c>
      <c r="J18" s="294"/>
    </row>
    <row r="19" spans="1:10">
      <c r="A19" s="317"/>
      <c r="B19" s="291" t="s">
        <v>14</v>
      </c>
      <c r="C19" s="291">
        <v>12000</v>
      </c>
      <c r="D19" s="291"/>
      <c r="E19" s="291"/>
      <c r="F19" s="291"/>
      <c r="G19" s="165"/>
      <c r="H19" s="36"/>
      <c r="I19" s="131"/>
      <c r="J19" s="302"/>
    </row>
    <row r="20" spans="1:10">
      <c r="A20" s="317"/>
      <c r="B20" s="291"/>
      <c r="C20" s="291"/>
      <c r="D20" s="291"/>
      <c r="E20" s="291"/>
      <c r="F20" s="291"/>
      <c r="G20" s="165"/>
      <c r="H20" s="36"/>
      <c r="I20" s="131"/>
      <c r="J20" s="303"/>
    </row>
    <row r="21" spans="1:10">
      <c r="A21" s="317"/>
      <c r="B21" s="291"/>
      <c r="C21" s="291"/>
      <c r="D21" s="291"/>
      <c r="E21" s="291"/>
      <c r="F21" s="291"/>
      <c r="G21" s="165"/>
      <c r="H21" s="36"/>
      <c r="I21" s="131"/>
      <c r="J21" s="303"/>
    </row>
    <row r="22" spans="1:10">
      <c r="A22" s="317"/>
      <c r="B22" s="291"/>
      <c r="C22" s="291"/>
      <c r="D22" s="291"/>
      <c r="E22" s="291"/>
      <c r="F22" s="291"/>
      <c r="G22" s="165"/>
      <c r="H22" s="36"/>
      <c r="I22" s="131"/>
      <c r="J22" s="304"/>
    </row>
    <row r="23" spans="1:10">
      <c r="A23" s="318"/>
      <c r="B23" s="311" t="s">
        <v>15</v>
      </c>
      <c r="C23" s="292">
        <v>12000</v>
      </c>
      <c r="D23" s="292"/>
      <c r="E23" s="292"/>
      <c r="F23" s="292"/>
      <c r="G23" s="101"/>
      <c r="H23" s="48"/>
      <c r="I23" s="144"/>
      <c r="J23" s="305"/>
    </row>
    <row r="24" spans="1:10">
      <c r="A24" s="318"/>
      <c r="B24" s="312"/>
      <c r="C24" s="292"/>
      <c r="D24" s="292"/>
      <c r="E24" s="292"/>
      <c r="F24" s="292"/>
      <c r="G24" s="101"/>
      <c r="H24" s="48"/>
      <c r="I24" s="144"/>
      <c r="J24" s="306"/>
    </row>
    <row r="25" spans="1:10">
      <c r="A25" s="318"/>
      <c r="B25" s="312"/>
      <c r="C25" s="292"/>
      <c r="D25" s="292"/>
      <c r="E25" s="292"/>
      <c r="F25" s="292"/>
      <c r="G25" s="53"/>
      <c r="H25" s="48"/>
      <c r="I25" s="144"/>
      <c r="J25" s="306"/>
    </row>
    <row r="26" spans="1:10">
      <c r="A26" s="318"/>
      <c r="B26" s="313"/>
      <c r="C26" s="292"/>
      <c r="D26" s="292"/>
      <c r="E26" s="292"/>
      <c r="F26" s="292"/>
      <c r="G26" s="51"/>
      <c r="H26" s="52"/>
      <c r="I26" s="145"/>
      <c r="J26" s="307"/>
    </row>
    <row r="27" spans="1:10" hidden="1">
      <c r="A27" s="317">
        <v>45707</v>
      </c>
      <c r="B27" s="310" t="s">
        <v>13</v>
      </c>
      <c r="C27" s="294">
        <v>12000</v>
      </c>
      <c r="D27" s="310"/>
      <c r="E27" s="310"/>
      <c r="F27" s="308" t="s">
        <v>28</v>
      </c>
      <c r="G27" s="164" t="s">
        <v>29</v>
      </c>
      <c r="H27" s="113" t="s">
        <v>30</v>
      </c>
      <c r="I27" s="112"/>
      <c r="J27" s="301"/>
    </row>
    <row r="28" spans="1:10">
      <c r="A28" s="317"/>
      <c r="B28" s="310"/>
      <c r="C28" s="310"/>
      <c r="D28" s="310"/>
      <c r="E28" s="310"/>
      <c r="F28" s="308"/>
      <c r="G28" s="164" t="s">
        <v>31</v>
      </c>
      <c r="H28" s="113" t="s">
        <v>32</v>
      </c>
      <c r="I28" s="112"/>
      <c r="J28" s="293"/>
    </row>
    <row r="29" spans="1:10">
      <c r="A29" s="317"/>
      <c r="B29" s="310"/>
      <c r="C29" s="310"/>
      <c r="D29" s="310"/>
      <c r="E29" s="310"/>
      <c r="F29" s="308"/>
      <c r="G29" s="164" t="s">
        <v>33</v>
      </c>
      <c r="H29" s="113" t="s">
        <v>34</v>
      </c>
      <c r="I29" s="112"/>
      <c r="J29" s="293"/>
    </row>
    <row r="30" spans="1:10">
      <c r="A30" s="317"/>
      <c r="B30" s="310"/>
      <c r="C30" s="310"/>
      <c r="D30" s="310"/>
      <c r="E30" s="310"/>
      <c r="F30" s="308"/>
      <c r="G30" s="164"/>
      <c r="H30" s="113"/>
      <c r="I30" s="112"/>
      <c r="J30" s="294"/>
    </row>
    <row r="31" spans="1:10">
      <c r="A31" s="317"/>
      <c r="B31" s="291" t="s">
        <v>14</v>
      </c>
      <c r="C31" s="291">
        <v>12000</v>
      </c>
      <c r="D31" s="291"/>
      <c r="E31" s="291"/>
      <c r="F31" s="291"/>
      <c r="G31" s="165"/>
      <c r="H31" s="36"/>
      <c r="I31" s="131"/>
      <c r="J31" s="302"/>
    </row>
    <row r="32" spans="1:10">
      <c r="A32" s="317"/>
      <c r="B32" s="291"/>
      <c r="C32" s="291"/>
      <c r="D32" s="291"/>
      <c r="E32" s="291"/>
      <c r="F32" s="291"/>
      <c r="G32" s="165"/>
      <c r="H32" s="36"/>
      <c r="I32" s="131"/>
      <c r="J32" s="303"/>
    </row>
    <row r="33" spans="1:10">
      <c r="A33" s="317"/>
      <c r="B33" s="291"/>
      <c r="C33" s="291"/>
      <c r="D33" s="291"/>
      <c r="E33" s="291"/>
      <c r="F33" s="291"/>
      <c r="G33" s="165"/>
      <c r="H33" s="36"/>
      <c r="I33" s="131"/>
      <c r="J33" s="303"/>
    </row>
    <row r="34" spans="1:10">
      <c r="A34" s="317"/>
      <c r="B34" s="291"/>
      <c r="C34" s="291"/>
      <c r="D34" s="291"/>
      <c r="E34" s="291"/>
      <c r="F34" s="291"/>
      <c r="G34" s="165"/>
      <c r="H34" s="36"/>
      <c r="I34" s="131"/>
      <c r="J34" s="304"/>
    </row>
    <row r="35" spans="1:10">
      <c r="A35" s="318"/>
      <c r="B35" s="311" t="s">
        <v>15</v>
      </c>
      <c r="C35" s="292">
        <v>12000</v>
      </c>
      <c r="D35" s="292"/>
      <c r="E35" s="292"/>
      <c r="F35" s="292"/>
      <c r="G35" s="101"/>
      <c r="H35" s="48"/>
      <c r="I35" s="144"/>
      <c r="J35" s="305"/>
    </row>
    <row r="36" spans="1:10">
      <c r="A36" s="318"/>
      <c r="B36" s="312"/>
      <c r="C36" s="292"/>
      <c r="D36" s="292"/>
      <c r="E36" s="292"/>
      <c r="F36" s="292"/>
      <c r="G36" s="101"/>
      <c r="H36" s="48"/>
      <c r="I36" s="144"/>
      <c r="J36" s="306"/>
    </row>
    <row r="37" spans="1:10">
      <c r="A37" s="318"/>
      <c r="B37" s="312"/>
      <c r="C37" s="292"/>
      <c r="D37" s="292"/>
      <c r="E37" s="292"/>
      <c r="F37" s="292"/>
      <c r="G37" s="53"/>
      <c r="H37" s="48"/>
      <c r="I37" s="144"/>
      <c r="J37" s="306"/>
    </row>
    <row r="38" spans="1:10">
      <c r="A38" s="318"/>
      <c r="B38" s="313"/>
      <c r="C38" s="292"/>
      <c r="D38" s="292"/>
      <c r="E38" s="292"/>
      <c r="F38" s="292"/>
      <c r="G38" s="51"/>
      <c r="H38" s="52"/>
      <c r="I38" s="145"/>
      <c r="J38" s="307"/>
    </row>
    <row r="39" spans="1:10" hidden="1">
      <c r="A39" s="317">
        <v>45708</v>
      </c>
      <c r="B39" s="310" t="s">
        <v>13</v>
      </c>
      <c r="C39" s="294">
        <v>12000</v>
      </c>
      <c r="D39" s="310">
        <v>7251</v>
      </c>
      <c r="E39" s="310">
        <v>1.3</v>
      </c>
      <c r="F39" s="301" t="s">
        <v>35</v>
      </c>
      <c r="G39" s="184" t="s">
        <v>36</v>
      </c>
      <c r="H39" s="113" t="s">
        <v>37</v>
      </c>
      <c r="I39" s="112">
        <v>90</v>
      </c>
      <c r="J39" s="301">
        <f>SUM(I39:I42)</f>
        <v>124</v>
      </c>
    </row>
    <row r="40" spans="1:10">
      <c r="A40" s="317"/>
      <c r="B40" s="310"/>
      <c r="C40" s="310"/>
      <c r="D40" s="310"/>
      <c r="E40" s="310"/>
      <c r="F40" s="293"/>
      <c r="G40" s="184" t="s">
        <v>38</v>
      </c>
      <c r="H40" s="113" t="s">
        <v>39</v>
      </c>
      <c r="I40" s="112">
        <v>30</v>
      </c>
      <c r="J40" s="293"/>
    </row>
    <row r="41" spans="1:10">
      <c r="A41" s="317"/>
      <c r="B41" s="310"/>
      <c r="C41" s="310"/>
      <c r="D41" s="310"/>
      <c r="E41" s="310"/>
      <c r="F41" s="293"/>
      <c r="G41" s="184" t="s">
        <v>40</v>
      </c>
      <c r="H41" s="113" t="s">
        <v>41</v>
      </c>
      <c r="I41" s="112">
        <v>2</v>
      </c>
      <c r="J41" s="293"/>
    </row>
    <row r="42" spans="1:10">
      <c r="A42" s="317"/>
      <c r="B42" s="310"/>
      <c r="C42" s="310"/>
      <c r="D42" s="310"/>
      <c r="E42" s="310"/>
      <c r="F42" s="294"/>
      <c r="G42" s="184" t="s">
        <v>42</v>
      </c>
      <c r="H42" s="113" t="s">
        <v>43</v>
      </c>
      <c r="I42" s="112">
        <v>2</v>
      </c>
      <c r="J42" s="294"/>
    </row>
    <row r="43" spans="1:10" hidden="1">
      <c r="A43" s="317"/>
      <c r="B43" s="291" t="s">
        <v>14</v>
      </c>
      <c r="C43" s="291">
        <v>12000</v>
      </c>
      <c r="D43" s="291">
        <v>9534</v>
      </c>
      <c r="E43" s="291">
        <v>0.57999999999999996</v>
      </c>
      <c r="F43" s="291" t="s">
        <v>44</v>
      </c>
      <c r="G43" s="165" t="s">
        <v>45</v>
      </c>
      <c r="H43" s="36" t="s">
        <v>46</v>
      </c>
      <c r="I43" s="131">
        <v>34</v>
      </c>
      <c r="J43" s="302">
        <f>I43+I44+I45</f>
        <v>61</v>
      </c>
    </row>
    <row r="44" spans="1:10">
      <c r="A44" s="317"/>
      <c r="B44" s="291"/>
      <c r="C44" s="291"/>
      <c r="D44" s="291"/>
      <c r="E44" s="291"/>
      <c r="F44" s="291"/>
      <c r="G44" s="165" t="s">
        <v>47</v>
      </c>
      <c r="H44" s="36" t="s">
        <v>48</v>
      </c>
      <c r="I44" s="131">
        <v>14</v>
      </c>
      <c r="J44" s="303"/>
    </row>
    <row r="45" spans="1:10">
      <c r="A45" s="317"/>
      <c r="B45" s="291"/>
      <c r="C45" s="291"/>
      <c r="D45" s="291"/>
      <c r="E45" s="291"/>
      <c r="F45" s="291"/>
      <c r="G45" s="165" t="s">
        <v>49</v>
      </c>
      <c r="H45" s="36" t="s">
        <v>50</v>
      </c>
      <c r="I45" s="131">
        <v>13</v>
      </c>
      <c r="J45" s="303"/>
    </row>
    <row r="46" spans="1:10">
      <c r="A46" s="317"/>
      <c r="B46" s="291"/>
      <c r="C46" s="291"/>
      <c r="D46" s="291"/>
      <c r="E46" s="291"/>
      <c r="F46" s="291"/>
      <c r="G46" s="165"/>
      <c r="H46" s="36"/>
      <c r="I46" s="131"/>
      <c r="J46" s="304"/>
    </row>
    <row r="47" spans="1:10" hidden="1">
      <c r="A47" s="318"/>
      <c r="B47" s="311" t="s">
        <v>15</v>
      </c>
      <c r="C47" s="292">
        <v>12000</v>
      </c>
      <c r="D47" s="292">
        <v>11411</v>
      </c>
      <c r="E47" s="292">
        <v>0.6</v>
      </c>
      <c r="F47" s="292" t="s">
        <v>51</v>
      </c>
      <c r="G47" s="101" t="s">
        <v>52</v>
      </c>
      <c r="H47" s="48" t="s">
        <v>53</v>
      </c>
      <c r="I47" s="102">
        <v>10</v>
      </c>
      <c r="J47" s="311">
        <f>SUM(I47:I50)</f>
        <v>20</v>
      </c>
    </row>
    <row r="48" spans="1:10">
      <c r="A48" s="318"/>
      <c r="B48" s="312"/>
      <c r="C48" s="292"/>
      <c r="D48" s="292"/>
      <c r="E48" s="292"/>
      <c r="F48" s="292"/>
      <c r="G48" s="101" t="s">
        <v>54</v>
      </c>
      <c r="H48" s="48" t="s">
        <v>55</v>
      </c>
      <c r="I48" s="102">
        <v>5</v>
      </c>
      <c r="J48" s="312"/>
    </row>
    <row r="49" spans="1:10">
      <c r="A49" s="318"/>
      <c r="B49" s="312"/>
      <c r="C49" s="292"/>
      <c r="D49" s="292"/>
      <c r="E49" s="292"/>
      <c r="F49" s="292"/>
      <c r="G49" s="53" t="s">
        <v>56</v>
      </c>
      <c r="H49" s="48" t="s">
        <v>57</v>
      </c>
      <c r="I49" s="102">
        <v>5</v>
      </c>
      <c r="J49" s="312"/>
    </row>
    <row r="50" spans="1:10">
      <c r="A50" s="318"/>
      <c r="B50" s="313"/>
      <c r="C50" s="292"/>
      <c r="D50" s="292"/>
      <c r="E50" s="292"/>
      <c r="F50" s="292"/>
      <c r="G50" s="51"/>
      <c r="H50" s="52"/>
      <c r="I50" s="145"/>
      <c r="J50" s="313"/>
    </row>
    <row r="51" spans="1:10" ht="22.5" hidden="1">
      <c r="A51" s="317">
        <v>45709</v>
      </c>
      <c r="B51" s="310" t="s">
        <v>13</v>
      </c>
      <c r="C51" s="294">
        <v>12000</v>
      </c>
      <c r="D51" s="310">
        <v>8293</v>
      </c>
      <c r="E51" s="310">
        <v>0.94</v>
      </c>
      <c r="F51" s="301" t="s">
        <v>58</v>
      </c>
      <c r="G51" s="185" t="s">
        <v>59</v>
      </c>
      <c r="H51" s="113" t="s">
        <v>60</v>
      </c>
      <c r="I51" s="112">
        <v>5</v>
      </c>
      <c r="J51" s="301">
        <f>SUM(I51:I55)</f>
        <v>40</v>
      </c>
    </row>
    <row r="52" spans="1:10" ht="22.5">
      <c r="A52" s="317"/>
      <c r="B52" s="310"/>
      <c r="C52" s="310"/>
      <c r="D52" s="310"/>
      <c r="E52" s="310"/>
      <c r="F52" s="293"/>
      <c r="G52" s="185" t="s">
        <v>61</v>
      </c>
      <c r="H52" s="113" t="s">
        <v>62</v>
      </c>
      <c r="I52" s="112">
        <v>15</v>
      </c>
      <c r="J52" s="293"/>
    </row>
    <row r="53" spans="1:10">
      <c r="A53" s="317"/>
      <c r="B53" s="310"/>
      <c r="C53" s="310"/>
      <c r="D53" s="310"/>
      <c r="E53" s="310"/>
      <c r="F53" s="293"/>
      <c r="G53" s="184" t="s">
        <v>63</v>
      </c>
      <c r="H53" s="113" t="s">
        <v>64</v>
      </c>
      <c r="I53" s="112">
        <v>5</v>
      </c>
      <c r="J53" s="293"/>
    </row>
    <row r="54" spans="1:10">
      <c r="A54" s="317"/>
      <c r="B54" s="310"/>
      <c r="C54" s="310"/>
      <c r="D54" s="310"/>
      <c r="E54" s="310"/>
      <c r="F54" s="293"/>
      <c r="G54" s="184" t="s">
        <v>17</v>
      </c>
      <c r="H54" s="113" t="s">
        <v>65</v>
      </c>
      <c r="I54" s="112">
        <v>5</v>
      </c>
      <c r="J54" s="293"/>
    </row>
    <row r="55" spans="1:10">
      <c r="A55" s="317"/>
      <c r="B55" s="310"/>
      <c r="C55" s="310"/>
      <c r="D55" s="310"/>
      <c r="E55" s="310"/>
      <c r="F55" s="293"/>
      <c r="G55" s="184" t="s">
        <v>66</v>
      </c>
      <c r="H55" s="113" t="s">
        <v>67</v>
      </c>
      <c r="I55" s="112">
        <v>10</v>
      </c>
      <c r="J55" s="294"/>
    </row>
    <row r="56" spans="1:10" ht="34.5" hidden="1">
      <c r="A56" s="317"/>
      <c r="B56" s="291" t="s">
        <v>14</v>
      </c>
      <c r="C56" s="291">
        <v>12000</v>
      </c>
      <c r="D56" s="291">
        <v>10355</v>
      </c>
      <c r="E56" s="291">
        <v>0.62</v>
      </c>
      <c r="F56" s="291" t="s">
        <v>44</v>
      </c>
      <c r="G56" s="186" t="s">
        <v>68</v>
      </c>
      <c r="H56" s="36" t="s">
        <v>69</v>
      </c>
      <c r="I56" s="131">
        <v>21</v>
      </c>
      <c r="J56" s="302">
        <f>I56+I57+I58</f>
        <v>58</v>
      </c>
    </row>
    <row r="57" spans="1:10">
      <c r="A57" s="317"/>
      <c r="B57" s="291"/>
      <c r="C57" s="291"/>
      <c r="D57" s="291"/>
      <c r="E57" s="291"/>
      <c r="F57" s="291"/>
      <c r="G57" s="187" t="s">
        <v>70</v>
      </c>
      <c r="H57" s="36" t="s">
        <v>71</v>
      </c>
      <c r="I57" s="131">
        <v>15</v>
      </c>
      <c r="J57" s="303"/>
    </row>
    <row r="58" spans="1:10" ht="23.25">
      <c r="A58" s="317"/>
      <c r="B58" s="291"/>
      <c r="C58" s="291"/>
      <c r="D58" s="291"/>
      <c r="E58" s="291"/>
      <c r="F58" s="291"/>
      <c r="G58" s="186" t="s">
        <v>72</v>
      </c>
      <c r="H58" s="36" t="s">
        <v>73</v>
      </c>
      <c r="I58" s="131">
        <v>22</v>
      </c>
      <c r="J58" s="303"/>
    </row>
    <row r="59" spans="1:10">
      <c r="A59" s="317"/>
      <c r="B59" s="291"/>
      <c r="C59" s="291"/>
      <c r="D59" s="291"/>
      <c r="E59" s="291"/>
      <c r="F59" s="291"/>
      <c r="G59" s="165"/>
      <c r="H59" s="36"/>
      <c r="I59" s="131"/>
      <c r="J59" s="304"/>
    </row>
    <row r="60" spans="1:10" hidden="1">
      <c r="A60" s="318"/>
      <c r="B60" s="311" t="s">
        <v>19</v>
      </c>
      <c r="C60" s="292">
        <v>12000</v>
      </c>
      <c r="D60" s="292">
        <v>11227</v>
      </c>
      <c r="E60" s="292">
        <v>0.72</v>
      </c>
      <c r="F60" s="292" t="s">
        <v>51</v>
      </c>
      <c r="G60" s="101" t="s">
        <v>74</v>
      </c>
      <c r="H60" s="48" t="s">
        <v>75</v>
      </c>
      <c r="I60" s="102">
        <v>40</v>
      </c>
      <c r="J60" s="311">
        <v>41</v>
      </c>
    </row>
    <row r="61" spans="1:10">
      <c r="A61" s="318"/>
      <c r="B61" s="312"/>
      <c r="C61" s="292"/>
      <c r="D61" s="292"/>
      <c r="E61" s="292"/>
      <c r="F61" s="292"/>
      <c r="G61" s="101" t="s">
        <v>76</v>
      </c>
      <c r="H61" s="48" t="s">
        <v>77</v>
      </c>
      <c r="I61" s="102">
        <v>1</v>
      </c>
      <c r="J61" s="312"/>
    </row>
    <row r="62" spans="1:10">
      <c r="A62" s="318"/>
      <c r="B62" s="312"/>
      <c r="C62" s="292"/>
      <c r="D62" s="292"/>
      <c r="E62" s="292"/>
      <c r="F62" s="292"/>
      <c r="G62" s="53"/>
      <c r="H62" s="48"/>
      <c r="I62" s="102"/>
      <c r="J62" s="312"/>
    </row>
    <row r="63" spans="1:10">
      <c r="A63" s="318"/>
      <c r="B63" s="313"/>
      <c r="C63" s="292"/>
      <c r="D63" s="292"/>
      <c r="E63" s="292"/>
      <c r="F63" s="292"/>
      <c r="G63" s="51"/>
      <c r="H63" s="52"/>
      <c r="I63" s="145"/>
      <c r="J63" s="313"/>
    </row>
    <row r="64" spans="1:10" hidden="1">
      <c r="A64" s="317">
        <v>45710</v>
      </c>
      <c r="B64" s="310" t="s">
        <v>13</v>
      </c>
      <c r="C64" s="294">
        <v>12000</v>
      </c>
      <c r="D64" s="310"/>
      <c r="E64" s="310"/>
      <c r="F64" s="301" t="s">
        <v>51</v>
      </c>
      <c r="G64" s="113" t="s">
        <v>74</v>
      </c>
      <c r="H64" s="113" t="s">
        <v>78</v>
      </c>
      <c r="I64" s="112">
        <v>5</v>
      </c>
      <c r="J64" s="301"/>
    </row>
    <row r="65" spans="1:10">
      <c r="A65" s="317"/>
      <c r="B65" s="310"/>
      <c r="C65" s="310"/>
      <c r="D65" s="310"/>
      <c r="E65" s="310"/>
      <c r="F65" s="293"/>
      <c r="G65" s="185" t="s">
        <v>79</v>
      </c>
      <c r="H65" s="113" t="s">
        <v>80</v>
      </c>
      <c r="I65" s="112">
        <v>2</v>
      </c>
      <c r="J65" s="293"/>
    </row>
    <row r="66" spans="1:10">
      <c r="A66" s="317"/>
      <c r="B66" s="310"/>
      <c r="C66" s="310"/>
      <c r="D66" s="310"/>
      <c r="E66" s="310"/>
      <c r="F66" s="293"/>
      <c r="G66" s="184" t="s">
        <v>81</v>
      </c>
      <c r="H66" s="113" t="s">
        <v>82</v>
      </c>
      <c r="I66" s="112">
        <v>3</v>
      </c>
      <c r="J66" s="293"/>
    </row>
    <row r="67" spans="1:10">
      <c r="A67" s="317"/>
      <c r="B67" s="310"/>
      <c r="C67" s="310"/>
      <c r="D67" s="310"/>
      <c r="E67" s="310"/>
      <c r="F67" s="293"/>
      <c r="G67" s="184"/>
      <c r="H67" s="113"/>
      <c r="I67" s="112"/>
      <c r="J67" s="293"/>
    </row>
    <row r="68" spans="1:10">
      <c r="A68" s="317"/>
      <c r="B68" s="310"/>
      <c r="C68" s="310"/>
      <c r="D68" s="310"/>
      <c r="E68" s="310"/>
      <c r="F68" s="293"/>
      <c r="G68" s="184"/>
      <c r="H68" s="113"/>
      <c r="I68" s="112"/>
      <c r="J68" s="294"/>
    </row>
    <row r="69" spans="1:10" hidden="1">
      <c r="A69" s="317"/>
      <c r="B69" s="291" t="s">
        <v>14</v>
      </c>
      <c r="C69" s="291">
        <v>12000</v>
      </c>
      <c r="D69" s="291">
        <v>10395</v>
      </c>
      <c r="E69" s="291">
        <v>0.51</v>
      </c>
      <c r="F69" s="291" t="s">
        <v>83</v>
      </c>
      <c r="G69" s="186" t="s">
        <v>84</v>
      </c>
      <c r="H69" s="36" t="s">
        <v>85</v>
      </c>
      <c r="I69" s="131">
        <v>13</v>
      </c>
      <c r="J69" s="302">
        <f>I69+I70+I71</f>
        <v>52</v>
      </c>
    </row>
    <row r="70" spans="1:10">
      <c r="A70" s="317"/>
      <c r="B70" s="291"/>
      <c r="C70" s="291"/>
      <c r="D70" s="291"/>
      <c r="E70" s="291"/>
      <c r="F70" s="291"/>
      <c r="G70" s="187" t="s">
        <v>86</v>
      </c>
      <c r="H70" s="36" t="s">
        <v>87</v>
      </c>
      <c r="I70" s="131">
        <v>19</v>
      </c>
      <c r="J70" s="303"/>
    </row>
    <row r="71" spans="1:10">
      <c r="A71" s="317"/>
      <c r="B71" s="291"/>
      <c r="C71" s="291"/>
      <c r="D71" s="291"/>
      <c r="E71" s="291"/>
      <c r="F71" s="291"/>
      <c r="G71" s="188" t="s">
        <v>88</v>
      </c>
      <c r="H71" s="36" t="s">
        <v>89</v>
      </c>
      <c r="I71" s="131">
        <v>20</v>
      </c>
      <c r="J71" s="303"/>
    </row>
    <row r="72" spans="1:10">
      <c r="A72" s="317"/>
      <c r="B72" s="291"/>
      <c r="C72" s="291"/>
      <c r="D72" s="291"/>
      <c r="E72" s="291"/>
      <c r="F72" s="291"/>
      <c r="G72" s="165"/>
      <c r="H72" s="36"/>
      <c r="I72" s="131"/>
      <c r="J72" s="304"/>
    </row>
    <row r="73" spans="1:10" hidden="1">
      <c r="A73" s="318"/>
      <c r="B73" s="311"/>
      <c r="C73" s="292">
        <v>12000</v>
      </c>
      <c r="D73" s="292" t="s">
        <v>90</v>
      </c>
      <c r="E73" s="292">
        <v>0.7</v>
      </c>
      <c r="F73" s="292" t="s">
        <v>28</v>
      </c>
      <c r="G73" s="53" t="s">
        <v>91</v>
      </c>
      <c r="H73" s="48" t="s">
        <v>92</v>
      </c>
      <c r="I73" s="102">
        <v>5</v>
      </c>
      <c r="J73" s="311">
        <v>12</v>
      </c>
    </row>
    <row r="74" spans="1:10">
      <c r="A74" s="318"/>
      <c r="B74" s="312"/>
      <c r="C74" s="292"/>
      <c r="D74" s="292"/>
      <c r="E74" s="292"/>
      <c r="F74" s="292"/>
      <c r="G74" s="53" t="s">
        <v>93</v>
      </c>
      <c r="H74" s="48" t="s">
        <v>94</v>
      </c>
      <c r="I74" s="102">
        <v>2</v>
      </c>
      <c r="J74" s="312"/>
    </row>
    <row r="75" spans="1:10" ht="22.5">
      <c r="A75" s="318"/>
      <c r="B75" s="312"/>
      <c r="C75" s="292"/>
      <c r="D75" s="292"/>
      <c r="E75" s="292"/>
      <c r="F75" s="292"/>
      <c r="G75" s="53" t="s">
        <v>95</v>
      </c>
      <c r="H75" s="48" t="s">
        <v>60</v>
      </c>
      <c r="I75" s="102">
        <v>2</v>
      </c>
      <c r="J75" s="312"/>
    </row>
    <row r="76" spans="1:10">
      <c r="A76" s="318"/>
      <c r="B76" s="313"/>
      <c r="C76" s="292"/>
      <c r="D76" s="292"/>
      <c r="E76" s="292"/>
      <c r="F76" s="292"/>
      <c r="G76" s="53" t="s">
        <v>26</v>
      </c>
      <c r="H76" s="48" t="s">
        <v>27</v>
      </c>
      <c r="I76" s="102">
        <v>3</v>
      </c>
      <c r="J76" s="313"/>
    </row>
  </sheetData>
  <autoFilter ref="F1:F76">
    <filterColumn colId="0">
      <filters blank="1"/>
    </filterColumn>
  </autoFilter>
  <mergeCells count="115">
    <mergeCell ref="A1:H1"/>
    <mergeCell ref="A3:A14"/>
    <mergeCell ref="A15:A26"/>
    <mergeCell ref="A27:A38"/>
    <mergeCell ref="A39:A50"/>
    <mergeCell ref="A51:A63"/>
    <mergeCell ref="A64:A76"/>
    <mergeCell ref="B3:B6"/>
    <mergeCell ref="B7:B10"/>
    <mergeCell ref="B11:B14"/>
    <mergeCell ref="B15:B18"/>
    <mergeCell ref="B19:B22"/>
    <mergeCell ref="B23:B26"/>
    <mergeCell ref="B27:B30"/>
    <mergeCell ref="B31:B34"/>
    <mergeCell ref="B35:B38"/>
    <mergeCell ref="B39:B42"/>
    <mergeCell ref="B43:B46"/>
    <mergeCell ref="B47:B50"/>
    <mergeCell ref="B51:B55"/>
    <mergeCell ref="B56:B59"/>
    <mergeCell ref="B60:B63"/>
    <mergeCell ref="B64:B68"/>
    <mergeCell ref="B69:B72"/>
    <mergeCell ref="B73:B76"/>
    <mergeCell ref="C3:C6"/>
    <mergeCell ref="C7:C10"/>
    <mergeCell ref="C11:C14"/>
    <mergeCell ref="C15:C18"/>
    <mergeCell ref="C19:C22"/>
    <mergeCell ref="C23:C26"/>
    <mergeCell ref="C27:C30"/>
    <mergeCell ref="C31:C34"/>
    <mergeCell ref="C35:C38"/>
    <mergeCell ref="C39:C42"/>
    <mergeCell ref="C43:C46"/>
    <mergeCell ref="C47:C50"/>
    <mergeCell ref="C51:C55"/>
    <mergeCell ref="C56:C59"/>
    <mergeCell ref="C60:C63"/>
    <mergeCell ref="C64:C68"/>
    <mergeCell ref="C69:C72"/>
    <mergeCell ref="C73:C76"/>
    <mergeCell ref="D3:D6"/>
    <mergeCell ref="D7:D10"/>
    <mergeCell ref="D11:D14"/>
    <mergeCell ref="D15:D18"/>
    <mergeCell ref="D19:D22"/>
    <mergeCell ref="D23:D26"/>
    <mergeCell ref="D27:D30"/>
    <mergeCell ref="D31:D34"/>
    <mergeCell ref="D35:D38"/>
    <mergeCell ref="D39:D42"/>
    <mergeCell ref="D43:D46"/>
    <mergeCell ref="D47:D50"/>
    <mergeCell ref="D51:D55"/>
    <mergeCell ref="D56:D59"/>
    <mergeCell ref="D60:D63"/>
    <mergeCell ref="D64:D68"/>
    <mergeCell ref="D69:D72"/>
    <mergeCell ref="D73:D76"/>
    <mergeCell ref="E3:E6"/>
    <mergeCell ref="E7:E10"/>
    <mergeCell ref="E11:E14"/>
    <mergeCell ref="E15:E18"/>
    <mergeCell ref="E19:E22"/>
    <mergeCell ref="E23:E26"/>
    <mergeCell ref="E27:E30"/>
    <mergeCell ref="E31:E34"/>
    <mergeCell ref="E35:E38"/>
    <mergeCell ref="E39:E42"/>
    <mergeCell ref="E43:E46"/>
    <mergeCell ref="E47:E50"/>
    <mergeCell ref="E51:E55"/>
    <mergeCell ref="E56:E59"/>
    <mergeCell ref="E60:E63"/>
    <mergeCell ref="E64:E68"/>
    <mergeCell ref="E69:E72"/>
    <mergeCell ref="E73:E76"/>
    <mergeCell ref="F3:F6"/>
    <mergeCell ref="F7:F10"/>
    <mergeCell ref="F11:F14"/>
    <mergeCell ref="F15:F18"/>
    <mergeCell ref="F19:F22"/>
    <mergeCell ref="F23:F26"/>
    <mergeCell ref="F27:F30"/>
    <mergeCell ref="F31:F34"/>
    <mergeCell ref="F35:F38"/>
    <mergeCell ref="F39:F42"/>
    <mergeCell ref="F43:F46"/>
    <mergeCell ref="F47:F50"/>
    <mergeCell ref="F51:F55"/>
    <mergeCell ref="F56:F59"/>
    <mergeCell ref="F60:F63"/>
    <mergeCell ref="F64:F68"/>
    <mergeCell ref="F69:F72"/>
    <mergeCell ref="F73:F76"/>
    <mergeCell ref="J3:J6"/>
    <mergeCell ref="J7:J10"/>
    <mergeCell ref="J11:J14"/>
    <mergeCell ref="J15:J18"/>
    <mergeCell ref="J19:J22"/>
    <mergeCell ref="J23:J26"/>
    <mergeCell ref="J27:J30"/>
    <mergeCell ref="J31:J34"/>
    <mergeCell ref="J35:J38"/>
    <mergeCell ref="J39:J42"/>
    <mergeCell ref="J43:J46"/>
    <mergeCell ref="J47:J50"/>
    <mergeCell ref="J51:J55"/>
    <mergeCell ref="J56:J59"/>
    <mergeCell ref="J60:J63"/>
    <mergeCell ref="J64:J68"/>
    <mergeCell ref="J69:J72"/>
    <mergeCell ref="J73:J76"/>
  </mergeCells>
  <phoneticPr fontId="18" type="noConversion"/>
  <pageMargins left="0.69930555555555596" right="0.69930555555555596"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O211"/>
  <sheetViews>
    <sheetView topLeftCell="A138" workbookViewId="0">
      <selection activeCell="H155" sqref="H155"/>
    </sheetView>
  </sheetViews>
  <sheetFormatPr defaultColWidth="9" defaultRowHeight="15"/>
  <cols>
    <col min="1" max="6" width="9" style="104"/>
    <col min="7" max="7" width="37.85546875" style="104" customWidth="1"/>
    <col min="8" max="8" width="29.140625" style="104" customWidth="1"/>
    <col min="9" max="9" width="150.28515625" style="104" customWidth="1"/>
    <col min="10" max="16384" width="9" style="104"/>
  </cols>
  <sheetData>
    <row r="1" spans="1:11">
      <c r="A1" s="314" t="s">
        <v>0</v>
      </c>
      <c r="B1" s="315"/>
      <c r="C1" s="315"/>
      <c r="D1" s="315"/>
      <c r="E1" s="315"/>
      <c r="F1" s="315"/>
      <c r="G1" s="315"/>
      <c r="H1" s="315"/>
      <c r="I1" s="315"/>
      <c r="J1" s="139" t="s">
        <v>1</v>
      </c>
      <c r="K1" s="15"/>
    </row>
    <row r="2" spans="1:11" ht="22.5">
      <c r="A2" s="105" t="s">
        <v>2</v>
      </c>
      <c r="B2" s="106" t="s">
        <v>3</v>
      </c>
      <c r="C2" s="106" t="s">
        <v>4</v>
      </c>
      <c r="D2" s="106" t="s">
        <v>5</v>
      </c>
      <c r="E2" s="106" t="s">
        <v>6</v>
      </c>
      <c r="F2" s="106" t="s">
        <v>7</v>
      </c>
      <c r="G2" s="107" t="s">
        <v>8</v>
      </c>
      <c r="H2" s="108" t="s">
        <v>9</v>
      </c>
      <c r="I2" s="107" t="s">
        <v>96</v>
      </c>
      <c r="J2" s="106" t="s">
        <v>97</v>
      </c>
      <c r="K2" s="140"/>
    </row>
    <row r="3" spans="1:11">
      <c r="A3" s="350" t="s">
        <v>98</v>
      </c>
      <c r="B3" s="294" t="s">
        <v>13</v>
      </c>
      <c r="C3" s="294">
        <v>12000</v>
      </c>
      <c r="D3" s="294"/>
      <c r="E3" s="294"/>
      <c r="F3" s="309"/>
      <c r="G3" s="110"/>
      <c r="H3" s="111"/>
      <c r="I3" s="110"/>
      <c r="J3" s="109"/>
      <c r="K3" s="293"/>
    </row>
    <row r="4" spans="1:11">
      <c r="A4" s="351"/>
      <c r="B4" s="310"/>
      <c r="C4" s="310"/>
      <c r="D4" s="310"/>
      <c r="E4" s="310"/>
      <c r="F4" s="308"/>
      <c r="G4" s="113"/>
      <c r="H4" s="114"/>
      <c r="I4" s="113"/>
      <c r="J4" s="112"/>
      <c r="K4" s="293"/>
    </row>
    <row r="5" spans="1:11">
      <c r="A5" s="351"/>
      <c r="B5" s="310"/>
      <c r="C5" s="310"/>
      <c r="D5" s="310"/>
      <c r="E5" s="310"/>
      <c r="F5" s="308"/>
      <c r="G5" s="113"/>
      <c r="H5" s="114"/>
      <c r="I5" s="113"/>
      <c r="J5" s="112"/>
      <c r="K5" s="293"/>
    </row>
    <row r="6" spans="1:11">
      <c r="A6" s="351"/>
      <c r="B6" s="310"/>
      <c r="C6" s="310"/>
      <c r="D6" s="310"/>
      <c r="E6" s="310"/>
      <c r="F6" s="308"/>
      <c r="G6" s="113"/>
      <c r="H6" s="114"/>
      <c r="I6" s="113"/>
      <c r="J6" s="112"/>
      <c r="K6" s="294"/>
    </row>
    <row r="7" spans="1:11">
      <c r="A7" s="351"/>
      <c r="B7" s="115"/>
      <c r="C7" s="115"/>
      <c r="D7" s="115"/>
      <c r="E7" s="115"/>
      <c r="F7" s="116"/>
      <c r="G7" s="113"/>
      <c r="H7" s="114"/>
      <c r="I7" s="113"/>
      <c r="J7" s="112"/>
      <c r="K7" s="136"/>
    </row>
    <row r="8" spans="1:11" ht="14.25" customHeight="1">
      <c r="A8" s="351"/>
      <c r="B8" s="340" t="s">
        <v>14</v>
      </c>
      <c r="C8" s="346">
        <v>12000</v>
      </c>
      <c r="D8" s="340">
        <v>7542</v>
      </c>
      <c r="E8" s="337" t="s">
        <v>99</v>
      </c>
      <c r="F8" s="328" t="s">
        <v>100</v>
      </c>
      <c r="G8" s="117" t="s">
        <v>101</v>
      </c>
      <c r="H8" s="118" t="s">
        <v>102</v>
      </c>
      <c r="I8" s="141"/>
      <c r="J8" s="319">
        <f>SUM(I8:I14)</f>
        <v>0</v>
      </c>
      <c r="K8" s="302"/>
    </row>
    <row r="9" spans="1:11" ht="36">
      <c r="A9" s="351"/>
      <c r="B9" s="340"/>
      <c r="C9" s="346"/>
      <c r="D9" s="340"/>
      <c r="E9" s="337"/>
      <c r="F9" s="329"/>
      <c r="G9" s="117" t="s">
        <v>103</v>
      </c>
      <c r="H9" s="119" t="s">
        <v>104</v>
      </c>
      <c r="I9" s="141"/>
      <c r="J9" s="319"/>
      <c r="K9" s="303"/>
    </row>
    <row r="10" spans="1:11" ht="72">
      <c r="A10" s="351"/>
      <c r="B10" s="340"/>
      <c r="C10" s="346"/>
      <c r="D10" s="340"/>
      <c r="E10" s="337"/>
      <c r="F10" s="329"/>
      <c r="G10" s="117" t="s">
        <v>105</v>
      </c>
      <c r="H10" s="119" t="s">
        <v>106</v>
      </c>
      <c r="I10" s="141"/>
      <c r="J10" s="319"/>
      <c r="K10" s="303"/>
    </row>
    <row r="11" spans="1:11" ht="26.25" customHeight="1">
      <c r="A11" s="351"/>
      <c r="B11" s="340"/>
      <c r="C11" s="346"/>
      <c r="D11" s="340"/>
      <c r="E11" s="337"/>
      <c r="F11" s="329"/>
      <c r="G11" s="117" t="s">
        <v>107</v>
      </c>
      <c r="H11" s="119" t="s">
        <v>108</v>
      </c>
      <c r="I11" s="141"/>
      <c r="J11" s="319"/>
      <c r="K11" s="303"/>
    </row>
    <row r="12" spans="1:11" ht="26.25" customHeight="1">
      <c r="A12" s="351"/>
      <c r="B12" s="340"/>
      <c r="C12" s="346"/>
      <c r="D12" s="340"/>
      <c r="E12" s="337"/>
      <c r="F12" s="329"/>
      <c r="G12" s="117" t="s">
        <v>109</v>
      </c>
      <c r="H12" s="119" t="s">
        <v>110</v>
      </c>
      <c r="I12" s="141"/>
      <c r="J12" s="319"/>
      <c r="K12" s="303"/>
    </row>
    <row r="13" spans="1:11">
      <c r="A13" s="351"/>
      <c r="B13" s="340"/>
      <c r="C13" s="346"/>
      <c r="D13" s="340"/>
      <c r="E13" s="337"/>
      <c r="F13" s="329"/>
      <c r="G13" s="117" t="s">
        <v>111</v>
      </c>
      <c r="H13" s="119" t="s">
        <v>112</v>
      </c>
      <c r="I13" s="141"/>
      <c r="J13" s="319"/>
      <c r="K13" s="303"/>
    </row>
    <row r="14" spans="1:11" ht="26.25" customHeight="1">
      <c r="A14" s="351"/>
      <c r="B14" s="340"/>
      <c r="C14" s="346"/>
      <c r="D14" s="340"/>
      <c r="E14" s="337"/>
      <c r="F14" s="330"/>
      <c r="G14" s="117" t="s">
        <v>113</v>
      </c>
      <c r="H14" s="119" t="s">
        <v>114</v>
      </c>
      <c r="I14" s="142"/>
      <c r="J14" s="319"/>
      <c r="K14" s="304"/>
    </row>
    <row r="15" spans="1:11" ht="26.25" customHeight="1">
      <c r="A15" s="351"/>
      <c r="B15" s="311" t="s">
        <v>15</v>
      </c>
      <c r="C15" s="311">
        <v>12000</v>
      </c>
      <c r="D15" s="311">
        <v>10336</v>
      </c>
      <c r="E15" s="311">
        <v>0.7</v>
      </c>
      <c r="F15" s="311" t="s">
        <v>115</v>
      </c>
      <c r="G15" s="120" t="s">
        <v>116</v>
      </c>
      <c r="H15" s="121" t="s">
        <v>117</v>
      </c>
      <c r="I15" s="143"/>
      <c r="J15" s="144"/>
      <c r="K15" s="298"/>
    </row>
    <row r="16" spans="1:11" ht="26.25" customHeight="1">
      <c r="A16" s="351"/>
      <c r="B16" s="312"/>
      <c r="C16" s="312"/>
      <c r="D16" s="312"/>
      <c r="E16" s="312"/>
      <c r="F16" s="312"/>
      <c r="G16" s="63" t="s">
        <v>118</v>
      </c>
      <c r="H16" s="122" t="s">
        <v>119</v>
      </c>
      <c r="I16" s="48"/>
      <c r="J16" s="144"/>
      <c r="K16" s="299"/>
    </row>
    <row r="17" spans="1:15">
      <c r="A17" s="351"/>
      <c r="B17" s="312"/>
      <c r="C17" s="312"/>
      <c r="D17" s="312"/>
      <c r="E17" s="312"/>
      <c r="F17" s="312"/>
      <c r="G17" s="123"/>
      <c r="H17" s="124"/>
      <c r="I17" s="48"/>
      <c r="J17" s="144"/>
      <c r="K17" s="299"/>
    </row>
    <row r="18" spans="1:15">
      <c r="A18" s="316"/>
      <c r="B18" s="313"/>
      <c r="C18" s="313"/>
      <c r="D18" s="313"/>
      <c r="E18" s="313"/>
      <c r="F18" s="313"/>
      <c r="G18" s="52"/>
      <c r="H18" s="125"/>
      <c r="I18" s="52"/>
      <c r="J18" s="145"/>
      <c r="K18" s="300"/>
    </row>
    <row r="19" spans="1:15" ht="43.5" customHeight="1">
      <c r="A19" s="350" t="s">
        <v>120</v>
      </c>
      <c r="B19" s="294" t="s">
        <v>13</v>
      </c>
      <c r="C19" s="294">
        <v>12000</v>
      </c>
      <c r="D19" s="341">
        <v>7468</v>
      </c>
      <c r="E19" s="338">
        <v>1.5</v>
      </c>
      <c r="F19" s="331" t="s">
        <v>121</v>
      </c>
      <c r="G19" s="126" t="s">
        <v>116</v>
      </c>
      <c r="H19" s="127" t="s">
        <v>122</v>
      </c>
      <c r="I19" s="146">
        <v>90</v>
      </c>
      <c r="J19" s="320">
        <f>SUM(I19:I22)</f>
        <v>115</v>
      </c>
      <c r="K19" s="293"/>
    </row>
    <row r="20" spans="1:15">
      <c r="A20" s="351"/>
      <c r="B20" s="310"/>
      <c r="C20" s="310"/>
      <c r="D20" s="342"/>
      <c r="E20" s="339"/>
      <c r="F20" s="332"/>
      <c r="G20" s="128" t="s">
        <v>123</v>
      </c>
      <c r="H20" s="129" t="s">
        <v>124</v>
      </c>
      <c r="I20" s="147">
        <v>10</v>
      </c>
      <c r="J20" s="321"/>
      <c r="K20" s="293"/>
    </row>
    <row r="21" spans="1:15">
      <c r="A21" s="351"/>
      <c r="B21" s="310"/>
      <c r="C21" s="310"/>
      <c r="D21" s="342"/>
      <c r="E21" s="339"/>
      <c r="F21" s="332"/>
      <c r="G21" s="128" t="s">
        <v>118</v>
      </c>
      <c r="H21" s="129" t="s">
        <v>125</v>
      </c>
      <c r="I21" s="147">
        <v>15</v>
      </c>
      <c r="J21" s="321"/>
      <c r="K21" s="293"/>
      <c r="N21" s="148"/>
    </row>
    <row r="22" spans="1:15">
      <c r="A22" s="351"/>
      <c r="B22" s="310"/>
      <c r="C22" s="310"/>
      <c r="D22" s="342"/>
      <c r="E22" s="339"/>
      <c r="F22" s="333"/>
      <c r="G22" s="128"/>
      <c r="H22" s="129"/>
      <c r="I22" s="147"/>
      <c r="J22" s="321"/>
      <c r="K22" s="294"/>
    </row>
    <row r="23" spans="1:15">
      <c r="A23" s="351"/>
      <c r="B23" s="340" t="s">
        <v>14</v>
      </c>
      <c r="C23" s="346">
        <v>12000</v>
      </c>
      <c r="D23" s="340">
        <v>11416</v>
      </c>
      <c r="E23" s="337">
        <v>0.35</v>
      </c>
      <c r="F23" s="334" t="s">
        <v>126</v>
      </c>
      <c r="G23" s="117" t="s">
        <v>127</v>
      </c>
      <c r="H23" s="118" t="s">
        <v>128</v>
      </c>
      <c r="I23" s="141">
        <v>3</v>
      </c>
      <c r="J23" s="319">
        <f>SUM(I23:I27)</f>
        <v>49</v>
      </c>
      <c r="K23" s="302"/>
    </row>
    <row r="24" spans="1:15">
      <c r="A24" s="351"/>
      <c r="B24" s="340"/>
      <c r="C24" s="346"/>
      <c r="D24" s="340"/>
      <c r="E24" s="337"/>
      <c r="F24" s="335"/>
      <c r="G24" s="117" t="s">
        <v>129</v>
      </c>
      <c r="H24" s="118" t="s">
        <v>130</v>
      </c>
      <c r="I24" s="141">
        <v>5</v>
      </c>
      <c r="J24" s="319"/>
      <c r="K24" s="303"/>
      <c r="O24" s="149"/>
    </row>
    <row r="25" spans="1:15">
      <c r="A25" s="351"/>
      <c r="B25" s="340"/>
      <c r="C25" s="346"/>
      <c r="D25" s="340"/>
      <c r="E25" s="337"/>
      <c r="F25" s="335"/>
      <c r="G25" s="130" t="s">
        <v>118</v>
      </c>
      <c r="H25" s="118" t="s">
        <v>119</v>
      </c>
      <c r="I25" s="141">
        <v>8</v>
      </c>
      <c r="J25" s="319"/>
      <c r="K25" s="303"/>
      <c r="O25" s="150"/>
    </row>
    <row r="26" spans="1:15">
      <c r="A26" s="351"/>
      <c r="B26" s="340"/>
      <c r="C26" s="346"/>
      <c r="D26" s="340"/>
      <c r="E26" s="337"/>
      <c r="F26" s="335"/>
      <c r="G26" s="117"/>
      <c r="H26" s="118" t="s">
        <v>131</v>
      </c>
      <c r="I26" s="141">
        <v>30</v>
      </c>
      <c r="J26" s="319"/>
      <c r="K26" s="303"/>
    </row>
    <row r="27" spans="1:15">
      <c r="A27" s="351"/>
      <c r="B27" s="340"/>
      <c r="C27" s="346"/>
      <c r="D27" s="340"/>
      <c r="E27" s="337"/>
      <c r="F27" s="336"/>
      <c r="G27" s="117" t="s">
        <v>132</v>
      </c>
      <c r="H27" s="119" t="s">
        <v>128</v>
      </c>
      <c r="I27" s="142">
        <v>3</v>
      </c>
      <c r="J27" s="319"/>
      <c r="K27" s="304"/>
      <c r="O27" s="151"/>
    </row>
    <row r="28" spans="1:15">
      <c r="A28" s="351"/>
      <c r="B28" s="292" t="s">
        <v>15</v>
      </c>
      <c r="C28" s="292">
        <v>12000</v>
      </c>
      <c r="D28" s="292" t="s">
        <v>133</v>
      </c>
      <c r="E28" s="292">
        <v>0.6</v>
      </c>
      <c r="F28" s="292" t="s">
        <v>28</v>
      </c>
      <c r="G28" s="63" t="s">
        <v>118</v>
      </c>
      <c r="H28" s="122" t="s">
        <v>125</v>
      </c>
      <c r="I28" s="152">
        <v>20</v>
      </c>
      <c r="J28" s="153"/>
      <c r="K28" s="298"/>
    </row>
    <row r="29" spans="1:15">
      <c r="A29" s="351"/>
      <c r="B29" s="292"/>
      <c r="C29" s="292"/>
      <c r="D29" s="292"/>
      <c r="E29" s="292"/>
      <c r="F29" s="292"/>
      <c r="G29" s="48" t="s">
        <v>134</v>
      </c>
      <c r="H29" s="49" t="s">
        <v>135</v>
      </c>
      <c r="I29" s="154">
        <v>2</v>
      </c>
      <c r="J29" s="155">
        <v>26</v>
      </c>
      <c r="K29" s="299"/>
    </row>
    <row r="30" spans="1:15">
      <c r="A30" s="351"/>
      <c r="B30" s="292"/>
      <c r="C30" s="292"/>
      <c r="D30" s="292"/>
      <c r="E30" s="292"/>
      <c r="F30" s="292"/>
      <c r="G30" s="101" t="s">
        <v>54</v>
      </c>
      <c r="H30" s="124" t="s">
        <v>55</v>
      </c>
      <c r="I30" s="156" t="s">
        <v>136</v>
      </c>
      <c r="K30" s="299"/>
    </row>
    <row r="31" spans="1:15">
      <c r="A31" s="351"/>
      <c r="B31" s="292"/>
      <c r="C31" s="292"/>
      <c r="D31" s="292"/>
      <c r="E31" s="292"/>
      <c r="F31" s="292"/>
      <c r="G31" s="53" t="s">
        <v>91</v>
      </c>
      <c r="H31" s="124" t="s">
        <v>92</v>
      </c>
      <c r="I31" s="52">
        <v>3</v>
      </c>
      <c r="K31" s="300"/>
    </row>
    <row r="32" spans="1:15">
      <c r="A32" s="316" t="s">
        <v>137</v>
      </c>
      <c r="B32" s="294" t="s">
        <v>13</v>
      </c>
      <c r="C32" s="294">
        <v>12000</v>
      </c>
      <c r="D32" s="294"/>
      <c r="E32" s="294"/>
      <c r="F32" s="309"/>
      <c r="G32" s="110"/>
      <c r="H32" s="111"/>
      <c r="I32" s="110"/>
      <c r="J32" s="144"/>
      <c r="K32" s="293"/>
    </row>
    <row r="33" spans="1:11">
      <c r="A33" s="317"/>
      <c r="B33" s="310"/>
      <c r="C33" s="310"/>
      <c r="D33" s="310"/>
      <c r="E33" s="310"/>
      <c r="F33" s="308"/>
      <c r="G33" s="113"/>
      <c r="H33" s="114"/>
      <c r="I33" s="113"/>
      <c r="J33" s="112"/>
      <c r="K33" s="293"/>
    </row>
    <row r="34" spans="1:11">
      <c r="A34" s="317"/>
      <c r="B34" s="310"/>
      <c r="C34" s="310"/>
      <c r="D34" s="310"/>
      <c r="E34" s="310"/>
      <c r="F34" s="308"/>
      <c r="G34" s="113"/>
      <c r="H34" s="114"/>
      <c r="I34" s="113"/>
      <c r="J34" s="112"/>
      <c r="K34" s="293"/>
    </row>
    <row r="35" spans="1:11">
      <c r="A35" s="317"/>
      <c r="B35" s="310"/>
      <c r="C35" s="310"/>
      <c r="D35" s="310"/>
      <c r="E35" s="310"/>
      <c r="F35" s="308"/>
      <c r="G35" s="113"/>
      <c r="H35" s="114"/>
      <c r="I35" s="113"/>
      <c r="J35" s="112"/>
      <c r="K35" s="294"/>
    </row>
    <row r="36" spans="1:11">
      <c r="A36" s="317"/>
      <c r="B36" s="291" t="s">
        <v>14</v>
      </c>
      <c r="C36" s="302">
        <v>12000</v>
      </c>
      <c r="D36" s="291">
        <v>8808</v>
      </c>
      <c r="E36" s="291">
        <v>0.4</v>
      </c>
      <c r="F36" s="291" t="s">
        <v>138</v>
      </c>
      <c r="G36" s="36" t="s">
        <v>139</v>
      </c>
      <c r="H36" s="38" t="s">
        <v>140</v>
      </c>
      <c r="I36" s="131">
        <v>20</v>
      </c>
      <c r="J36" s="302">
        <f>I36+I37+I38+I39+I40+I41</f>
        <v>110</v>
      </c>
      <c r="K36" s="302"/>
    </row>
    <row r="37" spans="1:11">
      <c r="A37" s="317"/>
      <c r="B37" s="291"/>
      <c r="C37" s="303"/>
      <c r="D37" s="291"/>
      <c r="E37" s="291"/>
      <c r="F37" s="291"/>
      <c r="G37" s="36" t="s">
        <v>141</v>
      </c>
      <c r="H37" s="38" t="s">
        <v>142</v>
      </c>
      <c r="I37" s="131">
        <v>20</v>
      </c>
      <c r="J37" s="303"/>
      <c r="K37" s="303"/>
    </row>
    <row r="38" spans="1:11">
      <c r="A38" s="317"/>
      <c r="B38" s="291"/>
      <c r="C38" s="303"/>
      <c r="D38" s="291"/>
      <c r="E38" s="291"/>
      <c r="F38" s="291"/>
      <c r="G38" s="36" t="s">
        <v>143</v>
      </c>
      <c r="H38" s="38" t="s">
        <v>144</v>
      </c>
      <c r="I38" s="131">
        <v>5</v>
      </c>
      <c r="J38" s="303"/>
      <c r="K38" s="303"/>
    </row>
    <row r="39" spans="1:11">
      <c r="A39" s="317"/>
      <c r="B39" s="291"/>
      <c r="C39" s="303"/>
      <c r="D39" s="291"/>
      <c r="E39" s="291"/>
      <c r="F39" s="291"/>
      <c r="G39" s="36" t="s">
        <v>145</v>
      </c>
      <c r="H39" s="38"/>
      <c r="I39" s="131">
        <v>30</v>
      </c>
      <c r="J39" s="303"/>
      <c r="K39" s="303"/>
    </row>
    <row r="40" spans="1:11">
      <c r="A40" s="317"/>
      <c r="B40" s="291"/>
      <c r="C40" s="303"/>
      <c r="D40" s="291"/>
      <c r="E40" s="291"/>
      <c r="F40" s="291"/>
      <c r="G40" s="36" t="s">
        <v>146</v>
      </c>
      <c r="H40" s="38" t="s">
        <v>147</v>
      </c>
      <c r="I40" s="131">
        <v>10</v>
      </c>
      <c r="J40" s="303"/>
      <c r="K40" s="303"/>
    </row>
    <row r="41" spans="1:11" ht="33.75">
      <c r="A41" s="317"/>
      <c r="B41" s="291"/>
      <c r="C41" s="304"/>
      <c r="D41" s="291"/>
      <c r="E41" s="291"/>
      <c r="F41" s="291"/>
      <c r="G41" s="36" t="s">
        <v>148</v>
      </c>
      <c r="H41" s="133" t="s">
        <v>149</v>
      </c>
      <c r="I41" s="131">
        <v>25</v>
      </c>
      <c r="J41" s="304"/>
      <c r="K41" s="304"/>
    </row>
    <row r="42" spans="1:11">
      <c r="A42" s="318"/>
      <c r="B42" s="292" t="s">
        <v>15</v>
      </c>
      <c r="C42" s="292">
        <v>12000</v>
      </c>
      <c r="D42" s="292"/>
      <c r="E42" s="292"/>
      <c r="F42" s="292"/>
      <c r="G42" s="53"/>
      <c r="H42" s="49"/>
      <c r="I42" s="48"/>
      <c r="J42" s="144"/>
      <c r="K42" s="298"/>
    </row>
    <row r="43" spans="1:11">
      <c r="A43" s="318"/>
      <c r="B43" s="292"/>
      <c r="C43" s="292"/>
      <c r="D43" s="292"/>
      <c r="E43" s="292"/>
      <c r="F43" s="292"/>
      <c r="G43" s="48"/>
      <c r="H43" s="49"/>
      <c r="I43" s="48"/>
      <c r="J43" s="144"/>
      <c r="K43" s="299"/>
    </row>
    <row r="44" spans="1:11">
      <c r="A44" s="318"/>
      <c r="B44" s="292"/>
      <c r="C44" s="292"/>
      <c r="D44" s="292"/>
      <c r="E44" s="292"/>
      <c r="F44" s="292"/>
      <c r="G44" s="123"/>
      <c r="H44" s="124"/>
      <c r="I44" s="48"/>
      <c r="J44" s="144"/>
      <c r="K44" s="299"/>
    </row>
    <row r="45" spans="1:11">
      <c r="A45" s="318"/>
      <c r="B45" s="292"/>
      <c r="C45" s="292"/>
      <c r="D45" s="292"/>
      <c r="E45" s="292"/>
      <c r="F45" s="292"/>
      <c r="G45" s="52"/>
      <c r="H45" s="125"/>
      <c r="I45" s="52"/>
      <c r="J45" s="145"/>
      <c r="K45" s="300"/>
    </row>
    <row r="46" spans="1:11">
      <c r="A46" s="317" t="s">
        <v>150</v>
      </c>
      <c r="B46" s="310" t="s">
        <v>13</v>
      </c>
      <c r="C46" s="294">
        <v>12000</v>
      </c>
      <c r="D46" s="310">
        <v>9155</v>
      </c>
      <c r="E46" s="310">
        <v>0.8</v>
      </c>
      <c r="F46" s="301" t="s">
        <v>151</v>
      </c>
      <c r="G46" s="126" t="s">
        <v>152</v>
      </c>
      <c r="H46" s="135"/>
      <c r="I46" s="146">
        <v>15</v>
      </c>
      <c r="J46" s="320">
        <f>SUM(I46:I50)</f>
        <v>90</v>
      </c>
      <c r="K46" s="301"/>
    </row>
    <row r="47" spans="1:11">
      <c r="A47" s="317"/>
      <c r="B47" s="310"/>
      <c r="C47" s="294"/>
      <c r="D47" s="310"/>
      <c r="E47" s="310"/>
      <c r="F47" s="293"/>
      <c r="G47" s="128" t="s">
        <v>153</v>
      </c>
      <c r="H47" s="129" t="s">
        <v>154</v>
      </c>
      <c r="I47" s="147">
        <v>15</v>
      </c>
      <c r="J47" s="321"/>
      <c r="K47" s="293"/>
    </row>
    <row r="48" spans="1:11" ht="48">
      <c r="A48" s="317"/>
      <c r="B48" s="310"/>
      <c r="C48" s="310"/>
      <c r="D48" s="310"/>
      <c r="E48" s="310"/>
      <c r="F48" s="293"/>
      <c r="G48" s="128" t="s">
        <v>155</v>
      </c>
      <c r="H48" s="137" t="s">
        <v>156</v>
      </c>
      <c r="I48" s="147">
        <v>40</v>
      </c>
      <c r="J48" s="321"/>
      <c r="K48" s="293"/>
    </row>
    <row r="49" spans="1:11">
      <c r="A49" s="317"/>
      <c r="B49" s="310"/>
      <c r="C49" s="310"/>
      <c r="D49" s="310"/>
      <c r="E49" s="310"/>
      <c r="F49" s="293"/>
      <c r="G49" s="128" t="s">
        <v>157</v>
      </c>
      <c r="H49" s="137" t="s">
        <v>158</v>
      </c>
      <c r="I49" s="147">
        <v>5</v>
      </c>
      <c r="J49" s="321"/>
      <c r="K49" s="293"/>
    </row>
    <row r="50" spans="1:11">
      <c r="A50" s="317"/>
      <c r="B50" s="310"/>
      <c r="C50" s="310"/>
      <c r="D50" s="310"/>
      <c r="E50" s="310"/>
      <c r="F50" s="294"/>
      <c r="G50" s="128" t="s">
        <v>159</v>
      </c>
      <c r="H50" s="129" t="s">
        <v>154</v>
      </c>
      <c r="I50" s="147">
        <v>15</v>
      </c>
      <c r="J50" s="321"/>
      <c r="K50" s="294"/>
    </row>
    <row r="51" spans="1:11" ht="22.5">
      <c r="A51" s="317"/>
      <c r="B51" s="291" t="s">
        <v>14</v>
      </c>
      <c r="C51" s="302">
        <v>12000</v>
      </c>
      <c r="D51" s="291">
        <v>9983</v>
      </c>
      <c r="E51" s="291">
        <v>0.23</v>
      </c>
      <c r="F51" s="291" t="s">
        <v>160</v>
      </c>
      <c r="G51" s="36" t="s">
        <v>161</v>
      </c>
      <c r="H51" s="133" t="s">
        <v>162</v>
      </c>
      <c r="I51" s="36">
        <v>5</v>
      </c>
      <c r="J51" s="322">
        <f>SUM(I51:I53)</f>
        <v>50</v>
      </c>
      <c r="K51" s="302"/>
    </row>
    <row r="52" spans="1:11" ht="90">
      <c r="A52" s="317"/>
      <c r="B52" s="291"/>
      <c r="C52" s="303"/>
      <c r="D52" s="291"/>
      <c r="E52" s="291"/>
      <c r="F52" s="291"/>
      <c r="G52" s="36" t="s">
        <v>163</v>
      </c>
      <c r="H52" s="133" t="s">
        <v>164</v>
      </c>
      <c r="I52" s="36">
        <v>35</v>
      </c>
      <c r="J52" s="323"/>
      <c r="K52" s="303"/>
    </row>
    <row r="53" spans="1:11" ht="22.5">
      <c r="A53" s="317"/>
      <c r="B53" s="291"/>
      <c r="C53" s="303"/>
      <c r="D53" s="291"/>
      <c r="E53" s="291"/>
      <c r="F53" s="291"/>
      <c r="G53" s="36" t="s">
        <v>165</v>
      </c>
      <c r="H53" s="133" t="s">
        <v>166</v>
      </c>
      <c r="I53" s="36">
        <v>10</v>
      </c>
      <c r="J53" s="323"/>
      <c r="K53" s="303"/>
    </row>
    <row r="54" spans="1:11">
      <c r="A54" s="318"/>
      <c r="B54" s="311" t="s">
        <v>15</v>
      </c>
      <c r="C54" s="292">
        <v>12000</v>
      </c>
      <c r="D54" s="292"/>
      <c r="E54" s="292"/>
      <c r="F54" s="292"/>
      <c r="G54" s="53"/>
      <c r="H54" s="49"/>
      <c r="I54" s="48"/>
      <c r="J54" s="144"/>
      <c r="K54" s="305"/>
    </row>
    <row r="55" spans="1:11">
      <c r="A55" s="318"/>
      <c r="B55" s="312"/>
      <c r="C55" s="292"/>
      <c r="D55" s="292"/>
      <c r="E55" s="292"/>
      <c r="F55" s="292"/>
      <c r="G55" s="48"/>
      <c r="H55" s="49"/>
      <c r="I55" s="48"/>
      <c r="J55" s="144"/>
      <c r="K55" s="306"/>
    </row>
    <row r="56" spans="1:11">
      <c r="A56" s="318"/>
      <c r="B56" s="312"/>
      <c r="C56" s="292"/>
      <c r="D56" s="292"/>
      <c r="E56" s="292"/>
      <c r="F56" s="292"/>
      <c r="G56" s="123"/>
      <c r="H56" s="124"/>
      <c r="I56" s="48"/>
      <c r="J56" s="144"/>
      <c r="K56" s="306"/>
    </row>
    <row r="57" spans="1:11">
      <c r="A57" s="318"/>
      <c r="B57" s="313"/>
      <c r="C57" s="292"/>
      <c r="D57" s="292"/>
      <c r="E57" s="292"/>
      <c r="F57" s="292"/>
      <c r="G57" s="52"/>
      <c r="H57" s="125"/>
      <c r="I57" s="52"/>
      <c r="J57" s="145"/>
      <c r="K57" s="307"/>
    </row>
    <row r="58" spans="1:11">
      <c r="A58" s="317" t="s">
        <v>167</v>
      </c>
      <c r="B58" s="310" t="s">
        <v>13</v>
      </c>
      <c r="C58" s="294">
        <v>12000</v>
      </c>
      <c r="D58" s="310">
        <v>10300</v>
      </c>
      <c r="E58" s="310">
        <v>0.25</v>
      </c>
      <c r="F58" s="308" t="s">
        <v>138</v>
      </c>
      <c r="G58" s="113" t="s">
        <v>168</v>
      </c>
      <c r="H58" s="114" t="s">
        <v>169</v>
      </c>
      <c r="I58" s="113">
        <v>2</v>
      </c>
      <c r="J58" s="301">
        <f>I58+I59+I60+I61+I62+I63+I64</f>
        <v>75</v>
      </c>
      <c r="K58" s="301"/>
    </row>
    <row r="59" spans="1:11">
      <c r="A59" s="317"/>
      <c r="B59" s="310"/>
      <c r="C59" s="310"/>
      <c r="D59" s="310"/>
      <c r="E59" s="310"/>
      <c r="F59" s="308"/>
      <c r="G59" s="113" t="s">
        <v>170</v>
      </c>
      <c r="H59" s="138" t="s">
        <v>171</v>
      </c>
      <c r="I59" s="113">
        <v>20</v>
      </c>
      <c r="J59" s="293"/>
      <c r="K59" s="293"/>
    </row>
    <row r="60" spans="1:11">
      <c r="A60" s="317"/>
      <c r="B60" s="310"/>
      <c r="C60" s="310"/>
      <c r="D60" s="310"/>
      <c r="E60" s="310"/>
      <c r="F60" s="308"/>
      <c r="G60" s="113" t="s">
        <v>172</v>
      </c>
      <c r="H60" s="114"/>
      <c r="I60" s="113">
        <v>45</v>
      </c>
      <c r="J60" s="293"/>
      <c r="K60" s="293"/>
    </row>
    <row r="61" spans="1:11">
      <c r="A61" s="317"/>
      <c r="B61" s="310"/>
      <c r="C61" s="310"/>
      <c r="D61" s="310"/>
      <c r="E61" s="310"/>
      <c r="F61" s="308"/>
      <c r="G61" s="113" t="s">
        <v>173</v>
      </c>
      <c r="H61" s="114" t="s">
        <v>174</v>
      </c>
      <c r="I61" s="113">
        <v>5</v>
      </c>
      <c r="J61" s="293"/>
      <c r="K61" s="293"/>
    </row>
    <row r="62" spans="1:11" ht="22.5">
      <c r="A62" s="317"/>
      <c r="B62" s="310"/>
      <c r="C62" s="310"/>
      <c r="D62" s="310"/>
      <c r="E62" s="310"/>
      <c r="F62" s="308"/>
      <c r="G62" s="113" t="s">
        <v>175</v>
      </c>
      <c r="H62" s="114" t="s">
        <v>176</v>
      </c>
      <c r="I62" s="113">
        <v>3</v>
      </c>
      <c r="J62" s="293"/>
      <c r="K62" s="293"/>
    </row>
    <row r="63" spans="1:11">
      <c r="A63" s="317"/>
      <c r="B63" s="310"/>
      <c r="C63" s="310"/>
      <c r="D63" s="310"/>
      <c r="E63" s="310"/>
      <c r="F63" s="308"/>
      <c r="G63" s="113" t="s">
        <v>177</v>
      </c>
      <c r="H63" s="114"/>
      <c r="I63" s="113"/>
      <c r="J63" s="293"/>
      <c r="K63" s="293"/>
    </row>
    <row r="64" spans="1:11">
      <c r="A64" s="317"/>
      <c r="B64" s="310"/>
      <c r="C64" s="310"/>
      <c r="D64" s="310"/>
      <c r="E64" s="310"/>
      <c r="F64" s="308"/>
      <c r="G64" s="113"/>
      <c r="H64" s="114"/>
      <c r="I64" s="113"/>
      <c r="J64" s="294"/>
      <c r="K64" s="294"/>
    </row>
    <row r="65" spans="1:11" ht="78.75">
      <c r="A65" s="317"/>
      <c r="B65" s="131" t="s">
        <v>14</v>
      </c>
      <c r="C65" s="132">
        <v>12000</v>
      </c>
      <c r="D65" s="131">
        <v>9660</v>
      </c>
      <c r="E65" s="131">
        <v>7.0000000000000007E-2</v>
      </c>
      <c r="F65" s="131" t="s">
        <v>160</v>
      </c>
      <c r="G65" s="36" t="s">
        <v>178</v>
      </c>
      <c r="H65" s="133" t="s">
        <v>179</v>
      </c>
      <c r="I65" s="36">
        <v>10</v>
      </c>
      <c r="J65" s="131">
        <v>10</v>
      </c>
      <c r="K65" s="132"/>
    </row>
    <row r="66" spans="1:11">
      <c r="A66" s="318"/>
      <c r="B66" s="311" t="s">
        <v>15</v>
      </c>
      <c r="C66" s="292">
        <v>12000</v>
      </c>
      <c r="D66" s="292"/>
      <c r="E66" s="292"/>
      <c r="F66" s="292"/>
      <c r="G66" s="53"/>
      <c r="H66" s="49"/>
      <c r="I66" s="48"/>
      <c r="J66" s="144"/>
      <c r="K66" s="305"/>
    </row>
    <row r="67" spans="1:11">
      <c r="A67" s="318"/>
      <c r="B67" s="312"/>
      <c r="C67" s="292"/>
      <c r="D67" s="292"/>
      <c r="E67" s="292"/>
      <c r="F67" s="292"/>
      <c r="G67" s="48"/>
      <c r="H67" s="49"/>
      <c r="I67" s="48"/>
      <c r="J67" s="144"/>
      <c r="K67" s="306"/>
    </row>
    <row r="68" spans="1:11">
      <c r="A68" s="318"/>
      <c r="B68" s="312"/>
      <c r="C68" s="292"/>
      <c r="D68" s="292"/>
      <c r="E68" s="292"/>
      <c r="F68" s="292"/>
      <c r="G68" s="123"/>
      <c r="H68" s="124"/>
      <c r="I68" s="48"/>
      <c r="J68" s="144"/>
      <c r="K68" s="306"/>
    </row>
    <row r="69" spans="1:11">
      <c r="A69" s="318"/>
      <c r="B69" s="313"/>
      <c r="C69" s="292"/>
      <c r="D69" s="292"/>
      <c r="E69" s="292"/>
      <c r="F69" s="292"/>
      <c r="G69" s="52"/>
      <c r="H69" s="125"/>
      <c r="I69" s="52"/>
      <c r="J69" s="145"/>
      <c r="K69" s="307"/>
    </row>
    <row r="70" spans="1:11">
      <c r="A70" s="317" t="s">
        <v>180</v>
      </c>
      <c r="B70" s="310" t="s">
        <v>13</v>
      </c>
      <c r="C70" s="294">
        <v>12000</v>
      </c>
      <c r="D70" s="310"/>
      <c r="E70" s="310"/>
      <c r="F70" s="308"/>
      <c r="G70" s="113"/>
      <c r="H70" s="114"/>
      <c r="I70" s="113"/>
      <c r="J70" s="112"/>
      <c r="K70" s="301"/>
    </row>
    <row r="71" spans="1:11">
      <c r="A71" s="317"/>
      <c r="B71" s="310"/>
      <c r="C71" s="310"/>
      <c r="D71" s="310"/>
      <c r="E71" s="310"/>
      <c r="F71" s="308"/>
      <c r="G71" s="113"/>
      <c r="H71" s="114"/>
      <c r="I71" s="113"/>
      <c r="J71" s="112"/>
      <c r="K71" s="293"/>
    </row>
    <row r="72" spans="1:11">
      <c r="A72" s="317"/>
      <c r="B72" s="310"/>
      <c r="C72" s="310"/>
      <c r="D72" s="310"/>
      <c r="E72" s="310"/>
      <c r="F72" s="308"/>
      <c r="G72" s="113"/>
      <c r="H72" s="114"/>
      <c r="I72" s="113"/>
      <c r="J72" s="112"/>
      <c r="K72" s="293"/>
    </row>
    <row r="73" spans="1:11">
      <c r="A73" s="317"/>
      <c r="B73" s="310"/>
      <c r="C73" s="310"/>
      <c r="D73" s="310"/>
      <c r="E73" s="310"/>
      <c r="F73" s="308"/>
      <c r="G73" s="113"/>
      <c r="H73" s="114"/>
      <c r="I73" s="113"/>
      <c r="J73" s="112"/>
      <c r="K73" s="294"/>
    </row>
    <row r="74" spans="1:11">
      <c r="A74" s="317"/>
      <c r="B74" s="291" t="s">
        <v>14</v>
      </c>
      <c r="C74" s="302">
        <v>12000</v>
      </c>
      <c r="D74" s="291"/>
      <c r="E74" s="291"/>
      <c r="F74" s="291"/>
      <c r="G74" s="36"/>
      <c r="H74" s="38"/>
      <c r="I74" s="36"/>
      <c r="J74" s="131"/>
      <c r="K74" s="302"/>
    </row>
    <row r="75" spans="1:11">
      <c r="A75" s="317"/>
      <c r="B75" s="291"/>
      <c r="C75" s="303"/>
      <c r="D75" s="291"/>
      <c r="E75" s="291"/>
      <c r="F75" s="291"/>
      <c r="G75" s="36"/>
      <c r="H75" s="38"/>
      <c r="I75" s="36"/>
      <c r="J75" s="131"/>
      <c r="K75" s="303"/>
    </row>
    <row r="76" spans="1:11">
      <c r="A76" s="317"/>
      <c r="B76" s="291"/>
      <c r="C76" s="303"/>
      <c r="D76" s="291"/>
      <c r="E76" s="291"/>
      <c r="F76" s="291"/>
      <c r="G76" s="36"/>
      <c r="H76" s="38"/>
      <c r="I76" s="36"/>
      <c r="J76" s="131"/>
      <c r="K76" s="303"/>
    </row>
    <row r="77" spans="1:11">
      <c r="A77" s="317"/>
      <c r="B77" s="291"/>
      <c r="C77" s="304"/>
      <c r="D77" s="291"/>
      <c r="E77" s="291"/>
      <c r="F77" s="291"/>
      <c r="G77" s="36"/>
      <c r="H77" s="38"/>
      <c r="I77" s="36"/>
      <c r="J77" s="131"/>
      <c r="K77" s="304"/>
    </row>
    <row r="78" spans="1:11" ht="22.5">
      <c r="A78" s="318"/>
      <c r="B78" s="311" t="s">
        <v>19</v>
      </c>
      <c r="C78" s="292">
        <v>12000</v>
      </c>
      <c r="D78" s="292">
        <v>5265</v>
      </c>
      <c r="E78" s="292">
        <v>0.85</v>
      </c>
      <c r="F78" s="292" t="s">
        <v>181</v>
      </c>
      <c r="G78" s="53" t="s">
        <v>182</v>
      </c>
      <c r="H78" s="124" t="s">
        <v>183</v>
      </c>
      <c r="I78" s="161">
        <v>30</v>
      </c>
      <c r="J78" s="298">
        <f>SUM(I78:I85)</f>
        <v>97</v>
      </c>
      <c r="K78" s="305"/>
    </row>
    <row r="79" spans="1:11" ht="33.75">
      <c r="A79" s="318"/>
      <c r="B79" s="312"/>
      <c r="C79" s="292"/>
      <c r="D79" s="292"/>
      <c r="E79" s="292"/>
      <c r="F79" s="292"/>
      <c r="G79" s="48" t="s">
        <v>184</v>
      </c>
      <c r="H79" s="124" t="s">
        <v>185</v>
      </c>
      <c r="I79" s="161">
        <v>20</v>
      </c>
      <c r="J79" s="299"/>
      <c r="K79" s="306"/>
    </row>
    <row r="80" spans="1:11">
      <c r="A80" s="318"/>
      <c r="B80" s="312"/>
      <c r="C80" s="292"/>
      <c r="D80" s="292"/>
      <c r="E80" s="292"/>
      <c r="F80" s="292"/>
      <c r="G80" s="48" t="s">
        <v>186</v>
      </c>
      <c r="H80" s="124" t="s">
        <v>187</v>
      </c>
      <c r="I80" s="161">
        <v>10</v>
      </c>
      <c r="J80" s="299"/>
      <c r="K80" s="306"/>
    </row>
    <row r="81" spans="1:11">
      <c r="A81" s="318"/>
      <c r="B81" s="312"/>
      <c r="C81" s="292"/>
      <c r="D81" s="292"/>
      <c r="E81" s="292"/>
      <c r="F81" s="292"/>
      <c r="G81" s="48" t="s">
        <v>188</v>
      </c>
      <c r="H81" s="124" t="s">
        <v>189</v>
      </c>
      <c r="I81" s="161">
        <v>2</v>
      </c>
      <c r="J81" s="299"/>
      <c r="K81" s="306"/>
    </row>
    <row r="82" spans="1:11">
      <c r="A82" s="318"/>
      <c r="B82" s="312"/>
      <c r="C82" s="292"/>
      <c r="D82" s="292"/>
      <c r="E82" s="292"/>
      <c r="F82" s="292"/>
      <c r="G82" s="48" t="s">
        <v>190</v>
      </c>
      <c r="H82" s="124" t="s">
        <v>191</v>
      </c>
      <c r="I82" s="161">
        <v>5</v>
      </c>
      <c r="J82" s="299"/>
      <c r="K82" s="306"/>
    </row>
    <row r="83" spans="1:11" ht="22.5">
      <c r="A83" s="318"/>
      <c r="B83" s="312"/>
      <c r="C83" s="292"/>
      <c r="D83" s="292"/>
      <c r="E83" s="292"/>
      <c r="F83" s="292"/>
      <c r="G83" s="48" t="s">
        <v>192</v>
      </c>
      <c r="H83" s="124" t="s">
        <v>193</v>
      </c>
      <c r="I83" s="161">
        <v>5</v>
      </c>
      <c r="J83" s="299"/>
      <c r="K83" s="306"/>
    </row>
    <row r="84" spans="1:11" ht="33.75">
      <c r="A84" s="318"/>
      <c r="B84" s="312"/>
      <c r="C84" s="292"/>
      <c r="D84" s="292"/>
      <c r="E84" s="292"/>
      <c r="F84" s="292"/>
      <c r="G84" s="123" t="s">
        <v>194</v>
      </c>
      <c r="H84" s="124" t="s">
        <v>195</v>
      </c>
      <c r="I84" s="161">
        <v>20</v>
      </c>
      <c r="J84" s="299"/>
      <c r="K84" s="306"/>
    </row>
    <row r="85" spans="1:11">
      <c r="A85" s="318"/>
      <c r="B85" s="313"/>
      <c r="C85" s="292"/>
      <c r="D85" s="292"/>
      <c r="E85" s="292"/>
      <c r="F85" s="292"/>
      <c r="G85" s="52" t="s">
        <v>196</v>
      </c>
      <c r="H85" s="157" t="s">
        <v>197</v>
      </c>
      <c r="I85" s="161">
        <v>5</v>
      </c>
      <c r="J85" s="300"/>
      <c r="K85" s="307"/>
    </row>
    <row r="86" spans="1:11" ht="22.5">
      <c r="A86" s="317" t="s">
        <v>198</v>
      </c>
      <c r="B86" s="310" t="s">
        <v>13</v>
      </c>
      <c r="C86" s="294">
        <v>12000</v>
      </c>
      <c r="D86" s="310">
        <v>5716</v>
      </c>
      <c r="E86" s="310">
        <v>0.7</v>
      </c>
      <c r="F86" s="308" t="s">
        <v>199</v>
      </c>
      <c r="G86" s="158" t="s">
        <v>182</v>
      </c>
      <c r="H86" s="159" t="s">
        <v>200</v>
      </c>
      <c r="I86" s="162">
        <v>70</v>
      </c>
      <c r="J86" s="324"/>
      <c r="K86" s="301"/>
    </row>
    <row r="87" spans="1:11">
      <c r="A87" s="317"/>
      <c r="B87" s="310"/>
      <c r="C87" s="310"/>
      <c r="D87" s="310"/>
      <c r="E87" s="310"/>
      <c r="F87" s="308"/>
      <c r="G87" s="113" t="s">
        <v>201</v>
      </c>
      <c r="H87" s="114" t="s">
        <v>202</v>
      </c>
      <c r="I87" s="162">
        <v>5</v>
      </c>
      <c r="J87" s="325"/>
      <c r="K87" s="293"/>
    </row>
    <row r="88" spans="1:11">
      <c r="A88" s="317"/>
      <c r="B88" s="310"/>
      <c r="C88" s="310"/>
      <c r="D88" s="310"/>
      <c r="E88" s="310"/>
      <c r="F88" s="308"/>
      <c r="G88" s="113" t="s">
        <v>203</v>
      </c>
      <c r="H88" s="114" t="s">
        <v>204</v>
      </c>
      <c r="I88" s="162">
        <v>5</v>
      </c>
      <c r="J88" s="325"/>
      <c r="K88" s="293"/>
    </row>
    <row r="89" spans="1:11">
      <c r="A89" s="317"/>
      <c r="B89" s="310"/>
      <c r="C89" s="310"/>
      <c r="D89" s="310"/>
      <c r="E89" s="310"/>
      <c r="F89" s="308"/>
      <c r="G89" s="160" t="s">
        <v>205</v>
      </c>
      <c r="H89" s="159" t="s">
        <v>191</v>
      </c>
      <c r="I89" s="162">
        <v>10</v>
      </c>
      <c r="J89" s="325"/>
      <c r="K89" s="293"/>
    </row>
    <row r="90" spans="1:11" ht="22.5">
      <c r="A90" s="317"/>
      <c r="B90" s="310"/>
      <c r="C90" s="310"/>
      <c r="D90" s="310"/>
      <c r="E90" s="310"/>
      <c r="F90" s="308"/>
      <c r="G90" s="113" t="s">
        <v>194</v>
      </c>
      <c r="H90" s="138" t="s">
        <v>206</v>
      </c>
      <c r="I90" s="162">
        <v>60</v>
      </c>
      <c r="J90" s="325"/>
      <c r="K90" s="293"/>
    </row>
    <row r="91" spans="1:11">
      <c r="A91" s="317"/>
      <c r="B91" s="310"/>
      <c r="C91" s="310"/>
      <c r="D91" s="310"/>
      <c r="E91" s="310"/>
      <c r="F91" s="308"/>
      <c r="G91" s="113" t="s">
        <v>207</v>
      </c>
      <c r="H91" s="114" t="s">
        <v>204</v>
      </c>
      <c r="I91" s="162">
        <v>2</v>
      </c>
      <c r="J91" s="325"/>
      <c r="K91" s="293"/>
    </row>
    <row r="92" spans="1:11">
      <c r="A92" s="317"/>
      <c r="B92" s="310"/>
      <c r="C92" s="310"/>
      <c r="D92" s="310"/>
      <c r="E92" s="310"/>
      <c r="F92" s="308"/>
      <c r="G92" s="113"/>
      <c r="H92" s="114"/>
      <c r="I92" s="162"/>
      <c r="J92" s="325"/>
      <c r="K92" s="293"/>
    </row>
    <row r="93" spans="1:11">
      <c r="A93" s="317"/>
      <c r="B93" s="310"/>
      <c r="C93" s="310"/>
      <c r="D93" s="310"/>
      <c r="E93" s="310"/>
      <c r="F93" s="308"/>
      <c r="G93" s="113"/>
      <c r="H93" s="114"/>
      <c r="I93" s="162"/>
      <c r="J93" s="326"/>
      <c r="K93" s="294"/>
    </row>
    <row r="94" spans="1:11">
      <c r="A94" s="317"/>
      <c r="B94" s="291" t="s">
        <v>14</v>
      </c>
      <c r="C94" s="302">
        <v>12000</v>
      </c>
      <c r="D94" s="291"/>
      <c r="E94" s="291"/>
      <c r="F94" s="291"/>
      <c r="G94" s="36"/>
      <c r="H94" s="38"/>
      <c r="I94" s="36"/>
      <c r="J94" s="131"/>
      <c r="K94" s="302"/>
    </row>
    <row r="95" spans="1:11">
      <c r="A95" s="317"/>
      <c r="B95" s="291"/>
      <c r="C95" s="303"/>
      <c r="D95" s="291"/>
      <c r="E95" s="291"/>
      <c r="F95" s="291"/>
      <c r="G95" s="36"/>
      <c r="H95" s="38"/>
      <c r="I95" s="36"/>
      <c r="J95" s="131"/>
      <c r="K95" s="303"/>
    </row>
    <row r="96" spans="1:11">
      <c r="A96" s="317"/>
      <c r="B96" s="291"/>
      <c r="C96" s="303"/>
      <c r="D96" s="291"/>
      <c r="E96" s="291"/>
      <c r="F96" s="291"/>
      <c r="G96" s="36"/>
      <c r="H96" s="38"/>
      <c r="I96" s="36"/>
      <c r="J96" s="131"/>
      <c r="K96" s="303"/>
    </row>
    <row r="97" spans="1:11">
      <c r="A97" s="317"/>
      <c r="B97" s="291"/>
      <c r="C97" s="304"/>
      <c r="D97" s="291"/>
      <c r="E97" s="291"/>
      <c r="F97" s="291"/>
      <c r="G97" s="36"/>
      <c r="H97" s="38"/>
      <c r="I97" s="36"/>
      <c r="J97" s="131"/>
      <c r="K97" s="304"/>
    </row>
    <row r="98" spans="1:11">
      <c r="A98" s="318"/>
      <c r="B98" s="311" t="s">
        <v>15</v>
      </c>
      <c r="C98" s="292">
        <v>12000</v>
      </c>
      <c r="D98" s="292"/>
      <c r="E98" s="292"/>
      <c r="F98" s="292"/>
      <c r="G98" s="53"/>
      <c r="H98" s="49"/>
      <c r="I98" s="48"/>
      <c r="J98" s="144"/>
      <c r="K98" s="305"/>
    </row>
    <row r="99" spans="1:11">
      <c r="A99" s="318"/>
      <c r="B99" s="312"/>
      <c r="C99" s="292"/>
      <c r="D99" s="292"/>
      <c r="E99" s="292"/>
      <c r="F99" s="292"/>
      <c r="G99" s="48"/>
      <c r="H99" s="49"/>
      <c r="I99" s="48"/>
      <c r="J99" s="144"/>
      <c r="K99" s="306"/>
    </row>
    <row r="100" spans="1:11">
      <c r="A100" s="318"/>
      <c r="B100" s="312"/>
      <c r="C100" s="292"/>
      <c r="D100" s="292"/>
      <c r="E100" s="292"/>
      <c r="F100" s="292"/>
      <c r="G100" s="123"/>
      <c r="H100" s="124"/>
      <c r="I100" s="48"/>
      <c r="J100" s="144"/>
      <c r="K100" s="306"/>
    </row>
    <row r="101" spans="1:11">
      <c r="A101" s="318"/>
      <c r="B101" s="313"/>
      <c r="C101" s="292"/>
      <c r="D101" s="292"/>
      <c r="E101" s="292"/>
      <c r="F101" s="292"/>
      <c r="G101" s="52"/>
      <c r="H101" s="125"/>
      <c r="I101" s="52"/>
      <c r="J101" s="145"/>
      <c r="K101" s="307"/>
    </row>
    <row r="102" spans="1:11">
      <c r="A102" s="317" t="s">
        <v>208</v>
      </c>
      <c r="B102" s="310" t="s">
        <v>13</v>
      </c>
      <c r="C102" s="294">
        <v>12000</v>
      </c>
      <c r="D102" s="310">
        <v>12985</v>
      </c>
      <c r="E102" s="310">
        <v>0.13</v>
      </c>
      <c r="F102" s="308" t="s">
        <v>28</v>
      </c>
      <c r="G102" s="113" t="s">
        <v>168</v>
      </c>
      <c r="H102" s="114" t="s">
        <v>169</v>
      </c>
      <c r="I102" s="112">
        <v>1</v>
      </c>
      <c r="J102" s="301">
        <v>9</v>
      </c>
      <c r="K102" s="301"/>
    </row>
    <row r="103" spans="1:11">
      <c r="A103" s="317"/>
      <c r="B103" s="310"/>
      <c r="C103" s="310"/>
      <c r="D103" s="310"/>
      <c r="E103" s="310"/>
      <c r="F103" s="308"/>
      <c r="G103" s="128" t="s">
        <v>118</v>
      </c>
      <c r="H103" s="129" t="s">
        <v>125</v>
      </c>
      <c r="I103" s="163">
        <v>5</v>
      </c>
      <c r="J103" s="293"/>
      <c r="K103" s="293"/>
    </row>
    <row r="104" spans="1:11">
      <c r="A104" s="317"/>
      <c r="B104" s="310"/>
      <c r="C104" s="310"/>
      <c r="D104" s="310"/>
      <c r="E104" s="310"/>
      <c r="F104" s="308"/>
      <c r="G104" s="158" t="s">
        <v>26</v>
      </c>
      <c r="H104" s="159" t="s">
        <v>27</v>
      </c>
      <c r="I104" s="112">
        <v>3</v>
      </c>
      <c r="J104" s="293"/>
      <c r="K104" s="293"/>
    </row>
    <row r="105" spans="1:11">
      <c r="A105" s="317"/>
      <c r="B105" s="310"/>
      <c r="C105" s="310"/>
      <c r="D105" s="310"/>
      <c r="E105" s="310"/>
      <c r="F105" s="308"/>
      <c r="G105" s="113"/>
      <c r="H105" s="114"/>
      <c r="I105" s="113"/>
      <c r="J105" s="294"/>
      <c r="K105" s="294"/>
    </row>
    <row r="106" spans="1:11">
      <c r="A106" s="317"/>
      <c r="B106" s="291" t="s">
        <v>14</v>
      </c>
      <c r="C106" s="302">
        <v>12000</v>
      </c>
      <c r="D106" s="291">
        <v>13642</v>
      </c>
      <c r="E106" s="291">
        <v>5.6000000000000001E-2</v>
      </c>
      <c r="F106" s="291" t="s">
        <v>209</v>
      </c>
      <c r="G106" s="36" t="s">
        <v>210</v>
      </c>
      <c r="H106" s="38" t="s">
        <v>211</v>
      </c>
      <c r="I106" s="36">
        <v>2</v>
      </c>
      <c r="J106" s="302">
        <f>SUM(I106:I109)</f>
        <v>4</v>
      </c>
      <c r="K106" s="302"/>
    </row>
    <row r="107" spans="1:11" ht="42">
      <c r="A107" s="317"/>
      <c r="B107" s="291"/>
      <c r="C107" s="303"/>
      <c r="D107" s="291"/>
      <c r="E107" s="291"/>
      <c r="F107" s="291"/>
      <c r="G107" s="36" t="s">
        <v>212</v>
      </c>
      <c r="H107" s="133" t="s">
        <v>213</v>
      </c>
      <c r="I107" s="36">
        <v>2</v>
      </c>
      <c r="J107" s="303"/>
      <c r="K107" s="303"/>
    </row>
    <row r="108" spans="1:11">
      <c r="A108" s="317"/>
      <c r="B108" s="291"/>
      <c r="C108" s="303"/>
      <c r="D108" s="291"/>
      <c r="E108" s="291"/>
      <c r="F108" s="291"/>
      <c r="G108" s="36"/>
      <c r="H108" s="38"/>
      <c r="I108" s="36"/>
      <c r="J108" s="303"/>
      <c r="K108" s="303"/>
    </row>
    <row r="109" spans="1:11">
      <c r="A109" s="317"/>
      <c r="B109" s="291"/>
      <c r="C109" s="304"/>
      <c r="D109" s="291"/>
      <c r="E109" s="291"/>
      <c r="F109" s="291"/>
      <c r="G109" s="36"/>
      <c r="H109" s="38"/>
      <c r="I109" s="36"/>
      <c r="J109" s="304"/>
      <c r="K109" s="304"/>
    </row>
    <row r="110" spans="1:11">
      <c r="A110" s="318"/>
      <c r="B110" s="311" t="s">
        <v>15</v>
      </c>
      <c r="C110" s="292">
        <v>12000</v>
      </c>
      <c r="D110" s="292">
        <v>9905</v>
      </c>
      <c r="E110" s="292">
        <v>0.4</v>
      </c>
      <c r="F110" s="292" t="s">
        <v>214</v>
      </c>
      <c r="G110" s="53" t="s">
        <v>215</v>
      </c>
      <c r="H110" s="49"/>
      <c r="I110" s="145">
        <v>30</v>
      </c>
      <c r="J110" s="144"/>
      <c r="K110" s="305"/>
    </row>
    <row r="111" spans="1:11">
      <c r="A111" s="318"/>
      <c r="B111" s="312"/>
      <c r="C111" s="292"/>
      <c r="D111" s="292"/>
      <c r="E111" s="292"/>
      <c r="F111" s="292"/>
      <c r="G111" s="48" t="s">
        <v>216</v>
      </c>
      <c r="H111" s="49" t="s">
        <v>217</v>
      </c>
      <c r="I111" s="145">
        <v>40</v>
      </c>
      <c r="J111" s="144"/>
      <c r="K111" s="306"/>
    </row>
    <row r="112" spans="1:11">
      <c r="A112" s="318"/>
      <c r="B112" s="312"/>
      <c r="C112" s="292"/>
      <c r="D112" s="292"/>
      <c r="E112" s="292"/>
      <c r="F112" s="292"/>
      <c r="G112" s="123" t="s">
        <v>218</v>
      </c>
      <c r="H112" s="124" t="s">
        <v>219</v>
      </c>
      <c r="I112" s="145">
        <v>20</v>
      </c>
      <c r="J112" s="144"/>
      <c r="K112" s="306"/>
    </row>
    <row r="113" spans="1:11">
      <c r="A113" s="318"/>
      <c r="B113" s="312"/>
      <c r="C113" s="292"/>
      <c r="D113" s="292"/>
      <c r="E113" s="292"/>
      <c r="F113" s="292"/>
      <c r="G113" s="123"/>
      <c r="H113" s="124"/>
      <c r="I113" s="145"/>
      <c r="J113" s="144"/>
      <c r="K113" s="306"/>
    </row>
    <row r="114" spans="1:11">
      <c r="A114" s="317" t="s">
        <v>220</v>
      </c>
      <c r="B114" s="310" t="s">
        <v>13</v>
      </c>
      <c r="C114" s="294">
        <v>12000</v>
      </c>
      <c r="D114" s="310">
        <v>10985</v>
      </c>
      <c r="E114" s="310">
        <v>0.02</v>
      </c>
      <c r="F114" s="308" t="s">
        <v>221</v>
      </c>
      <c r="G114" s="126" t="s">
        <v>222</v>
      </c>
      <c r="H114" s="114"/>
      <c r="I114" s="113">
        <v>45</v>
      </c>
      <c r="J114" s="112"/>
      <c r="K114" s="301"/>
    </row>
    <row r="115" spans="1:11">
      <c r="A115" s="317"/>
      <c r="B115" s="310"/>
      <c r="C115" s="310"/>
      <c r="D115" s="310"/>
      <c r="E115" s="310"/>
      <c r="F115" s="308"/>
      <c r="G115" s="113"/>
      <c r="H115" s="114"/>
      <c r="I115" s="113"/>
      <c r="J115" s="112"/>
      <c r="K115" s="293"/>
    </row>
    <row r="116" spans="1:11">
      <c r="A116" s="317"/>
      <c r="B116" s="291" t="s">
        <v>14</v>
      </c>
      <c r="C116" s="302">
        <v>12000</v>
      </c>
      <c r="D116" s="291">
        <v>8792</v>
      </c>
      <c r="E116" s="291">
        <v>5.6000000000000001E-2</v>
      </c>
      <c r="F116" s="291" t="s">
        <v>160</v>
      </c>
      <c r="G116" s="36" t="s">
        <v>223</v>
      </c>
      <c r="H116" s="38" t="s">
        <v>224</v>
      </c>
      <c r="I116" s="36">
        <v>2</v>
      </c>
      <c r="J116" s="302">
        <f>SUM(I116:I119)</f>
        <v>2</v>
      </c>
      <c r="K116" s="302"/>
    </row>
    <row r="117" spans="1:11">
      <c r="A117" s="317"/>
      <c r="B117" s="291"/>
      <c r="C117" s="303"/>
      <c r="D117" s="291"/>
      <c r="E117" s="291"/>
      <c r="F117" s="291"/>
      <c r="G117" s="36"/>
      <c r="H117" s="38"/>
      <c r="I117" s="36"/>
      <c r="J117" s="303"/>
      <c r="K117" s="303"/>
    </row>
    <row r="118" spans="1:11">
      <c r="A118" s="317"/>
      <c r="B118" s="291"/>
      <c r="C118" s="303"/>
      <c r="D118" s="291"/>
      <c r="E118" s="291"/>
      <c r="F118" s="291"/>
      <c r="G118" s="36"/>
      <c r="H118" s="38"/>
      <c r="I118" s="36"/>
      <c r="J118" s="303"/>
      <c r="K118" s="303"/>
    </row>
    <row r="119" spans="1:11">
      <c r="A119" s="317"/>
      <c r="B119" s="291"/>
      <c r="C119" s="304"/>
      <c r="D119" s="291"/>
      <c r="E119" s="291"/>
      <c r="F119" s="291"/>
      <c r="G119" s="36"/>
      <c r="H119" s="38"/>
      <c r="I119" s="36"/>
      <c r="J119" s="304"/>
      <c r="K119" s="304"/>
    </row>
    <row r="120" spans="1:11">
      <c r="A120" s="318"/>
      <c r="B120" s="311" t="s">
        <v>15</v>
      </c>
      <c r="C120" s="292">
        <v>12000</v>
      </c>
      <c r="D120" s="292">
        <v>0</v>
      </c>
      <c r="E120" s="292">
        <v>0</v>
      </c>
      <c r="F120" s="292" t="s">
        <v>16</v>
      </c>
      <c r="G120" s="48" t="s">
        <v>225</v>
      </c>
      <c r="H120" s="49"/>
      <c r="I120" s="48"/>
      <c r="J120" s="144"/>
      <c r="K120" s="305"/>
    </row>
    <row r="121" spans="1:11">
      <c r="A121" s="318"/>
      <c r="B121" s="312"/>
      <c r="C121" s="292"/>
      <c r="D121" s="292"/>
      <c r="E121" s="292"/>
      <c r="F121" s="292"/>
      <c r="G121" s="48"/>
      <c r="H121" s="49"/>
      <c r="I121" s="48"/>
      <c r="J121" s="144"/>
      <c r="K121" s="306"/>
    </row>
    <row r="122" spans="1:11">
      <c r="A122" s="318"/>
      <c r="B122" s="312"/>
      <c r="C122" s="292"/>
      <c r="D122" s="292"/>
      <c r="E122" s="292"/>
      <c r="F122" s="292"/>
      <c r="G122" s="123"/>
      <c r="H122" s="124"/>
      <c r="I122" s="48"/>
      <c r="J122" s="144"/>
      <c r="K122" s="306"/>
    </row>
    <row r="123" spans="1:11">
      <c r="A123" s="318"/>
      <c r="B123" s="313"/>
      <c r="C123" s="292"/>
      <c r="D123" s="292"/>
      <c r="E123" s="292"/>
      <c r="F123" s="292"/>
      <c r="G123" s="52"/>
      <c r="H123" s="125"/>
      <c r="I123" s="52"/>
      <c r="J123" s="145"/>
      <c r="K123" s="307"/>
    </row>
    <row r="124" spans="1:11">
      <c r="A124" s="317" t="s">
        <v>226</v>
      </c>
      <c r="B124" s="310" t="s">
        <v>13</v>
      </c>
      <c r="C124" s="294">
        <v>12000</v>
      </c>
      <c r="D124" s="310"/>
      <c r="E124" s="310"/>
      <c r="F124" s="308" t="s">
        <v>160</v>
      </c>
      <c r="G124" s="113"/>
      <c r="H124" s="114"/>
      <c r="I124" s="113"/>
      <c r="J124" s="112"/>
      <c r="K124" s="301"/>
    </row>
    <row r="125" spans="1:11">
      <c r="A125" s="317"/>
      <c r="B125" s="310"/>
      <c r="C125" s="310"/>
      <c r="D125" s="310"/>
      <c r="E125" s="310"/>
      <c r="F125" s="308"/>
      <c r="G125" s="113"/>
      <c r="H125" s="114"/>
      <c r="I125" s="113"/>
      <c r="J125" s="112"/>
      <c r="K125" s="293"/>
    </row>
    <row r="126" spans="1:11">
      <c r="A126" s="317"/>
      <c r="B126" s="310"/>
      <c r="C126" s="310"/>
      <c r="D126" s="310"/>
      <c r="E126" s="310"/>
      <c r="F126" s="308"/>
      <c r="G126" s="113"/>
      <c r="H126" s="114"/>
      <c r="I126" s="113"/>
      <c r="J126" s="112"/>
      <c r="K126" s="293"/>
    </row>
    <row r="127" spans="1:11">
      <c r="A127" s="317"/>
      <c r="B127" s="310"/>
      <c r="C127" s="310"/>
      <c r="D127" s="310"/>
      <c r="E127" s="310"/>
      <c r="F127" s="308"/>
      <c r="G127" s="113"/>
      <c r="H127" s="114"/>
      <c r="I127" s="113"/>
      <c r="J127" s="112"/>
      <c r="K127" s="294"/>
    </row>
    <row r="128" spans="1:11">
      <c r="A128" s="317"/>
      <c r="B128" s="291" t="s">
        <v>14</v>
      </c>
      <c r="C128" s="302">
        <v>12000</v>
      </c>
      <c r="D128" s="291"/>
      <c r="E128" s="291"/>
      <c r="F128" s="291" t="s">
        <v>138</v>
      </c>
      <c r="G128" s="36" t="s">
        <v>227</v>
      </c>
      <c r="H128" s="38"/>
      <c r="I128" s="36"/>
      <c r="J128" s="131"/>
      <c r="K128" s="302"/>
    </row>
    <row r="129" spans="1:11">
      <c r="A129" s="317"/>
      <c r="B129" s="291"/>
      <c r="C129" s="303"/>
      <c r="D129" s="291"/>
      <c r="E129" s="291"/>
      <c r="F129" s="291"/>
      <c r="G129" s="36" t="s">
        <v>228</v>
      </c>
      <c r="H129" s="38"/>
      <c r="I129" s="36"/>
      <c r="J129" s="131"/>
      <c r="K129" s="303"/>
    </row>
    <row r="130" spans="1:11">
      <c r="A130" s="317"/>
      <c r="B130" s="291"/>
      <c r="C130" s="303"/>
      <c r="D130" s="291"/>
      <c r="E130" s="291"/>
      <c r="F130" s="291"/>
      <c r="G130" s="36"/>
      <c r="H130" s="38"/>
      <c r="I130" s="36"/>
      <c r="J130" s="131"/>
      <c r="K130" s="303"/>
    </row>
    <row r="131" spans="1:11">
      <c r="A131" s="317"/>
      <c r="B131" s="291"/>
      <c r="C131" s="304"/>
      <c r="D131" s="291"/>
      <c r="E131" s="291"/>
      <c r="F131" s="291"/>
      <c r="G131" s="36"/>
      <c r="H131" s="38"/>
      <c r="I131" s="36"/>
      <c r="J131" s="131"/>
      <c r="K131" s="304"/>
    </row>
    <row r="132" spans="1:11" ht="22.5">
      <c r="A132" s="318"/>
      <c r="B132" s="311" t="s">
        <v>15</v>
      </c>
      <c r="C132" s="292">
        <v>12000</v>
      </c>
      <c r="D132" s="292">
        <v>0</v>
      </c>
      <c r="E132" s="292">
        <v>0</v>
      </c>
      <c r="F132" s="292" t="s">
        <v>28</v>
      </c>
      <c r="G132" s="53" t="s">
        <v>229</v>
      </c>
      <c r="H132" s="49"/>
      <c r="I132" s="48"/>
      <c r="J132" s="144"/>
      <c r="K132" s="305"/>
    </row>
    <row r="133" spans="1:11">
      <c r="A133" s="318"/>
      <c r="B133" s="312"/>
      <c r="C133" s="292"/>
      <c r="D133" s="292"/>
      <c r="E133" s="292"/>
      <c r="F133" s="292"/>
      <c r="G133" s="48"/>
      <c r="H133" s="49"/>
      <c r="I133" s="48"/>
      <c r="J133" s="144"/>
      <c r="K133" s="306"/>
    </row>
    <row r="134" spans="1:11">
      <c r="A134" s="318"/>
      <c r="B134" s="312"/>
      <c r="C134" s="292"/>
      <c r="D134" s="292"/>
      <c r="E134" s="292"/>
      <c r="F134" s="292"/>
      <c r="G134" s="123"/>
      <c r="H134" s="124"/>
      <c r="I134" s="48"/>
      <c r="J134" s="144"/>
      <c r="K134" s="306"/>
    </row>
    <row r="135" spans="1:11">
      <c r="A135" s="318"/>
      <c r="B135" s="313"/>
      <c r="C135" s="292"/>
      <c r="D135" s="292"/>
      <c r="E135" s="292"/>
      <c r="F135" s="292"/>
      <c r="G135" s="52"/>
      <c r="H135" s="125"/>
      <c r="I135" s="52"/>
      <c r="J135" s="145"/>
      <c r="K135" s="307"/>
    </row>
    <row r="136" spans="1:11">
      <c r="A136" s="317" t="s">
        <v>230</v>
      </c>
      <c r="B136" s="310" t="s">
        <v>13</v>
      </c>
      <c r="C136" s="294">
        <v>12000</v>
      </c>
      <c r="D136" s="310"/>
      <c r="E136" s="310"/>
      <c r="F136" s="308"/>
      <c r="G136" s="113"/>
      <c r="H136" s="114"/>
      <c r="I136" s="113"/>
      <c r="J136" s="112"/>
      <c r="K136" s="301"/>
    </row>
    <row r="137" spans="1:11">
      <c r="A137" s="317"/>
      <c r="B137" s="310"/>
      <c r="C137" s="310"/>
      <c r="D137" s="310"/>
      <c r="E137" s="310"/>
      <c r="F137" s="308"/>
      <c r="G137" s="113"/>
      <c r="H137" s="114"/>
      <c r="I137" s="113"/>
      <c r="J137" s="112"/>
      <c r="K137" s="293"/>
    </row>
    <row r="138" spans="1:11">
      <c r="A138" s="317"/>
      <c r="B138" s="310"/>
      <c r="C138" s="310"/>
      <c r="D138" s="310"/>
      <c r="E138" s="310"/>
      <c r="F138" s="308"/>
      <c r="G138" s="113"/>
      <c r="H138" s="114"/>
      <c r="I138" s="113"/>
      <c r="J138" s="112"/>
      <c r="K138" s="293"/>
    </row>
    <row r="139" spans="1:11">
      <c r="A139" s="317"/>
      <c r="B139" s="310"/>
      <c r="C139" s="310"/>
      <c r="D139" s="310"/>
      <c r="E139" s="310"/>
      <c r="F139" s="308"/>
      <c r="G139" s="113"/>
      <c r="H139" s="114"/>
      <c r="I139" s="113"/>
      <c r="J139" s="112"/>
      <c r="K139" s="294"/>
    </row>
    <row r="140" spans="1:11">
      <c r="A140" s="317"/>
      <c r="B140" s="291" t="s">
        <v>14</v>
      </c>
      <c r="C140" s="302">
        <v>12000</v>
      </c>
      <c r="D140" s="291">
        <v>10631</v>
      </c>
      <c r="E140" s="291">
        <v>0.15</v>
      </c>
      <c r="F140" s="291" t="s">
        <v>231</v>
      </c>
      <c r="G140" s="36" t="s">
        <v>232</v>
      </c>
      <c r="H140" s="38" t="s">
        <v>233</v>
      </c>
      <c r="I140" s="36">
        <v>4</v>
      </c>
      <c r="J140" s="302">
        <f>I140+I141+I142+I143+I144</f>
        <v>69</v>
      </c>
      <c r="K140" s="302"/>
    </row>
    <row r="141" spans="1:11">
      <c r="A141" s="317"/>
      <c r="B141" s="291"/>
      <c r="C141" s="303"/>
      <c r="D141" s="291"/>
      <c r="E141" s="291"/>
      <c r="F141" s="291"/>
      <c r="G141" s="36" t="s">
        <v>234</v>
      </c>
      <c r="H141" s="38"/>
      <c r="I141" s="36">
        <v>15</v>
      </c>
      <c r="J141" s="303"/>
      <c r="K141" s="303"/>
    </row>
    <row r="142" spans="1:11">
      <c r="A142" s="317"/>
      <c r="B142" s="291"/>
      <c r="C142" s="303"/>
      <c r="D142" s="291"/>
      <c r="E142" s="291"/>
      <c r="F142" s="291"/>
      <c r="G142" s="36" t="s">
        <v>235</v>
      </c>
      <c r="H142" s="38"/>
      <c r="I142" s="36">
        <v>50</v>
      </c>
      <c r="J142" s="303"/>
      <c r="K142" s="303"/>
    </row>
    <row r="143" spans="1:11" ht="22.5">
      <c r="A143" s="317"/>
      <c r="B143" s="291"/>
      <c r="C143" s="303"/>
      <c r="D143" s="291"/>
      <c r="E143" s="291"/>
      <c r="F143" s="291"/>
      <c r="G143" s="36" t="s">
        <v>236</v>
      </c>
      <c r="H143" s="133" t="s">
        <v>237</v>
      </c>
      <c r="I143" s="36"/>
      <c r="J143" s="303"/>
      <c r="K143" s="303"/>
    </row>
    <row r="144" spans="1:11">
      <c r="A144" s="317"/>
      <c r="B144" s="291"/>
      <c r="C144" s="304"/>
      <c r="D144" s="291"/>
      <c r="E144" s="291"/>
      <c r="F144" s="291"/>
      <c r="G144" s="36" t="s">
        <v>238</v>
      </c>
      <c r="H144" s="38" t="s">
        <v>239</v>
      </c>
      <c r="I144" s="36"/>
      <c r="J144" s="304"/>
      <c r="K144" s="304"/>
    </row>
    <row r="145" spans="1:11">
      <c r="A145" s="318"/>
      <c r="B145" s="347" t="s">
        <v>15</v>
      </c>
      <c r="C145" s="292">
        <v>12000</v>
      </c>
      <c r="D145" s="292">
        <v>8849</v>
      </c>
      <c r="E145" s="292">
        <v>0.2</v>
      </c>
      <c r="F145" s="292" t="s">
        <v>28</v>
      </c>
      <c r="G145" s="53" t="s">
        <v>240</v>
      </c>
      <c r="H145" s="49" t="s">
        <v>241</v>
      </c>
      <c r="I145" s="166">
        <v>20</v>
      </c>
      <c r="J145" s="298">
        <v>75</v>
      </c>
      <c r="K145" s="305"/>
    </row>
    <row r="146" spans="1:11">
      <c r="A146" s="318"/>
      <c r="B146" s="348"/>
      <c r="C146" s="292"/>
      <c r="D146" s="292"/>
      <c r="E146" s="292"/>
      <c r="F146" s="292"/>
      <c r="G146" s="48" t="s">
        <v>242</v>
      </c>
      <c r="H146" s="49" t="s">
        <v>243</v>
      </c>
      <c r="I146" s="166">
        <v>25</v>
      </c>
      <c r="J146" s="299"/>
      <c r="K146" s="306"/>
    </row>
    <row r="147" spans="1:11">
      <c r="A147" s="318"/>
      <c r="B147" s="348"/>
      <c r="C147" s="292"/>
      <c r="D147" s="292"/>
      <c r="E147" s="292"/>
      <c r="F147" s="292"/>
      <c r="G147" s="52" t="s">
        <v>234</v>
      </c>
      <c r="H147" s="124"/>
      <c r="I147" s="166">
        <v>25</v>
      </c>
      <c r="J147" s="299"/>
      <c r="K147" s="306"/>
    </row>
    <row r="148" spans="1:11">
      <c r="A148" s="318"/>
      <c r="B148" s="349"/>
      <c r="C148" s="292"/>
      <c r="D148" s="292"/>
      <c r="E148" s="292"/>
      <c r="F148" s="292"/>
      <c r="G148" s="157" t="s">
        <v>143</v>
      </c>
      <c r="H148" s="125" t="s">
        <v>144</v>
      </c>
      <c r="I148" s="52">
        <v>5</v>
      </c>
      <c r="J148" s="300"/>
      <c r="K148" s="307"/>
    </row>
    <row r="149" spans="1:11">
      <c r="A149" s="317" t="s">
        <v>244</v>
      </c>
      <c r="B149" s="310" t="s">
        <v>13</v>
      </c>
      <c r="C149" s="294">
        <v>12000</v>
      </c>
      <c r="D149" s="310">
        <v>10171</v>
      </c>
      <c r="E149" s="310">
        <v>0.15</v>
      </c>
      <c r="F149" s="308" t="s">
        <v>245</v>
      </c>
      <c r="G149" s="113" t="s">
        <v>246</v>
      </c>
      <c r="H149" s="114" t="s">
        <v>247</v>
      </c>
      <c r="I149" s="113">
        <v>25</v>
      </c>
      <c r="J149" s="301">
        <v>73</v>
      </c>
      <c r="K149" s="301"/>
    </row>
    <row r="150" spans="1:11">
      <c r="A150" s="317"/>
      <c r="B150" s="310"/>
      <c r="C150" s="310"/>
      <c r="D150" s="310"/>
      <c r="E150" s="310"/>
      <c r="F150" s="308"/>
      <c r="G150" s="113" t="s">
        <v>248</v>
      </c>
      <c r="H150" s="114" t="s">
        <v>249</v>
      </c>
      <c r="I150" s="113">
        <v>15</v>
      </c>
      <c r="J150" s="293"/>
      <c r="K150" s="293"/>
    </row>
    <row r="151" spans="1:11" ht="33.75">
      <c r="A151" s="317"/>
      <c r="B151" s="310"/>
      <c r="C151" s="310"/>
      <c r="D151" s="310"/>
      <c r="E151" s="310"/>
      <c r="F151" s="308"/>
      <c r="G151" s="113" t="s">
        <v>250</v>
      </c>
      <c r="H151" s="114" t="s">
        <v>251</v>
      </c>
      <c r="I151" s="113">
        <v>15</v>
      </c>
      <c r="J151" s="293"/>
      <c r="K151" s="293"/>
    </row>
    <row r="152" spans="1:11" ht="21">
      <c r="A152" s="317"/>
      <c r="B152" s="310"/>
      <c r="C152" s="310"/>
      <c r="D152" s="310"/>
      <c r="E152" s="310"/>
      <c r="F152" s="308"/>
      <c r="G152" s="113" t="s">
        <v>252</v>
      </c>
      <c r="H152" s="114" t="s">
        <v>253</v>
      </c>
      <c r="I152" s="113">
        <v>18</v>
      </c>
      <c r="J152" s="294"/>
      <c r="K152" s="294"/>
    </row>
    <row r="153" spans="1:11">
      <c r="A153" s="317"/>
      <c r="B153" s="291" t="s">
        <v>14</v>
      </c>
      <c r="C153" s="302">
        <v>12000</v>
      </c>
      <c r="D153" s="291">
        <v>11698</v>
      </c>
      <c r="E153" s="291">
        <v>0.05</v>
      </c>
      <c r="F153" s="291" t="s">
        <v>138</v>
      </c>
      <c r="G153" s="36" t="s">
        <v>254</v>
      </c>
      <c r="H153" s="38"/>
      <c r="I153" s="36">
        <v>45</v>
      </c>
      <c r="J153" s="302">
        <f>I153+I154+I155+I156</f>
        <v>92</v>
      </c>
      <c r="K153" s="302"/>
    </row>
    <row r="154" spans="1:11">
      <c r="A154" s="317"/>
      <c r="B154" s="291"/>
      <c r="C154" s="303"/>
      <c r="D154" s="291"/>
      <c r="E154" s="291"/>
      <c r="F154" s="291"/>
      <c r="G154" s="36" t="s">
        <v>255</v>
      </c>
      <c r="H154" s="38" t="s">
        <v>256</v>
      </c>
      <c r="I154" s="36">
        <v>25</v>
      </c>
      <c r="J154" s="303"/>
      <c r="K154" s="303"/>
    </row>
    <row r="155" spans="1:11">
      <c r="A155" s="317"/>
      <c r="B155" s="291"/>
      <c r="C155" s="303"/>
      <c r="D155" s="291"/>
      <c r="E155" s="291"/>
      <c r="F155" s="291"/>
      <c r="G155" s="36" t="s">
        <v>257</v>
      </c>
      <c r="H155" s="38" t="s">
        <v>258</v>
      </c>
      <c r="I155" s="36">
        <v>20</v>
      </c>
      <c r="J155" s="303"/>
      <c r="K155" s="303"/>
    </row>
    <row r="156" spans="1:11">
      <c r="A156" s="317"/>
      <c r="B156" s="291"/>
      <c r="C156" s="304"/>
      <c r="D156" s="291"/>
      <c r="E156" s="291"/>
      <c r="F156" s="291"/>
      <c r="G156" s="36" t="s">
        <v>259</v>
      </c>
      <c r="H156" s="38" t="s">
        <v>260</v>
      </c>
      <c r="I156" s="36">
        <v>2</v>
      </c>
      <c r="J156" s="304"/>
      <c r="K156" s="304"/>
    </row>
    <row r="157" spans="1:11">
      <c r="A157" s="318"/>
      <c r="B157" s="311" t="s">
        <v>15</v>
      </c>
      <c r="C157" s="292">
        <v>12000</v>
      </c>
      <c r="D157" s="292"/>
      <c r="E157" s="292"/>
      <c r="F157" s="292" t="s">
        <v>261</v>
      </c>
      <c r="G157" s="53" t="s">
        <v>262</v>
      </c>
      <c r="H157" s="49" t="s">
        <v>263</v>
      </c>
      <c r="I157" s="48"/>
      <c r="J157" s="144"/>
      <c r="K157" s="305"/>
    </row>
    <row r="158" spans="1:11">
      <c r="A158" s="318"/>
      <c r="B158" s="312"/>
      <c r="C158" s="292"/>
      <c r="D158" s="292"/>
      <c r="E158" s="292"/>
      <c r="F158" s="292"/>
      <c r="G158" s="48" t="s">
        <v>264</v>
      </c>
      <c r="H158" s="49" t="s">
        <v>265</v>
      </c>
      <c r="I158" s="48"/>
      <c r="J158" s="144"/>
      <c r="K158" s="306"/>
    </row>
    <row r="159" spans="1:11">
      <c r="A159" s="318"/>
      <c r="B159" s="312"/>
      <c r="C159" s="292"/>
      <c r="D159" s="292"/>
      <c r="E159" s="292"/>
      <c r="F159" s="292"/>
      <c r="G159" s="123"/>
      <c r="H159" s="124"/>
      <c r="I159" s="48"/>
      <c r="J159" s="144"/>
      <c r="K159" s="306"/>
    </row>
    <row r="160" spans="1:11">
      <c r="A160" s="318"/>
      <c r="B160" s="313"/>
      <c r="C160" s="292"/>
      <c r="D160" s="292"/>
      <c r="E160" s="292"/>
      <c r="F160" s="292"/>
      <c r="G160" s="52"/>
      <c r="H160" s="125"/>
      <c r="I160" s="52"/>
      <c r="J160" s="145"/>
      <c r="K160" s="307"/>
    </row>
    <row r="161" spans="1:11" ht="22.5">
      <c r="A161" s="317">
        <v>45741</v>
      </c>
      <c r="B161" s="310" t="s">
        <v>13</v>
      </c>
      <c r="C161" s="294">
        <v>12000</v>
      </c>
      <c r="D161" s="310">
        <v>4165</v>
      </c>
      <c r="E161" s="310">
        <v>2.3E-2</v>
      </c>
      <c r="F161" s="308" t="s">
        <v>245</v>
      </c>
      <c r="G161" s="113" t="s">
        <v>266</v>
      </c>
      <c r="H161" s="114" t="s">
        <v>267</v>
      </c>
      <c r="I161" s="113">
        <v>15</v>
      </c>
      <c r="J161" s="301">
        <v>325</v>
      </c>
      <c r="K161" s="301"/>
    </row>
    <row r="162" spans="1:11">
      <c r="A162" s="317"/>
      <c r="B162" s="310"/>
      <c r="C162" s="310"/>
      <c r="D162" s="310"/>
      <c r="E162" s="310"/>
      <c r="F162" s="308"/>
      <c r="G162" s="113" t="s">
        <v>268</v>
      </c>
      <c r="H162" s="114" t="s">
        <v>269</v>
      </c>
      <c r="I162" s="113">
        <v>15</v>
      </c>
      <c r="J162" s="293"/>
      <c r="K162" s="293"/>
    </row>
    <row r="163" spans="1:11" ht="22.5">
      <c r="A163" s="317"/>
      <c r="B163" s="310"/>
      <c r="C163" s="310"/>
      <c r="D163" s="310"/>
      <c r="E163" s="310"/>
      <c r="F163" s="308"/>
      <c r="G163" s="191" t="s">
        <v>270</v>
      </c>
      <c r="H163" s="138" t="s">
        <v>271</v>
      </c>
      <c r="I163" s="113">
        <v>55</v>
      </c>
      <c r="J163" s="293"/>
      <c r="K163" s="293"/>
    </row>
    <row r="164" spans="1:11" ht="33.75">
      <c r="A164" s="317"/>
      <c r="B164" s="310"/>
      <c r="C164" s="310"/>
      <c r="D164" s="310"/>
      <c r="E164" s="310"/>
      <c r="F164" s="308"/>
      <c r="G164" s="191" t="s">
        <v>270</v>
      </c>
      <c r="H164" s="113" t="s">
        <v>272</v>
      </c>
      <c r="I164" s="113">
        <v>240</v>
      </c>
      <c r="J164" s="294"/>
      <c r="K164" s="294"/>
    </row>
    <row r="165" spans="1:11">
      <c r="A165" s="317"/>
      <c r="B165" s="291" t="s">
        <v>14</v>
      </c>
      <c r="C165" s="302">
        <v>12000</v>
      </c>
      <c r="D165" s="291"/>
      <c r="E165" s="291"/>
      <c r="F165" s="291"/>
      <c r="G165" s="36"/>
      <c r="H165" s="38" t="s">
        <v>177</v>
      </c>
      <c r="I165" s="38"/>
      <c r="J165" s="302"/>
      <c r="K165" s="302"/>
    </row>
    <row r="166" spans="1:11">
      <c r="A166" s="317"/>
      <c r="B166" s="291"/>
      <c r="C166" s="303"/>
      <c r="D166" s="291"/>
      <c r="E166" s="291"/>
      <c r="F166" s="291"/>
      <c r="G166" s="36"/>
      <c r="H166" s="38"/>
      <c r="I166" s="36"/>
      <c r="J166" s="303"/>
      <c r="K166" s="303"/>
    </row>
    <row r="167" spans="1:11">
      <c r="A167" s="317"/>
      <c r="B167" s="291"/>
      <c r="C167" s="303"/>
      <c r="D167" s="291"/>
      <c r="E167" s="291"/>
      <c r="F167" s="291"/>
      <c r="G167" s="36"/>
      <c r="H167" s="38"/>
      <c r="I167" s="36"/>
      <c r="J167" s="303"/>
      <c r="K167" s="303"/>
    </row>
    <row r="168" spans="1:11">
      <c r="A168" s="317"/>
      <c r="B168" s="291"/>
      <c r="C168" s="304"/>
      <c r="D168" s="291"/>
      <c r="E168" s="291"/>
      <c r="F168" s="291"/>
      <c r="G168" s="36"/>
      <c r="H168" s="38"/>
      <c r="I168" s="36"/>
      <c r="J168" s="304"/>
      <c r="K168" s="304"/>
    </row>
    <row r="169" spans="1:11">
      <c r="A169" s="318"/>
      <c r="B169" s="311" t="s">
        <v>15</v>
      </c>
      <c r="C169" s="292">
        <v>12000</v>
      </c>
      <c r="D169" s="292"/>
      <c r="E169" s="292"/>
      <c r="F169" s="292"/>
      <c r="G169" s="53"/>
      <c r="H169" s="49"/>
      <c r="I169" s="48"/>
      <c r="J169" s="144"/>
      <c r="K169" s="305"/>
    </row>
    <row r="170" spans="1:11">
      <c r="A170" s="318"/>
      <c r="B170" s="312"/>
      <c r="C170" s="292"/>
      <c r="D170" s="292"/>
      <c r="E170" s="292"/>
      <c r="F170" s="292"/>
      <c r="G170" s="48"/>
      <c r="H170" s="49"/>
      <c r="I170" s="48"/>
      <c r="J170" s="144"/>
      <c r="K170" s="306"/>
    </row>
    <row r="171" spans="1:11">
      <c r="A171" s="318"/>
      <c r="B171" s="312"/>
      <c r="C171" s="292"/>
      <c r="D171" s="292"/>
      <c r="E171" s="292"/>
      <c r="F171" s="292"/>
      <c r="G171" s="123"/>
      <c r="H171" s="124"/>
      <c r="I171" s="48"/>
      <c r="J171" s="144"/>
      <c r="K171" s="306"/>
    </row>
    <row r="172" spans="1:11">
      <c r="A172" s="318"/>
      <c r="B172" s="313"/>
      <c r="C172" s="292"/>
      <c r="D172" s="292"/>
      <c r="E172" s="292"/>
      <c r="F172" s="292"/>
      <c r="G172" s="52"/>
      <c r="H172" s="125"/>
      <c r="I172" s="52"/>
      <c r="J172" s="145"/>
      <c r="K172" s="307"/>
    </row>
    <row r="173" spans="1:11">
      <c r="A173" s="317">
        <v>45743</v>
      </c>
      <c r="B173" s="310" t="s">
        <v>13</v>
      </c>
      <c r="C173" s="294">
        <v>12000</v>
      </c>
      <c r="D173" s="310"/>
      <c r="E173" s="310"/>
      <c r="F173" s="308"/>
      <c r="G173" s="113"/>
      <c r="H173" s="114"/>
      <c r="I173" s="113"/>
      <c r="J173" s="301"/>
      <c r="K173" s="301"/>
    </row>
    <row r="174" spans="1:11">
      <c r="A174" s="317"/>
      <c r="B174" s="310"/>
      <c r="C174" s="310"/>
      <c r="D174" s="310"/>
      <c r="E174" s="310"/>
      <c r="F174" s="308"/>
      <c r="G174" s="113"/>
      <c r="H174" s="114"/>
      <c r="I174" s="113"/>
      <c r="J174" s="293"/>
      <c r="K174" s="293"/>
    </row>
    <row r="175" spans="1:11">
      <c r="A175" s="317"/>
      <c r="B175" s="310"/>
      <c r="C175" s="310"/>
      <c r="D175" s="310"/>
      <c r="E175" s="310"/>
      <c r="F175" s="308"/>
      <c r="G175" s="113"/>
      <c r="H175" s="138"/>
      <c r="I175" s="113"/>
      <c r="J175" s="293"/>
      <c r="K175" s="293"/>
    </row>
    <row r="176" spans="1:11">
      <c r="A176" s="317"/>
      <c r="B176" s="310"/>
      <c r="C176" s="310"/>
      <c r="D176" s="310"/>
      <c r="E176" s="310"/>
      <c r="F176" s="308"/>
      <c r="G176" s="113"/>
      <c r="H176" s="113"/>
      <c r="I176" s="113"/>
      <c r="J176" s="294"/>
      <c r="K176" s="294"/>
    </row>
    <row r="177" spans="1:11">
      <c r="A177" s="317"/>
      <c r="B177" s="291" t="s">
        <v>14</v>
      </c>
      <c r="C177" s="302">
        <v>12000</v>
      </c>
      <c r="D177" s="291"/>
      <c r="E177" s="291"/>
      <c r="F177" s="291"/>
      <c r="G177" s="36"/>
      <c r="H177" s="38" t="s">
        <v>177</v>
      </c>
      <c r="I177" s="38"/>
      <c r="J177" s="302"/>
      <c r="K177" s="302"/>
    </row>
    <row r="178" spans="1:11">
      <c r="A178" s="317"/>
      <c r="B178" s="291"/>
      <c r="C178" s="303"/>
      <c r="D178" s="291"/>
      <c r="E178" s="291"/>
      <c r="F178" s="291"/>
      <c r="G178" s="36"/>
      <c r="H178" s="38"/>
      <c r="I178" s="36"/>
      <c r="J178" s="303"/>
      <c r="K178" s="303"/>
    </row>
    <row r="179" spans="1:11">
      <c r="A179" s="317"/>
      <c r="B179" s="291"/>
      <c r="C179" s="303"/>
      <c r="D179" s="291"/>
      <c r="E179" s="291"/>
      <c r="F179" s="291"/>
      <c r="G179" s="36"/>
      <c r="H179" s="38"/>
      <c r="I179" s="36"/>
      <c r="J179" s="303"/>
      <c r="K179" s="303"/>
    </row>
    <row r="180" spans="1:11">
      <c r="A180" s="317"/>
      <c r="B180" s="291"/>
      <c r="C180" s="304"/>
      <c r="D180" s="291"/>
      <c r="E180" s="291"/>
      <c r="F180" s="291"/>
      <c r="G180" s="36"/>
      <c r="H180" s="38"/>
      <c r="I180" s="36"/>
      <c r="J180" s="304"/>
      <c r="K180" s="304"/>
    </row>
    <row r="181" spans="1:11">
      <c r="A181" s="318"/>
      <c r="B181" s="311" t="s">
        <v>15</v>
      </c>
      <c r="C181" s="292">
        <v>12000</v>
      </c>
      <c r="D181" s="292">
        <v>641</v>
      </c>
      <c r="E181" s="292"/>
      <c r="F181" s="292" t="s">
        <v>138</v>
      </c>
      <c r="G181" s="53" t="s">
        <v>273</v>
      </c>
      <c r="H181" s="49" t="s">
        <v>274</v>
      </c>
      <c r="I181" s="48"/>
      <c r="J181" s="144"/>
      <c r="K181" s="305"/>
    </row>
    <row r="182" spans="1:11">
      <c r="A182" s="318"/>
      <c r="B182" s="312"/>
      <c r="C182" s="292"/>
      <c r="D182" s="292"/>
      <c r="E182" s="292"/>
      <c r="F182" s="292"/>
      <c r="G182" s="48" t="s">
        <v>275</v>
      </c>
      <c r="H182" s="49" t="s">
        <v>276</v>
      </c>
      <c r="I182" s="48"/>
      <c r="J182" s="144"/>
      <c r="K182" s="306"/>
    </row>
    <row r="183" spans="1:11">
      <c r="A183" s="318"/>
      <c r="B183" s="312"/>
      <c r="C183" s="292"/>
      <c r="D183" s="292"/>
      <c r="E183" s="292"/>
      <c r="F183" s="292"/>
      <c r="G183" s="123" t="s">
        <v>277</v>
      </c>
      <c r="H183" s="124" t="s">
        <v>278</v>
      </c>
      <c r="I183" s="48"/>
      <c r="J183" s="144"/>
      <c r="K183" s="306"/>
    </row>
    <row r="184" spans="1:11" ht="33.75">
      <c r="A184" s="318"/>
      <c r="B184" s="313"/>
      <c r="C184" s="292"/>
      <c r="D184" s="292"/>
      <c r="E184" s="292"/>
      <c r="F184" s="292"/>
      <c r="G184" s="52" t="s">
        <v>279</v>
      </c>
      <c r="H184" s="125" t="s">
        <v>280</v>
      </c>
      <c r="I184" s="52"/>
      <c r="J184" s="145"/>
      <c r="K184" s="307"/>
    </row>
    <row r="185" spans="1:11">
      <c r="A185" s="317">
        <v>45744</v>
      </c>
      <c r="B185" s="310" t="s">
        <v>13</v>
      </c>
      <c r="C185" s="294">
        <v>12000</v>
      </c>
      <c r="D185" s="310"/>
      <c r="E185" s="310"/>
      <c r="F185" s="308"/>
      <c r="G185" s="113"/>
      <c r="H185" s="164"/>
      <c r="I185" s="113"/>
      <c r="J185" s="112"/>
      <c r="K185" s="301"/>
    </row>
    <row r="186" spans="1:11">
      <c r="A186" s="317"/>
      <c r="B186" s="310"/>
      <c r="C186" s="310"/>
      <c r="D186" s="310"/>
      <c r="E186" s="310"/>
      <c r="F186" s="308"/>
      <c r="G186" s="113"/>
      <c r="H186" s="164"/>
      <c r="I186" s="113"/>
      <c r="J186" s="112"/>
      <c r="K186" s="293"/>
    </row>
    <row r="187" spans="1:11">
      <c r="A187" s="317"/>
      <c r="B187" s="310"/>
      <c r="C187" s="310"/>
      <c r="D187" s="310"/>
      <c r="E187" s="310"/>
      <c r="F187" s="308"/>
      <c r="G187" s="113"/>
      <c r="H187" s="164"/>
      <c r="I187" s="113"/>
      <c r="J187" s="112"/>
      <c r="K187" s="293"/>
    </row>
    <row r="188" spans="1:11">
      <c r="A188" s="317"/>
      <c r="B188" s="310"/>
      <c r="C188" s="310"/>
      <c r="D188" s="310"/>
      <c r="E188" s="310"/>
      <c r="F188" s="308"/>
      <c r="G188" s="113"/>
      <c r="H188" s="164"/>
      <c r="I188" s="113"/>
      <c r="J188" s="112"/>
      <c r="K188" s="294"/>
    </row>
    <row r="189" spans="1:11">
      <c r="A189" s="317"/>
      <c r="B189" s="291" t="s">
        <v>14</v>
      </c>
      <c r="C189" s="302">
        <v>12000</v>
      </c>
      <c r="D189" s="291"/>
      <c r="E189" s="291"/>
      <c r="F189" s="291"/>
      <c r="G189" s="36"/>
      <c r="H189" s="165"/>
      <c r="I189" s="36"/>
      <c r="J189" s="131"/>
      <c r="K189" s="302"/>
    </row>
    <row r="190" spans="1:11">
      <c r="A190" s="317"/>
      <c r="B190" s="291"/>
      <c r="C190" s="303"/>
      <c r="D190" s="291"/>
      <c r="E190" s="291"/>
      <c r="F190" s="291"/>
      <c r="G190" s="36"/>
      <c r="H190" s="165"/>
      <c r="I190" s="36"/>
      <c r="J190" s="131"/>
      <c r="K190" s="303"/>
    </row>
    <row r="191" spans="1:11">
      <c r="A191" s="317"/>
      <c r="B191" s="291"/>
      <c r="C191" s="303"/>
      <c r="D191" s="291"/>
      <c r="E191" s="291"/>
      <c r="F191" s="291"/>
      <c r="G191" s="36"/>
      <c r="H191" s="165"/>
      <c r="I191" s="36"/>
      <c r="J191" s="131"/>
      <c r="K191" s="303"/>
    </row>
    <row r="192" spans="1:11">
      <c r="A192" s="317"/>
      <c r="B192" s="291"/>
      <c r="C192" s="304"/>
      <c r="D192" s="291"/>
      <c r="E192" s="291"/>
      <c r="F192" s="291"/>
      <c r="G192" s="36"/>
      <c r="H192" s="165"/>
      <c r="I192" s="36"/>
      <c r="J192" s="131"/>
      <c r="K192" s="304"/>
    </row>
    <row r="193" spans="1:11" ht="22.5">
      <c r="A193" s="318"/>
      <c r="B193" s="311" t="s">
        <v>15</v>
      </c>
      <c r="C193" s="311">
        <v>12000</v>
      </c>
      <c r="D193" s="311">
        <v>2347</v>
      </c>
      <c r="E193" s="311">
        <v>1.9</v>
      </c>
      <c r="F193" s="311" t="s">
        <v>221</v>
      </c>
      <c r="G193" s="53" t="s">
        <v>281</v>
      </c>
      <c r="H193" s="53" t="s">
        <v>282</v>
      </c>
      <c r="I193" s="48"/>
      <c r="J193" s="305"/>
      <c r="K193" s="305"/>
    </row>
    <row r="194" spans="1:11">
      <c r="A194" s="318"/>
      <c r="B194" s="312"/>
      <c r="C194" s="312"/>
      <c r="D194" s="312"/>
      <c r="E194" s="312"/>
      <c r="F194" s="312"/>
      <c r="G194" s="48" t="s">
        <v>283</v>
      </c>
      <c r="H194" s="101" t="s">
        <v>284</v>
      </c>
      <c r="I194" s="48"/>
      <c r="J194" s="306"/>
      <c r="K194" s="306"/>
    </row>
    <row r="195" spans="1:11" ht="22.5">
      <c r="A195" s="318"/>
      <c r="B195" s="312"/>
      <c r="C195" s="312"/>
      <c r="D195" s="312"/>
      <c r="E195" s="312"/>
      <c r="F195" s="312"/>
      <c r="G195" s="123" t="s">
        <v>285</v>
      </c>
      <c r="H195" s="53" t="s">
        <v>286</v>
      </c>
      <c r="I195" s="48"/>
      <c r="J195" s="306"/>
      <c r="K195" s="306"/>
    </row>
    <row r="196" spans="1:11" ht="22.5">
      <c r="A196" s="318"/>
      <c r="B196" s="312"/>
      <c r="C196" s="312"/>
      <c r="D196" s="312"/>
      <c r="E196" s="312"/>
      <c r="F196" s="312"/>
      <c r="G196" s="52" t="s">
        <v>287</v>
      </c>
      <c r="H196" s="167" t="s">
        <v>288</v>
      </c>
      <c r="I196" s="52"/>
      <c r="J196" s="306"/>
      <c r="K196" s="306"/>
    </row>
    <row r="197" spans="1:11" ht="22.5">
      <c r="A197" s="134"/>
      <c r="B197" s="313"/>
      <c r="C197" s="313"/>
      <c r="D197" s="313"/>
      <c r="E197" s="313"/>
      <c r="F197" s="313"/>
      <c r="G197" s="52" t="s">
        <v>289</v>
      </c>
      <c r="H197" s="167" t="s">
        <v>290</v>
      </c>
      <c r="I197" s="52"/>
      <c r="J197" s="307"/>
      <c r="K197" s="307"/>
    </row>
    <row r="198" spans="1:11">
      <c r="A198" s="317"/>
      <c r="B198" s="310" t="s">
        <v>13</v>
      </c>
      <c r="C198" s="294">
        <v>12000</v>
      </c>
      <c r="D198" s="310"/>
      <c r="E198" s="310"/>
      <c r="F198" s="308"/>
      <c r="G198" s="113"/>
      <c r="H198" s="164"/>
      <c r="I198" s="113"/>
      <c r="J198" s="112"/>
      <c r="K198" s="301"/>
    </row>
    <row r="199" spans="1:11">
      <c r="A199" s="317"/>
      <c r="B199" s="310"/>
      <c r="C199" s="310"/>
      <c r="D199" s="310"/>
      <c r="E199" s="310"/>
      <c r="F199" s="308"/>
      <c r="G199" s="113"/>
      <c r="H199" s="164"/>
      <c r="I199" s="113"/>
      <c r="J199" s="112"/>
      <c r="K199" s="293"/>
    </row>
    <row r="200" spans="1:11">
      <c r="A200" s="317"/>
      <c r="B200" s="310"/>
      <c r="C200" s="310"/>
      <c r="D200" s="310"/>
      <c r="E200" s="310"/>
      <c r="F200" s="308"/>
      <c r="G200" s="113"/>
      <c r="H200" s="164"/>
      <c r="I200" s="113"/>
      <c r="J200" s="112"/>
      <c r="K200" s="293"/>
    </row>
    <row r="201" spans="1:11">
      <c r="A201" s="317"/>
      <c r="B201" s="310"/>
      <c r="C201" s="310"/>
      <c r="D201" s="310"/>
      <c r="E201" s="310"/>
      <c r="F201" s="308"/>
      <c r="G201" s="113"/>
      <c r="H201" s="164"/>
      <c r="I201" s="113"/>
      <c r="J201" s="112"/>
      <c r="K201" s="294"/>
    </row>
    <row r="202" spans="1:11">
      <c r="A202" s="317"/>
      <c r="B202" s="291" t="s">
        <v>14</v>
      </c>
      <c r="C202" s="302">
        <v>12000</v>
      </c>
      <c r="D202" s="291"/>
      <c r="E202" s="291"/>
      <c r="F202" s="291"/>
      <c r="G202" s="130" t="s">
        <v>291</v>
      </c>
      <c r="H202" s="117" t="s">
        <v>101</v>
      </c>
      <c r="I202" s="130" t="s">
        <v>102</v>
      </c>
      <c r="J202" s="131"/>
      <c r="K202" s="173">
        <f>SUM(J202:J207)</f>
        <v>20</v>
      </c>
    </row>
    <row r="203" spans="1:11">
      <c r="A203" s="317"/>
      <c r="B203" s="291"/>
      <c r="C203" s="303"/>
      <c r="D203" s="291"/>
      <c r="E203" s="291"/>
      <c r="F203" s="291"/>
      <c r="G203" s="130" t="s">
        <v>292</v>
      </c>
      <c r="H203" s="117" t="s">
        <v>103</v>
      </c>
      <c r="I203" s="174" t="s">
        <v>104</v>
      </c>
      <c r="J203" s="131"/>
      <c r="K203" s="175"/>
    </row>
    <row r="204" spans="1:11">
      <c r="A204" s="317"/>
      <c r="B204" s="291"/>
      <c r="C204" s="303"/>
      <c r="D204" s="291"/>
      <c r="E204" s="291"/>
      <c r="F204" s="291"/>
      <c r="G204" s="130"/>
      <c r="H204" s="117" t="s">
        <v>109</v>
      </c>
      <c r="I204" s="176" t="s">
        <v>110</v>
      </c>
      <c r="J204" s="141">
        <v>10</v>
      </c>
      <c r="K204" s="175"/>
    </row>
    <row r="205" spans="1:11">
      <c r="A205" s="317"/>
      <c r="B205" s="291"/>
      <c r="C205" s="303"/>
      <c r="D205" s="291"/>
      <c r="E205" s="291"/>
      <c r="F205" s="291"/>
      <c r="G205" s="130" t="s">
        <v>291</v>
      </c>
      <c r="H205" s="117" t="s">
        <v>107</v>
      </c>
      <c r="I205" s="176" t="s">
        <v>108</v>
      </c>
      <c r="J205" s="131"/>
      <c r="K205" s="175"/>
    </row>
    <row r="206" spans="1:11">
      <c r="A206" s="317"/>
      <c r="B206" s="291"/>
      <c r="C206" s="303"/>
      <c r="D206" s="291"/>
      <c r="E206" s="291"/>
      <c r="F206" s="291"/>
      <c r="G206" s="130" t="s">
        <v>293</v>
      </c>
      <c r="H206" s="117" t="s">
        <v>105</v>
      </c>
      <c r="I206" s="174" t="s">
        <v>106</v>
      </c>
      <c r="J206" s="132"/>
      <c r="K206" s="175"/>
    </row>
    <row r="207" spans="1:11">
      <c r="A207" s="317"/>
      <c r="B207" s="291"/>
      <c r="C207" s="304"/>
      <c r="D207" s="291"/>
      <c r="E207" s="291"/>
      <c r="F207" s="291"/>
      <c r="G207" s="130"/>
      <c r="H207" s="117" t="s">
        <v>111</v>
      </c>
      <c r="I207" s="176" t="s">
        <v>112</v>
      </c>
      <c r="J207" s="141">
        <v>10</v>
      </c>
      <c r="K207" s="177"/>
    </row>
    <row r="208" spans="1:11">
      <c r="A208" s="318"/>
      <c r="B208" s="343" t="s">
        <v>15</v>
      </c>
      <c r="C208" s="327">
        <v>12000</v>
      </c>
      <c r="D208" s="327"/>
      <c r="E208" s="327"/>
      <c r="F208" s="327"/>
      <c r="G208" s="168"/>
      <c r="H208" s="168"/>
      <c r="I208" s="168"/>
      <c r="J208" s="168"/>
      <c r="K208" s="178"/>
    </row>
    <row r="209" spans="1:11">
      <c r="A209" s="318"/>
      <c r="B209" s="344"/>
      <c r="C209" s="327"/>
      <c r="D209" s="327"/>
      <c r="E209" s="327"/>
      <c r="F209" s="327"/>
      <c r="G209" s="168"/>
      <c r="H209" s="168"/>
      <c r="I209" s="168"/>
      <c r="J209" s="168"/>
      <c r="K209" s="178"/>
    </row>
    <row r="210" spans="1:11">
      <c r="A210" s="318"/>
      <c r="B210" s="344"/>
      <c r="C210" s="327"/>
      <c r="D210" s="327"/>
      <c r="E210" s="327"/>
      <c r="F210" s="327"/>
      <c r="G210" s="169"/>
      <c r="H210" s="170"/>
      <c r="I210" s="179"/>
      <c r="J210" s="180"/>
      <c r="K210" s="181"/>
    </row>
    <row r="211" spans="1:11">
      <c r="A211" s="318"/>
      <c r="B211" s="345"/>
      <c r="C211" s="327"/>
      <c r="D211" s="327"/>
      <c r="E211" s="327"/>
      <c r="F211" s="327"/>
      <c r="G211" s="171"/>
      <c r="H211" s="172"/>
      <c r="I211" s="171"/>
      <c r="J211" s="178"/>
      <c r="K211" s="182"/>
    </row>
  </sheetData>
  <autoFilter ref="F1:F211"/>
  <mergeCells count="318">
    <mergeCell ref="A1:I1"/>
    <mergeCell ref="A3:A18"/>
    <mergeCell ref="A19:A31"/>
    <mergeCell ref="A32:A45"/>
    <mergeCell ref="A46:A57"/>
    <mergeCell ref="A58:A69"/>
    <mergeCell ref="A70:A85"/>
    <mergeCell ref="A86:A101"/>
    <mergeCell ref="A102:A113"/>
    <mergeCell ref="B78:B85"/>
    <mergeCell ref="B86:B93"/>
    <mergeCell ref="B94:B97"/>
    <mergeCell ref="B98:B101"/>
    <mergeCell ref="B102:B105"/>
    <mergeCell ref="B106:B109"/>
    <mergeCell ref="B110:B113"/>
    <mergeCell ref="C94:C97"/>
    <mergeCell ref="C98:C101"/>
    <mergeCell ref="C102:C105"/>
    <mergeCell ref="C106:C109"/>
    <mergeCell ref="C110:C113"/>
    <mergeCell ref="D94:D97"/>
    <mergeCell ref="D98:D101"/>
    <mergeCell ref="D102:D105"/>
    <mergeCell ref="A114:A123"/>
    <mergeCell ref="A124:A135"/>
    <mergeCell ref="A136:A148"/>
    <mergeCell ref="A149:A160"/>
    <mergeCell ref="A161:A172"/>
    <mergeCell ref="A173:A184"/>
    <mergeCell ref="A185:A196"/>
    <mergeCell ref="A198:A211"/>
    <mergeCell ref="B3:B6"/>
    <mergeCell ref="B8:B14"/>
    <mergeCell ref="B15:B18"/>
    <mergeCell ref="B19:B22"/>
    <mergeCell ref="B23:B27"/>
    <mergeCell ref="B28:B31"/>
    <mergeCell ref="B32:B35"/>
    <mergeCell ref="B36:B41"/>
    <mergeCell ref="B42:B45"/>
    <mergeCell ref="B46:B50"/>
    <mergeCell ref="B51:B53"/>
    <mergeCell ref="B54:B57"/>
    <mergeCell ref="B58:B64"/>
    <mergeCell ref="B66:B69"/>
    <mergeCell ref="B70:B73"/>
    <mergeCell ref="B74:B77"/>
    <mergeCell ref="B114:B115"/>
    <mergeCell ref="B116:B119"/>
    <mergeCell ref="B120:B123"/>
    <mergeCell ref="B124:B127"/>
    <mergeCell ref="B128:B131"/>
    <mergeCell ref="B132:B135"/>
    <mergeCell ref="B136:B139"/>
    <mergeCell ref="B140:B144"/>
    <mergeCell ref="B145:B148"/>
    <mergeCell ref="B149:B152"/>
    <mergeCell ref="B153:B156"/>
    <mergeCell ref="B157:B160"/>
    <mergeCell ref="B161:B164"/>
    <mergeCell ref="B165:B168"/>
    <mergeCell ref="B169:B172"/>
    <mergeCell ref="B173:B176"/>
    <mergeCell ref="B177:B180"/>
    <mergeCell ref="B181:B184"/>
    <mergeCell ref="B185:B188"/>
    <mergeCell ref="B189:B192"/>
    <mergeCell ref="B193:B197"/>
    <mergeCell ref="B198:B201"/>
    <mergeCell ref="B202:B207"/>
    <mergeCell ref="B208:B211"/>
    <mergeCell ref="C3:C6"/>
    <mergeCell ref="C8:C14"/>
    <mergeCell ref="C15:C18"/>
    <mergeCell ref="C19:C22"/>
    <mergeCell ref="C23:C27"/>
    <mergeCell ref="C28:C31"/>
    <mergeCell ref="C32:C35"/>
    <mergeCell ref="C36:C41"/>
    <mergeCell ref="C42:C45"/>
    <mergeCell ref="C46:C50"/>
    <mergeCell ref="C51:C53"/>
    <mergeCell ref="C54:C57"/>
    <mergeCell ref="C58:C64"/>
    <mergeCell ref="C66:C69"/>
    <mergeCell ref="C70:C73"/>
    <mergeCell ref="C74:C77"/>
    <mergeCell ref="C78:C85"/>
    <mergeCell ref="C86:C93"/>
    <mergeCell ref="C114:C115"/>
    <mergeCell ref="C116:C119"/>
    <mergeCell ref="C120:C123"/>
    <mergeCell ref="C124:C127"/>
    <mergeCell ref="C128:C131"/>
    <mergeCell ref="C132:C135"/>
    <mergeCell ref="C136:C139"/>
    <mergeCell ref="C140:C144"/>
    <mergeCell ref="C145:C148"/>
    <mergeCell ref="C149:C152"/>
    <mergeCell ref="C153:C156"/>
    <mergeCell ref="C157:C160"/>
    <mergeCell ref="C161:C164"/>
    <mergeCell ref="C165:C168"/>
    <mergeCell ref="C169:C172"/>
    <mergeCell ref="C173:C176"/>
    <mergeCell ref="C177:C180"/>
    <mergeCell ref="C181:C184"/>
    <mergeCell ref="C185:C188"/>
    <mergeCell ref="C189:C192"/>
    <mergeCell ref="C193:C197"/>
    <mergeCell ref="C198:C201"/>
    <mergeCell ref="C202:C207"/>
    <mergeCell ref="C208:C211"/>
    <mergeCell ref="D3:D6"/>
    <mergeCell ref="D8:D14"/>
    <mergeCell ref="D15:D18"/>
    <mergeCell ref="D19:D22"/>
    <mergeCell ref="D23:D27"/>
    <mergeCell ref="D28:D31"/>
    <mergeCell ref="D32:D35"/>
    <mergeCell ref="D36:D41"/>
    <mergeCell ref="D42:D45"/>
    <mergeCell ref="D46:D50"/>
    <mergeCell ref="D51:D53"/>
    <mergeCell ref="D54:D57"/>
    <mergeCell ref="D58:D64"/>
    <mergeCell ref="D66:D69"/>
    <mergeCell ref="D70:D73"/>
    <mergeCell ref="D74:D77"/>
    <mergeCell ref="D78:D85"/>
    <mergeCell ref="D86:D93"/>
    <mergeCell ref="D106:D109"/>
    <mergeCell ref="D110:D113"/>
    <mergeCell ref="D114:D115"/>
    <mergeCell ref="D116:D119"/>
    <mergeCell ref="D120:D123"/>
    <mergeCell ref="D124:D127"/>
    <mergeCell ref="D128:D131"/>
    <mergeCell ref="D132:D135"/>
    <mergeCell ref="D136:D139"/>
    <mergeCell ref="D140:D144"/>
    <mergeCell ref="D145:D148"/>
    <mergeCell ref="D149:D152"/>
    <mergeCell ref="D153:D156"/>
    <mergeCell ref="D157:D160"/>
    <mergeCell ref="D161:D164"/>
    <mergeCell ref="D165:D168"/>
    <mergeCell ref="D169:D172"/>
    <mergeCell ref="D173:D176"/>
    <mergeCell ref="D177:D180"/>
    <mergeCell ref="D181:D184"/>
    <mergeCell ref="D185:D188"/>
    <mergeCell ref="D189:D192"/>
    <mergeCell ref="D193:D197"/>
    <mergeCell ref="D198:D201"/>
    <mergeCell ref="D202:D207"/>
    <mergeCell ref="D208:D211"/>
    <mergeCell ref="E3:E6"/>
    <mergeCell ref="E8:E14"/>
    <mergeCell ref="E15:E18"/>
    <mergeCell ref="E19:E22"/>
    <mergeCell ref="E23:E27"/>
    <mergeCell ref="E28:E31"/>
    <mergeCell ref="E32:E35"/>
    <mergeCell ref="E36:E41"/>
    <mergeCell ref="E42:E45"/>
    <mergeCell ref="E46:E50"/>
    <mergeCell ref="E51:E53"/>
    <mergeCell ref="E54:E57"/>
    <mergeCell ref="E58:E64"/>
    <mergeCell ref="E66:E69"/>
    <mergeCell ref="E70:E73"/>
    <mergeCell ref="E74:E77"/>
    <mergeCell ref="E78:E85"/>
    <mergeCell ref="E86:E93"/>
    <mergeCell ref="E94:E97"/>
    <mergeCell ref="E98:E101"/>
    <mergeCell ref="E102:E105"/>
    <mergeCell ref="E106:E109"/>
    <mergeCell ref="E110:E113"/>
    <mergeCell ref="E114:E115"/>
    <mergeCell ref="E116:E119"/>
    <mergeCell ref="E120:E123"/>
    <mergeCell ref="E124:E127"/>
    <mergeCell ref="E128:E131"/>
    <mergeCell ref="E132:E135"/>
    <mergeCell ref="E136:E139"/>
    <mergeCell ref="E140:E144"/>
    <mergeCell ref="E145:E148"/>
    <mergeCell ref="E149:E152"/>
    <mergeCell ref="E153:E156"/>
    <mergeCell ref="E157:E160"/>
    <mergeCell ref="E161:E164"/>
    <mergeCell ref="E165:E168"/>
    <mergeCell ref="E169:E172"/>
    <mergeCell ref="E173:E176"/>
    <mergeCell ref="E177:E180"/>
    <mergeCell ref="E181:E184"/>
    <mergeCell ref="E185:E188"/>
    <mergeCell ref="E189:E192"/>
    <mergeCell ref="E193:E197"/>
    <mergeCell ref="E198:E201"/>
    <mergeCell ref="E202:E207"/>
    <mergeCell ref="E208:E211"/>
    <mergeCell ref="F3:F6"/>
    <mergeCell ref="F8:F14"/>
    <mergeCell ref="F15:F18"/>
    <mergeCell ref="F19:F22"/>
    <mergeCell ref="F23:F27"/>
    <mergeCell ref="F28:F31"/>
    <mergeCell ref="F32:F35"/>
    <mergeCell ref="F36:F41"/>
    <mergeCell ref="F42:F45"/>
    <mergeCell ref="F46:F50"/>
    <mergeCell ref="F51:F53"/>
    <mergeCell ref="F54:F57"/>
    <mergeCell ref="F58:F64"/>
    <mergeCell ref="F66:F69"/>
    <mergeCell ref="F70:F73"/>
    <mergeCell ref="F74:F77"/>
    <mergeCell ref="F78:F85"/>
    <mergeCell ref="F86:F93"/>
    <mergeCell ref="F94:F97"/>
    <mergeCell ref="F98:F101"/>
    <mergeCell ref="F102:F105"/>
    <mergeCell ref="F106:F109"/>
    <mergeCell ref="F110:F113"/>
    <mergeCell ref="F114:F115"/>
    <mergeCell ref="F116:F119"/>
    <mergeCell ref="F120:F123"/>
    <mergeCell ref="F124:F127"/>
    <mergeCell ref="F128:F131"/>
    <mergeCell ref="F132:F135"/>
    <mergeCell ref="F136:F139"/>
    <mergeCell ref="F140:F144"/>
    <mergeCell ref="F145:F148"/>
    <mergeCell ref="F149:F152"/>
    <mergeCell ref="F153:F156"/>
    <mergeCell ref="F157:F160"/>
    <mergeCell ref="F161:F164"/>
    <mergeCell ref="F165:F168"/>
    <mergeCell ref="F169:F172"/>
    <mergeCell ref="F173:F176"/>
    <mergeCell ref="F177:F180"/>
    <mergeCell ref="F181:F184"/>
    <mergeCell ref="F185:F188"/>
    <mergeCell ref="F189:F192"/>
    <mergeCell ref="F193:F197"/>
    <mergeCell ref="F198:F201"/>
    <mergeCell ref="F202:F207"/>
    <mergeCell ref="F208:F211"/>
    <mergeCell ref="J8:J14"/>
    <mergeCell ref="J19:J22"/>
    <mergeCell ref="J23:J27"/>
    <mergeCell ref="J36:J41"/>
    <mergeCell ref="J46:J50"/>
    <mergeCell ref="J51:J53"/>
    <mergeCell ref="J58:J64"/>
    <mergeCell ref="J78:J85"/>
    <mergeCell ref="J86:J93"/>
    <mergeCell ref="J102:J105"/>
    <mergeCell ref="J106:J109"/>
    <mergeCell ref="J116:J119"/>
    <mergeCell ref="J140:J144"/>
    <mergeCell ref="J145:J148"/>
    <mergeCell ref="J149:J152"/>
    <mergeCell ref="J153:J156"/>
    <mergeCell ref="J161:J164"/>
    <mergeCell ref="J165:J168"/>
    <mergeCell ref="J173:J176"/>
    <mergeCell ref="J177:J180"/>
    <mergeCell ref="J193:J197"/>
    <mergeCell ref="K3:K6"/>
    <mergeCell ref="K8:K14"/>
    <mergeCell ref="K15:K18"/>
    <mergeCell ref="K19:K22"/>
    <mergeCell ref="K23:K27"/>
    <mergeCell ref="K28:K31"/>
    <mergeCell ref="K32:K35"/>
    <mergeCell ref="K36:K41"/>
    <mergeCell ref="K42:K45"/>
    <mergeCell ref="K46:K50"/>
    <mergeCell ref="K51:K53"/>
    <mergeCell ref="K54:K57"/>
    <mergeCell ref="K58:K64"/>
    <mergeCell ref="K66:K69"/>
    <mergeCell ref="K70:K73"/>
    <mergeCell ref="K74:K77"/>
    <mergeCell ref="K78:K85"/>
    <mergeCell ref="K86:K93"/>
    <mergeCell ref="K94:K97"/>
    <mergeCell ref="K98:K101"/>
    <mergeCell ref="K102:K105"/>
    <mergeCell ref="K106:K109"/>
    <mergeCell ref="K110:K113"/>
    <mergeCell ref="K114:K115"/>
    <mergeCell ref="K116:K119"/>
    <mergeCell ref="K120:K123"/>
    <mergeCell ref="K124:K127"/>
    <mergeCell ref="K128:K131"/>
    <mergeCell ref="K132:K135"/>
    <mergeCell ref="K136:K139"/>
    <mergeCell ref="K177:K180"/>
    <mergeCell ref="K181:K184"/>
    <mergeCell ref="K185:K188"/>
    <mergeCell ref="K189:K192"/>
    <mergeCell ref="K193:K197"/>
    <mergeCell ref="K198:K201"/>
    <mergeCell ref="K140:K144"/>
    <mergeCell ref="K145:K148"/>
    <mergeCell ref="K149:K152"/>
    <mergeCell ref="K153:K156"/>
    <mergeCell ref="K157:K160"/>
    <mergeCell ref="K161:K164"/>
    <mergeCell ref="K165:K168"/>
    <mergeCell ref="K169:K172"/>
    <mergeCell ref="K173:K176"/>
  </mergeCells>
  <phoneticPr fontId="18" type="noConversion"/>
  <pageMargins left="0.69930555555555596" right="0.69930555555555596"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Q202"/>
  <sheetViews>
    <sheetView topLeftCell="A2" workbookViewId="0">
      <pane ySplit="1" topLeftCell="A3" activePane="bottomLeft" state="frozen"/>
      <selection pane="bottomLeft" activeCell="K11" sqref="K11:L11"/>
    </sheetView>
  </sheetViews>
  <sheetFormatPr defaultColWidth="9" defaultRowHeight="15"/>
  <cols>
    <col min="1" max="1" width="9" style="1" customWidth="1"/>
    <col min="2" max="2" width="4.28515625" customWidth="1"/>
    <col min="3" max="3" width="5.28515625" customWidth="1"/>
    <col min="4" max="4" width="5.85546875" customWidth="1"/>
    <col min="5" max="8" width="6.28515625" customWidth="1"/>
    <col min="9" max="10" width="9.140625" customWidth="1"/>
    <col min="11" max="11" width="46.28515625" style="2" customWidth="1"/>
    <col min="12" max="12" width="32" style="2" customWidth="1"/>
    <col min="13" max="13" width="4.5703125" style="2" customWidth="1"/>
    <col min="14" max="14" width="9.85546875" style="3" customWidth="1"/>
    <col min="15" max="15" width="6" customWidth="1"/>
  </cols>
  <sheetData>
    <row r="1" spans="1:15">
      <c r="A1" s="314" t="s">
        <v>0</v>
      </c>
      <c r="B1" s="315"/>
      <c r="C1" s="315"/>
      <c r="D1" s="315"/>
      <c r="E1" s="315"/>
      <c r="F1" s="315"/>
      <c r="G1" s="315"/>
      <c r="H1" s="315"/>
      <c r="I1" s="315"/>
      <c r="J1" s="315"/>
      <c r="K1" s="315"/>
      <c r="L1" s="315"/>
      <c r="M1" s="4"/>
      <c r="N1" s="14" t="s">
        <v>1</v>
      </c>
      <c r="O1" s="15"/>
    </row>
    <row r="2" spans="1:15" ht="25.5">
      <c r="A2" s="5" t="s">
        <v>2</v>
      </c>
      <c r="B2" s="6" t="s">
        <v>3</v>
      </c>
      <c r="C2" s="6" t="s">
        <v>4</v>
      </c>
      <c r="D2" s="6" t="s">
        <v>5</v>
      </c>
      <c r="E2" s="6" t="s">
        <v>6</v>
      </c>
      <c r="F2" s="6" t="s">
        <v>294</v>
      </c>
      <c r="G2" s="6" t="s">
        <v>295</v>
      </c>
      <c r="H2" s="6" t="s">
        <v>296</v>
      </c>
      <c r="I2" s="6" t="s">
        <v>7</v>
      </c>
      <c r="J2" s="6" t="s">
        <v>297</v>
      </c>
      <c r="K2" s="16" t="s">
        <v>9</v>
      </c>
      <c r="L2" s="16" t="s">
        <v>10</v>
      </c>
      <c r="M2" s="16" t="s">
        <v>298</v>
      </c>
      <c r="N2" s="16" t="s">
        <v>299</v>
      </c>
      <c r="O2" s="17" t="s">
        <v>12</v>
      </c>
    </row>
    <row r="3" spans="1:15">
      <c r="A3" s="425">
        <v>45763</v>
      </c>
      <c r="B3" s="364" t="s">
        <v>13</v>
      </c>
      <c r="C3" s="364">
        <v>12000</v>
      </c>
      <c r="D3" s="364"/>
      <c r="E3" s="364"/>
      <c r="F3" s="7"/>
      <c r="G3" s="7"/>
      <c r="H3" s="7"/>
      <c r="I3" s="382"/>
      <c r="J3" s="382"/>
      <c r="K3" s="33"/>
      <c r="L3" s="19"/>
      <c r="M3" s="19"/>
      <c r="N3" s="7"/>
      <c r="O3" s="363">
        <f>SUM(N3:N6)</f>
        <v>0</v>
      </c>
    </row>
    <row r="4" spans="1:15">
      <c r="A4" s="414"/>
      <c r="B4" s="399"/>
      <c r="C4" s="399"/>
      <c r="D4" s="399"/>
      <c r="E4" s="399"/>
      <c r="F4" s="8"/>
      <c r="G4" s="8"/>
      <c r="H4" s="8"/>
      <c r="I4" s="384"/>
      <c r="J4" s="384"/>
      <c r="K4" s="21"/>
      <c r="L4" s="20"/>
      <c r="M4" s="20"/>
      <c r="N4" s="8"/>
      <c r="O4" s="363"/>
    </row>
    <row r="5" spans="1:15">
      <c r="A5" s="414"/>
      <c r="B5" s="399"/>
      <c r="C5" s="399"/>
      <c r="D5" s="399"/>
      <c r="E5" s="399"/>
      <c r="F5" s="8"/>
      <c r="G5" s="8"/>
      <c r="H5" s="8"/>
      <c r="I5" s="384"/>
      <c r="J5" s="384"/>
      <c r="K5" s="21"/>
      <c r="L5" s="20"/>
      <c r="M5" s="20"/>
      <c r="N5" s="8"/>
      <c r="O5" s="363"/>
    </row>
    <row r="6" spans="1:15">
      <c r="A6" s="414"/>
      <c r="B6" s="399"/>
      <c r="C6" s="399"/>
      <c r="D6" s="399"/>
      <c r="E6" s="399"/>
      <c r="F6" s="8"/>
      <c r="G6" s="8"/>
      <c r="H6" s="8"/>
      <c r="I6" s="384"/>
      <c r="J6" s="384"/>
      <c r="K6" s="21"/>
      <c r="L6" s="20"/>
      <c r="M6" s="20"/>
      <c r="N6" s="8"/>
      <c r="O6" s="364"/>
    </row>
    <row r="7" spans="1:15">
      <c r="A7" s="414"/>
      <c r="B7" s="374" t="s">
        <v>14</v>
      </c>
      <c r="C7" s="398">
        <v>12000</v>
      </c>
      <c r="D7" s="374">
        <v>6250</v>
      </c>
      <c r="E7" s="374">
        <v>0.4</v>
      </c>
      <c r="F7" s="11"/>
      <c r="G7" s="11"/>
      <c r="H7" s="11"/>
      <c r="I7" s="374" t="s">
        <v>231</v>
      </c>
      <c r="J7" s="374"/>
      <c r="K7" s="25" t="s">
        <v>300</v>
      </c>
      <c r="L7" s="23" t="s">
        <v>301</v>
      </c>
      <c r="M7" s="23"/>
      <c r="N7" s="24">
        <v>5</v>
      </c>
      <c r="O7" s="365">
        <f>N7+N8+N9+N10+N11+N12</f>
        <v>70</v>
      </c>
    </row>
    <row r="8" spans="1:15">
      <c r="A8" s="414"/>
      <c r="B8" s="374"/>
      <c r="C8" s="397"/>
      <c r="D8" s="374"/>
      <c r="E8" s="374"/>
      <c r="F8" s="11"/>
      <c r="G8" s="11"/>
      <c r="H8" s="11"/>
      <c r="I8" s="374"/>
      <c r="J8" s="374"/>
      <c r="K8" s="25" t="s">
        <v>302</v>
      </c>
      <c r="L8" s="23" t="s">
        <v>303</v>
      </c>
      <c r="M8" s="23"/>
      <c r="N8" s="24">
        <v>10</v>
      </c>
      <c r="O8" s="366"/>
    </row>
    <row r="9" spans="1:15">
      <c r="A9" s="414"/>
      <c r="B9" s="374"/>
      <c r="C9" s="397"/>
      <c r="D9" s="374"/>
      <c r="E9" s="374"/>
      <c r="F9" s="11"/>
      <c r="G9" s="11"/>
      <c r="H9" s="11"/>
      <c r="I9" s="374"/>
      <c r="J9" s="374"/>
      <c r="K9" s="25" t="s">
        <v>304</v>
      </c>
      <c r="L9" s="23"/>
      <c r="M9" s="23"/>
      <c r="N9" s="24">
        <v>15</v>
      </c>
      <c r="O9" s="366"/>
    </row>
    <row r="10" spans="1:15">
      <c r="A10" s="414"/>
      <c r="B10" s="374"/>
      <c r="C10" s="397"/>
      <c r="D10" s="374"/>
      <c r="E10" s="374"/>
      <c r="F10" s="11"/>
      <c r="G10" s="11"/>
      <c r="H10" s="11"/>
      <c r="I10" s="374"/>
      <c r="J10" s="374"/>
      <c r="K10" s="25" t="s">
        <v>305</v>
      </c>
      <c r="L10" s="23" t="s">
        <v>306</v>
      </c>
      <c r="M10" s="23"/>
      <c r="N10" s="24">
        <v>10</v>
      </c>
      <c r="O10" s="366"/>
    </row>
    <row r="11" spans="1:15">
      <c r="A11" s="414"/>
      <c r="B11" s="374"/>
      <c r="C11" s="397"/>
      <c r="D11" s="374"/>
      <c r="E11" s="374"/>
      <c r="F11" s="11"/>
      <c r="G11" s="11"/>
      <c r="H11" s="11"/>
      <c r="I11" s="374"/>
      <c r="J11" s="374"/>
      <c r="K11" s="25" t="s">
        <v>307</v>
      </c>
      <c r="L11" s="23" t="s">
        <v>308</v>
      </c>
      <c r="M11" s="23"/>
      <c r="N11" s="24">
        <v>10</v>
      </c>
      <c r="O11" s="366"/>
    </row>
    <row r="12" spans="1:15">
      <c r="A12" s="414"/>
      <c r="B12" s="374"/>
      <c r="C12" s="373"/>
      <c r="D12" s="374"/>
      <c r="E12" s="374"/>
      <c r="F12" s="11"/>
      <c r="G12" s="11"/>
      <c r="H12" s="11"/>
      <c r="I12" s="374"/>
      <c r="J12" s="374"/>
      <c r="K12" s="25" t="s">
        <v>309</v>
      </c>
      <c r="L12" s="23"/>
      <c r="M12" s="23"/>
      <c r="N12" s="24">
        <v>20</v>
      </c>
      <c r="O12" s="372"/>
    </row>
    <row r="13" spans="1:15">
      <c r="A13" s="415"/>
      <c r="B13" s="375" t="s">
        <v>15</v>
      </c>
      <c r="C13" s="375">
        <v>12000</v>
      </c>
      <c r="D13" s="375"/>
      <c r="E13" s="375"/>
      <c r="F13" s="12"/>
      <c r="G13" s="12"/>
      <c r="H13" s="12"/>
      <c r="I13" s="375"/>
      <c r="J13" s="375"/>
      <c r="K13" s="27"/>
      <c r="L13" s="27"/>
      <c r="M13" s="27"/>
      <c r="N13" s="35"/>
      <c r="O13" s="90">
        <f>SUM(N13:N16)</f>
        <v>0</v>
      </c>
    </row>
    <row r="14" spans="1:15">
      <c r="A14" s="415"/>
      <c r="B14" s="375"/>
      <c r="C14" s="375"/>
      <c r="D14" s="375"/>
      <c r="E14" s="375"/>
      <c r="F14" s="12"/>
      <c r="G14" s="12"/>
      <c r="H14" s="12"/>
      <c r="I14" s="375"/>
      <c r="J14" s="375"/>
      <c r="K14" s="27"/>
      <c r="L14" s="27"/>
      <c r="M14" s="27"/>
      <c r="N14" s="35"/>
      <c r="O14" s="91"/>
    </row>
    <row r="15" spans="1:15">
      <c r="A15" s="415"/>
      <c r="B15" s="375"/>
      <c r="C15" s="375"/>
      <c r="D15" s="375"/>
      <c r="E15" s="375"/>
      <c r="F15" s="12"/>
      <c r="G15" s="12"/>
      <c r="H15" s="12"/>
      <c r="I15" s="375"/>
      <c r="J15" s="375"/>
      <c r="K15" s="27"/>
      <c r="L15" s="27"/>
      <c r="M15" s="27"/>
      <c r="N15" s="35"/>
      <c r="O15" s="91"/>
    </row>
    <row r="16" spans="1:15">
      <c r="A16" s="415"/>
      <c r="B16" s="375"/>
      <c r="C16" s="375"/>
      <c r="D16" s="375"/>
      <c r="E16" s="375"/>
      <c r="F16" s="12"/>
      <c r="G16" s="12"/>
      <c r="H16" s="12"/>
      <c r="I16" s="375"/>
      <c r="J16" s="375"/>
      <c r="K16" s="31"/>
      <c r="L16" s="31"/>
      <c r="M16" s="31"/>
      <c r="N16" s="12"/>
      <c r="O16" s="92"/>
    </row>
    <row r="17" spans="1:15">
      <c r="A17" s="425">
        <v>45764</v>
      </c>
      <c r="B17" s="364" t="s">
        <v>13</v>
      </c>
      <c r="C17" s="364">
        <v>12000</v>
      </c>
      <c r="D17" s="364"/>
      <c r="E17" s="364"/>
      <c r="F17" s="7"/>
      <c r="G17" s="7"/>
      <c r="H17" s="7"/>
      <c r="I17" s="382"/>
      <c r="J17" s="382"/>
      <c r="K17" s="33"/>
      <c r="L17" s="19"/>
      <c r="M17" s="19"/>
      <c r="N17" s="7"/>
      <c r="O17" s="363">
        <f>SUM(N17:N20)</f>
        <v>0</v>
      </c>
    </row>
    <row r="18" spans="1:15">
      <c r="A18" s="414"/>
      <c r="B18" s="399"/>
      <c r="C18" s="399"/>
      <c r="D18" s="399"/>
      <c r="E18" s="399"/>
      <c r="F18" s="8"/>
      <c r="G18" s="8"/>
      <c r="H18" s="8"/>
      <c r="I18" s="384"/>
      <c r="J18" s="384"/>
      <c r="K18" s="21"/>
      <c r="L18" s="20"/>
      <c r="M18" s="20"/>
      <c r="N18" s="8"/>
      <c r="O18" s="363"/>
    </row>
    <row r="19" spans="1:15">
      <c r="A19" s="414"/>
      <c r="B19" s="399"/>
      <c r="C19" s="399"/>
      <c r="D19" s="399"/>
      <c r="E19" s="399"/>
      <c r="F19" s="8"/>
      <c r="G19" s="8"/>
      <c r="H19" s="8"/>
      <c r="I19" s="384"/>
      <c r="J19" s="384"/>
      <c r="K19" s="21"/>
      <c r="L19" s="20"/>
      <c r="M19" s="20"/>
      <c r="N19" s="8"/>
      <c r="O19" s="363"/>
    </row>
    <row r="20" spans="1:15">
      <c r="A20" s="414"/>
      <c r="B20" s="399"/>
      <c r="C20" s="399"/>
      <c r="D20" s="399"/>
      <c r="E20" s="399"/>
      <c r="F20" s="8"/>
      <c r="G20" s="8"/>
      <c r="H20" s="8"/>
      <c r="I20" s="384"/>
      <c r="J20" s="384"/>
      <c r="K20" s="21"/>
      <c r="L20" s="20"/>
      <c r="M20" s="20"/>
      <c r="N20" s="8"/>
      <c r="O20" s="364"/>
    </row>
    <row r="21" spans="1:15">
      <c r="A21" s="414"/>
      <c r="B21" s="374" t="s">
        <v>14</v>
      </c>
      <c r="C21" s="398">
        <v>12000</v>
      </c>
      <c r="D21" s="374">
        <v>4640</v>
      </c>
      <c r="E21" s="374">
        <v>0.79</v>
      </c>
      <c r="F21" s="11"/>
      <c r="G21" s="11"/>
      <c r="H21" s="11"/>
      <c r="I21" s="374" t="s">
        <v>221</v>
      </c>
      <c r="J21" s="374"/>
      <c r="K21" s="25" t="s">
        <v>310</v>
      </c>
      <c r="L21" s="25" t="s">
        <v>311</v>
      </c>
      <c r="M21" s="25"/>
      <c r="N21" s="24">
        <v>5</v>
      </c>
      <c r="O21" s="365">
        <f>N21+N22+N23+N24+N25+N26</f>
        <v>145</v>
      </c>
    </row>
    <row r="22" spans="1:15" ht="24.75">
      <c r="A22" s="414"/>
      <c r="B22" s="374"/>
      <c r="C22" s="397"/>
      <c r="D22" s="374"/>
      <c r="E22" s="374"/>
      <c r="F22" s="11"/>
      <c r="G22" s="11"/>
      <c r="H22" s="11"/>
      <c r="I22" s="374"/>
      <c r="J22" s="374"/>
      <c r="K22" s="25" t="s">
        <v>312</v>
      </c>
      <c r="L22" s="25" t="s">
        <v>313</v>
      </c>
      <c r="M22" s="25"/>
      <c r="N22" s="24">
        <v>80</v>
      </c>
      <c r="O22" s="366"/>
    </row>
    <row r="23" spans="1:15">
      <c r="A23" s="414"/>
      <c r="B23" s="374"/>
      <c r="C23" s="397"/>
      <c r="D23" s="374"/>
      <c r="E23" s="374"/>
      <c r="F23" s="11"/>
      <c r="G23" s="11"/>
      <c r="H23" s="11"/>
      <c r="I23" s="374"/>
      <c r="J23" s="374"/>
      <c r="K23" s="25" t="s">
        <v>314</v>
      </c>
      <c r="L23" s="25" t="s">
        <v>315</v>
      </c>
      <c r="M23" s="25"/>
      <c r="N23" s="24">
        <v>5</v>
      </c>
      <c r="O23" s="366"/>
    </row>
    <row r="24" spans="1:15" ht="24.75">
      <c r="A24" s="414"/>
      <c r="B24" s="374"/>
      <c r="C24" s="397"/>
      <c r="D24" s="374"/>
      <c r="E24" s="374"/>
      <c r="F24" s="11"/>
      <c r="G24" s="11"/>
      <c r="H24" s="11"/>
      <c r="I24" s="374"/>
      <c r="J24" s="374"/>
      <c r="K24" s="25" t="s">
        <v>316</v>
      </c>
      <c r="L24" s="25" t="s">
        <v>317</v>
      </c>
      <c r="M24" s="25"/>
      <c r="N24" s="24">
        <v>10</v>
      </c>
      <c r="O24" s="366"/>
    </row>
    <row r="25" spans="1:15">
      <c r="A25" s="414"/>
      <c r="B25" s="374"/>
      <c r="C25" s="397"/>
      <c r="D25" s="374"/>
      <c r="E25" s="374"/>
      <c r="F25" s="11"/>
      <c r="G25" s="11"/>
      <c r="H25" s="11"/>
      <c r="I25" s="374"/>
      <c r="J25" s="374"/>
      <c r="K25" s="25" t="s">
        <v>318</v>
      </c>
      <c r="L25" s="25" t="s">
        <v>319</v>
      </c>
      <c r="M25" s="25"/>
      <c r="N25" s="24"/>
      <c r="O25" s="366"/>
    </row>
    <row r="26" spans="1:15">
      <c r="A26" s="414"/>
      <c r="B26" s="374"/>
      <c r="C26" s="373"/>
      <c r="D26" s="374"/>
      <c r="E26" s="374"/>
      <c r="F26" s="11"/>
      <c r="G26" s="11"/>
      <c r="H26" s="11"/>
      <c r="I26" s="374"/>
      <c r="J26" s="374"/>
      <c r="K26" s="25" t="s">
        <v>320</v>
      </c>
      <c r="L26" s="25"/>
      <c r="M26" s="25"/>
      <c r="N26" s="24">
        <v>45</v>
      </c>
      <c r="O26" s="372"/>
    </row>
    <row r="27" spans="1:15">
      <c r="A27" s="415"/>
      <c r="B27" s="375" t="s">
        <v>15</v>
      </c>
      <c r="C27" s="375">
        <v>12000</v>
      </c>
      <c r="D27" s="375"/>
      <c r="E27" s="375"/>
      <c r="F27" s="12"/>
      <c r="G27" s="12"/>
      <c r="H27" s="12"/>
      <c r="I27" s="375"/>
      <c r="J27" s="375"/>
      <c r="K27" s="27"/>
      <c r="L27" s="27"/>
      <c r="M27" s="27"/>
      <c r="N27" s="35"/>
      <c r="O27" s="352">
        <f>SUM(N27:N30)</f>
        <v>0</v>
      </c>
    </row>
    <row r="28" spans="1:15">
      <c r="A28" s="415"/>
      <c r="B28" s="375"/>
      <c r="C28" s="375"/>
      <c r="D28" s="375"/>
      <c r="E28" s="375"/>
      <c r="F28" s="12"/>
      <c r="G28" s="12"/>
      <c r="H28" s="12"/>
      <c r="I28" s="375"/>
      <c r="J28" s="375"/>
      <c r="K28" s="27"/>
      <c r="L28" s="27"/>
      <c r="M28" s="27"/>
      <c r="N28" s="35"/>
      <c r="O28" s="353"/>
    </row>
    <row r="29" spans="1:15">
      <c r="A29" s="415"/>
      <c r="B29" s="375"/>
      <c r="C29" s="375"/>
      <c r="D29" s="375"/>
      <c r="E29" s="375"/>
      <c r="F29" s="12"/>
      <c r="G29" s="12"/>
      <c r="H29" s="12"/>
      <c r="I29" s="375"/>
      <c r="J29" s="375"/>
      <c r="K29" s="27"/>
      <c r="L29" s="27"/>
      <c r="M29" s="27"/>
      <c r="N29" s="35"/>
      <c r="O29" s="353"/>
    </row>
    <row r="30" spans="1:15">
      <c r="A30" s="415"/>
      <c r="B30" s="375"/>
      <c r="C30" s="375"/>
      <c r="D30" s="375"/>
      <c r="E30" s="375"/>
      <c r="F30" s="12"/>
      <c r="G30" s="12"/>
      <c r="H30" s="12"/>
      <c r="I30" s="375"/>
      <c r="J30" s="375"/>
      <c r="K30" s="31"/>
      <c r="L30" s="31"/>
      <c r="M30" s="31"/>
      <c r="N30" s="12"/>
      <c r="O30" s="354"/>
    </row>
    <row r="31" spans="1:15">
      <c r="A31" s="425">
        <v>45765</v>
      </c>
      <c r="B31" s="364" t="s">
        <v>13</v>
      </c>
      <c r="C31" s="364">
        <v>12000</v>
      </c>
      <c r="D31" s="364"/>
      <c r="E31" s="364"/>
      <c r="F31" s="7"/>
      <c r="G31" s="7"/>
      <c r="H31" s="7"/>
      <c r="I31" s="382"/>
      <c r="J31" s="382"/>
      <c r="K31" s="33"/>
      <c r="L31" s="19"/>
      <c r="M31" s="19"/>
      <c r="N31" s="7"/>
      <c r="O31" s="363">
        <f>SUM(N31:N34)</f>
        <v>0</v>
      </c>
    </row>
    <row r="32" spans="1:15">
      <c r="A32" s="414"/>
      <c r="B32" s="399"/>
      <c r="C32" s="399"/>
      <c r="D32" s="399"/>
      <c r="E32" s="399"/>
      <c r="F32" s="8"/>
      <c r="G32" s="8"/>
      <c r="H32" s="8"/>
      <c r="I32" s="384"/>
      <c r="J32" s="384"/>
      <c r="K32" s="21"/>
      <c r="L32" s="20"/>
      <c r="M32" s="20"/>
      <c r="N32" s="8"/>
      <c r="O32" s="363"/>
    </row>
    <row r="33" spans="1:15">
      <c r="A33" s="414"/>
      <c r="B33" s="399"/>
      <c r="C33" s="399"/>
      <c r="D33" s="399"/>
      <c r="E33" s="399"/>
      <c r="F33" s="8"/>
      <c r="G33" s="8"/>
      <c r="H33" s="8"/>
      <c r="I33" s="384"/>
      <c r="J33" s="384"/>
      <c r="K33" s="21"/>
      <c r="L33" s="20"/>
      <c r="M33" s="20"/>
      <c r="N33" s="8"/>
      <c r="O33" s="363"/>
    </row>
    <row r="34" spans="1:15">
      <c r="A34" s="414"/>
      <c r="B34" s="399"/>
      <c r="C34" s="399"/>
      <c r="D34" s="399"/>
      <c r="E34" s="399"/>
      <c r="F34" s="8"/>
      <c r="G34" s="8"/>
      <c r="H34" s="8"/>
      <c r="I34" s="384"/>
      <c r="J34" s="384"/>
      <c r="K34" s="21"/>
      <c r="L34" s="20"/>
      <c r="M34" s="20"/>
      <c r="N34" s="8"/>
      <c r="O34" s="364"/>
    </row>
    <row r="35" spans="1:15">
      <c r="A35" s="414"/>
      <c r="B35" s="374" t="s">
        <v>14</v>
      </c>
      <c r="C35" s="398">
        <v>12000</v>
      </c>
      <c r="D35" s="374">
        <v>7701</v>
      </c>
      <c r="E35" s="374">
        <v>0.21</v>
      </c>
      <c r="F35" s="11"/>
      <c r="G35" s="11"/>
      <c r="H35" s="11"/>
      <c r="I35" s="374" t="s">
        <v>199</v>
      </c>
      <c r="J35" s="374"/>
      <c r="K35" s="25" t="s">
        <v>320</v>
      </c>
      <c r="L35" s="25"/>
      <c r="M35" s="25"/>
      <c r="N35" s="24">
        <v>45</v>
      </c>
      <c r="O35" s="362">
        <f>SUM(N35:N39)</f>
        <v>65</v>
      </c>
    </row>
    <row r="36" spans="1:15">
      <c r="A36" s="414"/>
      <c r="B36" s="374"/>
      <c r="C36" s="397"/>
      <c r="D36" s="374"/>
      <c r="E36" s="374"/>
      <c r="F36" s="11"/>
      <c r="G36" s="11"/>
      <c r="H36" s="11"/>
      <c r="I36" s="374"/>
      <c r="J36" s="374"/>
      <c r="K36" s="25" t="s">
        <v>321</v>
      </c>
      <c r="L36" s="25" t="s">
        <v>322</v>
      </c>
      <c r="M36" s="25"/>
      <c r="N36" s="24">
        <v>15</v>
      </c>
      <c r="O36" s="359"/>
    </row>
    <row r="37" spans="1:15">
      <c r="A37" s="414"/>
      <c r="B37" s="374"/>
      <c r="C37" s="397"/>
      <c r="D37" s="374"/>
      <c r="E37" s="374"/>
      <c r="F37" s="11"/>
      <c r="G37" s="11"/>
      <c r="H37" s="11"/>
      <c r="I37" s="374"/>
      <c r="J37" s="374"/>
      <c r="K37" s="25" t="s">
        <v>323</v>
      </c>
      <c r="L37" s="25"/>
      <c r="M37" s="25"/>
      <c r="N37" s="24"/>
      <c r="O37" s="359"/>
    </row>
    <row r="38" spans="1:15">
      <c r="A38" s="414"/>
      <c r="B38" s="374"/>
      <c r="C38" s="397"/>
      <c r="D38" s="374"/>
      <c r="E38" s="374"/>
      <c r="F38" s="11"/>
      <c r="G38" s="11"/>
      <c r="H38" s="11"/>
      <c r="I38" s="374"/>
      <c r="J38" s="374"/>
      <c r="K38" s="25" t="s">
        <v>318</v>
      </c>
      <c r="L38" s="25" t="s">
        <v>324</v>
      </c>
      <c r="M38" s="25"/>
      <c r="N38" s="24"/>
      <c r="O38" s="359"/>
    </row>
    <row r="39" spans="1:15">
      <c r="A39" s="414"/>
      <c r="B39" s="374"/>
      <c r="C39" s="397"/>
      <c r="D39" s="374"/>
      <c r="E39" s="374"/>
      <c r="F39" s="11"/>
      <c r="G39" s="11"/>
      <c r="H39" s="11"/>
      <c r="I39" s="374"/>
      <c r="J39" s="374"/>
      <c r="K39" s="25" t="s">
        <v>325</v>
      </c>
      <c r="L39" s="25" t="s">
        <v>326</v>
      </c>
      <c r="M39" s="25"/>
      <c r="N39" s="24">
        <v>5</v>
      </c>
      <c r="O39" s="359"/>
    </row>
    <row r="40" spans="1:15">
      <c r="A40" s="414"/>
      <c r="B40" s="374"/>
      <c r="C40" s="373"/>
      <c r="D40" s="374"/>
      <c r="E40" s="374"/>
      <c r="F40" s="11"/>
      <c r="G40" s="11"/>
      <c r="H40" s="11"/>
      <c r="I40" s="374"/>
      <c r="J40" s="374"/>
      <c r="K40" s="25"/>
      <c r="L40" s="25"/>
      <c r="M40" s="25"/>
      <c r="N40" s="24"/>
      <c r="O40" s="383"/>
    </row>
    <row r="41" spans="1:15">
      <c r="A41" s="415"/>
      <c r="B41" s="375" t="s">
        <v>15</v>
      </c>
      <c r="C41" s="375">
        <v>12000</v>
      </c>
      <c r="D41" s="375"/>
      <c r="E41" s="375"/>
      <c r="F41" s="12"/>
      <c r="G41" s="12"/>
      <c r="H41" s="12"/>
      <c r="I41" s="375"/>
      <c r="J41" s="375"/>
      <c r="K41" s="27"/>
      <c r="L41" s="27"/>
      <c r="M41" s="27"/>
      <c r="N41" s="35"/>
      <c r="O41" s="352">
        <f>SUM(N41:N44)</f>
        <v>0</v>
      </c>
    </row>
    <row r="42" spans="1:15">
      <c r="A42" s="415"/>
      <c r="B42" s="375"/>
      <c r="C42" s="375"/>
      <c r="D42" s="375"/>
      <c r="E42" s="375"/>
      <c r="F42" s="12"/>
      <c r="G42" s="12"/>
      <c r="H42" s="12"/>
      <c r="I42" s="375"/>
      <c r="J42" s="375"/>
      <c r="K42" s="27"/>
      <c r="L42" s="27"/>
      <c r="M42" s="27"/>
      <c r="N42" s="35"/>
      <c r="O42" s="353"/>
    </row>
    <row r="43" spans="1:15">
      <c r="A43" s="415"/>
      <c r="B43" s="375"/>
      <c r="C43" s="375"/>
      <c r="D43" s="375"/>
      <c r="E43" s="375"/>
      <c r="F43" s="12"/>
      <c r="G43" s="12"/>
      <c r="H43" s="12"/>
      <c r="I43" s="375"/>
      <c r="J43" s="375"/>
      <c r="K43" s="27"/>
      <c r="L43" s="27"/>
      <c r="M43" s="27"/>
      <c r="N43" s="35"/>
      <c r="O43" s="353"/>
    </row>
    <row r="44" spans="1:15">
      <c r="A44" s="415"/>
      <c r="B44" s="375"/>
      <c r="C44" s="375"/>
      <c r="D44" s="375"/>
      <c r="E44" s="375"/>
      <c r="F44" s="12"/>
      <c r="G44" s="12"/>
      <c r="H44" s="12"/>
      <c r="I44" s="375"/>
      <c r="J44" s="375"/>
      <c r="K44" s="31"/>
      <c r="L44" s="31"/>
      <c r="M44" s="31"/>
      <c r="N44" s="12"/>
      <c r="O44" s="354"/>
    </row>
    <row r="45" spans="1:15">
      <c r="A45" s="425">
        <v>45766</v>
      </c>
      <c r="B45" s="364" t="s">
        <v>13</v>
      </c>
      <c r="C45" s="364">
        <v>12000</v>
      </c>
      <c r="D45" s="364"/>
      <c r="E45" s="364"/>
      <c r="F45" s="7"/>
      <c r="G45" s="7"/>
      <c r="H45" s="7"/>
      <c r="I45" s="382"/>
      <c r="J45" s="382"/>
      <c r="K45" s="33"/>
      <c r="L45" s="19"/>
      <c r="M45" s="19"/>
      <c r="N45" s="7"/>
      <c r="O45" s="363">
        <f>SUM(N45:N48)</f>
        <v>0</v>
      </c>
    </row>
    <row r="46" spans="1:15">
      <c r="A46" s="414"/>
      <c r="B46" s="399"/>
      <c r="C46" s="399"/>
      <c r="D46" s="399"/>
      <c r="E46" s="399"/>
      <c r="F46" s="8"/>
      <c r="G46" s="8"/>
      <c r="H46" s="8"/>
      <c r="I46" s="384"/>
      <c r="J46" s="384"/>
      <c r="K46" s="21"/>
      <c r="L46" s="20"/>
      <c r="M46" s="20"/>
      <c r="N46" s="8"/>
      <c r="O46" s="363"/>
    </row>
    <row r="47" spans="1:15">
      <c r="A47" s="414"/>
      <c r="B47" s="399"/>
      <c r="C47" s="399"/>
      <c r="D47" s="399"/>
      <c r="E47" s="399"/>
      <c r="F47" s="8"/>
      <c r="G47" s="8"/>
      <c r="H47" s="8"/>
      <c r="I47" s="384"/>
      <c r="J47" s="384"/>
      <c r="K47" s="21"/>
      <c r="L47" s="20"/>
      <c r="M47" s="20"/>
      <c r="N47" s="8"/>
      <c r="O47" s="363"/>
    </row>
    <row r="48" spans="1:15">
      <c r="A48" s="414"/>
      <c r="B48" s="399"/>
      <c r="C48" s="399"/>
      <c r="D48" s="399"/>
      <c r="E48" s="399"/>
      <c r="F48" s="8"/>
      <c r="G48" s="8"/>
      <c r="H48" s="8"/>
      <c r="I48" s="384"/>
      <c r="J48" s="384"/>
      <c r="K48" s="21"/>
      <c r="L48" s="20"/>
      <c r="M48" s="20"/>
      <c r="N48" s="8"/>
      <c r="O48" s="364"/>
    </row>
    <row r="49" spans="1:15" ht="24.75">
      <c r="A49" s="414"/>
      <c r="B49" s="374" t="s">
        <v>14</v>
      </c>
      <c r="C49" s="398">
        <v>12000</v>
      </c>
      <c r="D49" s="374">
        <v>5350</v>
      </c>
      <c r="E49" s="374">
        <v>0.6</v>
      </c>
      <c r="F49" s="11"/>
      <c r="G49" s="11"/>
      <c r="H49" s="11"/>
      <c r="I49" s="374" t="s">
        <v>221</v>
      </c>
      <c r="J49" s="374"/>
      <c r="K49" s="25" t="s">
        <v>327</v>
      </c>
      <c r="L49" s="25" t="s">
        <v>328</v>
      </c>
      <c r="M49" s="25"/>
      <c r="N49" s="24"/>
      <c r="O49" s="365">
        <f>SUM(N49:N52)</f>
        <v>10</v>
      </c>
    </row>
    <row r="50" spans="1:15">
      <c r="A50" s="414"/>
      <c r="B50" s="374"/>
      <c r="C50" s="397"/>
      <c r="D50" s="374"/>
      <c r="E50" s="374"/>
      <c r="F50" s="11"/>
      <c r="G50" s="11"/>
      <c r="H50" s="11"/>
      <c r="I50" s="374"/>
      <c r="J50" s="374"/>
      <c r="K50" s="25" t="s">
        <v>329</v>
      </c>
      <c r="L50" s="25" t="s">
        <v>330</v>
      </c>
      <c r="M50" s="25"/>
      <c r="N50" s="24">
        <v>5</v>
      </c>
      <c r="O50" s="366"/>
    </row>
    <row r="51" spans="1:15">
      <c r="A51" s="414"/>
      <c r="B51" s="374"/>
      <c r="C51" s="397"/>
      <c r="D51" s="374"/>
      <c r="E51" s="374"/>
      <c r="F51" s="11"/>
      <c r="G51" s="11"/>
      <c r="H51" s="11"/>
      <c r="I51" s="374"/>
      <c r="J51" s="374"/>
      <c r="K51" s="25" t="s">
        <v>331</v>
      </c>
      <c r="L51" s="25" t="s">
        <v>330</v>
      </c>
      <c r="M51" s="25"/>
      <c r="N51" s="24">
        <v>3</v>
      </c>
      <c r="O51" s="366"/>
    </row>
    <row r="52" spans="1:15">
      <c r="A52" s="414"/>
      <c r="B52" s="374"/>
      <c r="C52" s="397"/>
      <c r="D52" s="374"/>
      <c r="E52" s="374"/>
      <c r="F52" s="11"/>
      <c r="G52" s="11"/>
      <c r="H52" s="11"/>
      <c r="I52" s="374"/>
      <c r="J52" s="374"/>
      <c r="K52" s="25" t="s">
        <v>332</v>
      </c>
      <c r="L52" s="25" t="s">
        <v>315</v>
      </c>
      <c r="M52" s="25"/>
      <c r="N52" s="24">
        <v>2</v>
      </c>
      <c r="O52" s="366"/>
    </row>
    <row r="53" spans="1:15">
      <c r="A53" s="415"/>
      <c r="B53" s="375" t="s">
        <v>15</v>
      </c>
      <c r="C53" s="375">
        <v>12000</v>
      </c>
      <c r="D53" s="375"/>
      <c r="E53" s="375"/>
      <c r="F53" s="12"/>
      <c r="G53" s="12"/>
      <c r="H53" s="12"/>
      <c r="I53" s="375"/>
      <c r="J53" s="375"/>
      <c r="K53" s="27"/>
      <c r="L53" s="27"/>
      <c r="M53" s="27"/>
      <c r="N53" s="35"/>
      <c r="O53" s="352">
        <f>SUM(N53:N56)</f>
        <v>0</v>
      </c>
    </row>
    <row r="54" spans="1:15">
      <c r="A54" s="415"/>
      <c r="B54" s="375"/>
      <c r="C54" s="375"/>
      <c r="D54" s="375"/>
      <c r="E54" s="375"/>
      <c r="F54" s="12"/>
      <c r="G54" s="12"/>
      <c r="H54" s="12"/>
      <c r="I54" s="375"/>
      <c r="J54" s="375"/>
      <c r="K54" s="27"/>
      <c r="L54" s="27"/>
      <c r="M54" s="27"/>
      <c r="N54" s="35"/>
      <c r="O54" s="353"/>
    </row>
    <row r="55" spans="1:15">
      <c r="A55" s="415"/>
      <c r="B55" s="375"/>
      <c r="C55" s="375"/>
      <c r="D55" s="375"/>
      <c r="E55" s="375"/>
      <c r="F55" s="12"/>
      <c r="G55" s="12"/>
      <c r="H55" s="12"/>
      <c r="I55" s="375"/>
      <c r="J55" s="375"/>
      <c r="K55" s="27"/>
      <c r="L55" s="27"/>
      <c r="M55" s="27"/>
      <c r="N55" s="35"/>
      <c r="O55" s="353"/>
    </row>
    <row r="56" spans="1:15">
      <c r="A56" s="415"/>
      <c r="B56" s="375"/>
      <c r="C56" s="375"/>
      <c r="D56" s="375"/>
      <c r="E56" s="375"/>
      <c r="F56" s="12"/>
      <c r="G56" s="12"/>
      <c r="H56" s="12"/>
      <c r="I56" s="375"/>
      <c r="J56" s="375"/>
      <c r="K56" s="31"/>
      <c r="L56" s="31"/>
      <c r="M56" s="31"/>
      <c r="N56" s="12"/>
      <c r="O56" s="354"/>
    </row>
    <row r="57" spans="1:15">
      <c r="A57" s="425">
        <v>45767</v>
      </c>
      <c r="B57" s="364" t="s">
        <v>13</v>
      </c>
      <c r="C57" s="364">
        <v>12000</v>
      </c>
      <c r="D57" s="364">
        <v>5980</v>
      </c>
      <c r="E57" s="364">
        <v>0.1</v>
      </c>
      <c r="F57" s="7"/>
      <c r="G57" s="7"/>
      <c r="H57" s="7"/>
      <c r="I57" s="382" t="s">
        <v>221</v>
      </c>
      <c r="J57" s="382"/>
      <c r="K57" s="33" t="s">
        <v>333</v>
      </c>
      <c r="L57" s="19" t="s">
        <v>301</v>
      </c>
      <c r="M57" s="19"/>
      <c r="N57" s="7">
        <v>4</v>
      </c>
      <c r="O57" s="363">
        <f>SUM(N57:N61)</f>
        <v>35</v>
      </c>
    </row>
    <row r="58" spans="1:15">
      <c r="A58" s="414"/>
      <c r="B58" s="399"/>
      <c r="C58" s="399"/>
      <c r="D58" s="399"/>
      <c r="E58" s="399"/>
      <c r="F58" s="8"/>
      <c r="G58" s="8"/>
      <c r="H58" s="8"/>
      <c r="I58" s="384"/>
      <c r="J58" s="384"/>
      <c r="K58" s="21" t="s">
        <v>334</v>
      </c>
      <c r="L58" s="20" t="s">
        <v>301</v>
      </c>
      <c r="M58" s="20"/>
      <c r="N58" s="8">
        <v>5</v>
      </c>
      <c r="O58" s="363"/>
    </row>
    <row r="59" spans="1:15">
      <c r="A59" s="414"/>
      <c r="B59" s="399"/>
      <c r="C59" s="399"/>
      <c r="D59" s="399"/>
      <c r="E59" s="399"/>
      <c r="F59" s="8"/>
      <c r="G59" s="8"/>
      <c r="H59" s="8"/>
      <c r="I59" s="384"/>
      <c r="J59" s="384"/>
      <c r="K59" s="21" t="s">
        <v>335</v>
      </c>
      <c r="L59" s="20" t="s">
        <v>301</v>
      </c>
      <c r="M59" s="20"/>
      <c r="N59" s="8">
        <v>3</v>
      </c>
      <c r="O59" s="363"/>
    </row>
    <row r="60" spans="1:15">
      <c r="A60" s="414"/>
      <c r="B60" s="399"/>
      <c r="C60" s="399"/>
      <c r="D60" s="399"/>
      <c r="E60" s="399"/>
      <c r="F60" s="8"/>
      <c r="G60" s="8"/>
      <c r="H60" s="8"/>
      <c r="I60" s="384"/>
      <c r="J60" s="384"/>
      <c r="K60" s="21" t="s">
        <v>336</v>
      </c>
      <c r="L60" s="20" t="s">
        <v>301</v>
      </c>
      <c r="M60" s="20"/>
      <c r="N60" s="8">
        <v>3</v>
      </c>
      <c r="O60" s="363"/>
    </row>
    <row r="61" spans="1:15">
      <c r="A61" s="414"/>
      <c r="B61" s="399"/>
      <c r="C61" s="399"/>
      <c r="D61" s="399"/>
      <c r="E61" s="399"/>
      <c r="F61" s="8"/>
      <c r="G61" s="8"/>
      <c r="H61" s="8"/>
      <c r="I61" s="384"/>
      <c r="J61" s="384"/>
      <c r="K61" s="21" t="s">
        <v>337</v>
      </c>
      <c r="L61" s="20" t="s">
        <v>338</v>
      </c>
      <c r="M61" s="20"/>
      <c r="N61" s="8">
        <v>20</v>
      </c>
      <c r="O61" s="364"/>
    </row>
    <row r="62" spans="1:15">
      <c r="A62" s="414"/>
      <c r="B62" s="374" t="s">
        <v>14</v>
      </c>
      <c r="C62" s="398">
        <v>12000</v>
      </c>
      <c r="D62" s="374"/>
      <c r="E62" s="374"/>
      <c r="F62" s="11"/>
      <c r="G62" s="11"/>
      <c r="H62" s="11"/>
      <c r="I62" s="374"/>
      <c r="J62" s="374"/>
      <c r="K62" s="25"/>
      <c r="L62" s="25"/>
      <c r="M62" s="25"/>
      <c r="N62" s="24"/>
      <c r="O62" s="362"/>
    </row>
    <row r="63" spans="1:15">
      <c r="A63" s="414"/>
      <c r="B63" s="374"/>
      <c r="C63" s="397"/>
      <c r="D63" s="374"/>
      <c r="E63" s="374"/>
      <c r="F63" s="11"/>
      <c r="G63" s="11"/>
      <c r="H63" s="11"/>
      <c r="I63" s="374"/>
      <c r="J63" s="374"/>
      <c r="K63" s="25"/>
      <c r="L63" s="25"/>
      <c r="M63" s="25"/>
      <c r="N63" s="24"/>
      <c r="O63" s="359"/>
    </row>
    <row r="64" spans="1:15">
      <c r="A64" s="414"/>
      <c r="B64" s="374"/>
      <c r="C64" s="397"/>
      <c r="D64" s="374"/>
      <c r="E64" s="374"/>
      <c r="F64" s="11"/>
      <c r="G64" s="11"/>
      <c r="H64" s="11"/>
      <c r="I64" s="374"/>
      <c r="J64" s="374"/>
      <c r="K64" s="25"/>
      <c r="L64" s="25"/>
      <c r="M64" s="25"/>
      <c r="N64" s="24"/>
      <c r="O64" s="359"/>
    </row>
    <row r="65" spans="1:15">
      <c r="A65" s="414"/>
      <c r="B65" s="374"/>
      <c r="C65" s="397"/>
      <c r="D65" s="374"/>
      <c r="E65" s="374"/>
      <c r="F65" s="11"/>
      <c r="G65" s="11"/>
      <c r="H65" s="11"/>
      <c r="I65" s="374"/>
      <c r="J65" s="374"/>
      <c r="K65" s="25"/>
      <c r="L65" s="25"/>
      <c r="M65" s="25"/>
      <c r="N65" s="24"/>
      <c r="O65" s="359"/>
    </row>
    <row r="66" spans="1:15">
      <c r="A66" s="414"/>
      <c r="B66" s="374"/>
      <c r="C66" s="397"/>
      <c r="D66" s="374"/>
      <c r="E66" s="374"/>
      <c r="F66" s="11"/>
      <c r="G66" s="11"/>
      <c r="H66" s="11"/>
      <c r="I66" s="374"/>
      <c r="J66" s="374"/>
      <c r="K66" s="25"/>
      <c r="L66" s="25"/>
      <c r="M66" s="25"/>
      <c r="N66" s="24"/>
      <c r="O66" s="359"/>
    </row>
    <row r="67" spans="1:15">
      <c r="A67" s="414"/>
      <c r="B67" s="374"/>
      <c r="C67" s="373"/>
      <c r="D67" s="374"/>
      <c r="E67" s="374"/>
      <c r="F67" s="11"/>
      <c r="G67" s="11"/>
      <c r="H67" s="11"/>
      <c r="I67" s="374"/>
      <c r="J67" s="374"/>
      <c r="K67" s="25"/>
      <c r="L67" s="25"/>
      <c r="M67" s="25"/>
      <c r="N67" s="24"/>
      <c r="O67" s="383"/>
    </row>
    <row r="68" spans="1:15" ht="48">
      <c r="A68" s="415"/>
      <c r="B68" s="375" t="s">
        <v>15</v>
      </c>
      <c r="C68" s="375">
        <v>12000</v>
      </c>
      <c r="D68" s="375">
        <v>6992</v>
      </c>
      <c r="E68" s="375">
        <v>0.11</v>
      </c>
      <c r="F68" s="12"/>
      <c r="G68" s="12"/>
      <c r="H68" s="12"/>
      <c r="I68" s="375" t="s">
        <v>245</v>
      </c>
      <c r="J68" s="375"/>
      <c r="K68" s="27" t="s">
        <v>339</v>
      </c>
      <c r="L68" s="27" t="s">
        <v>340</v>
      </c>
      <c r="M68" s="27"/>
      <c r="N68" s="12">
        <v>25</v>
      </c>
      <c r="O68" s="352">
        <v>118</v>
      </c>
    </row>
    <row r="69" spans="1:15" ht="84">
      <c r="A69" s="415"/>
      <c r="B69" s="375"/>
      <c r="C69" s="375"/>
      <c r="D69" s="375"/>
      <c r="E69" s="375"/>
      <c r="F69" s="12"/>
      <c r="G69" s="12"/>
      <c r="H69" s="12"/>
      <c r="I69" s="375"/>
      <c r="J69" s="375"/>
      <c r="K69" s="27" t="s">
        <v>341</v>
      </c>
      <c r="L69" s="27" t="s">
        <v>342</v>
      </c>
      <c r="M69" s="27"/>
      <c r="N69" s="12">
        <v>38</v>
      </c>
      <c r="O69" s="353"/>
    </row>
    <row r="70" spans="1:15">
      <c r="A70" s="415"/>
      <c r="B70" s="375"/>
      <c r="C70" s="375"/>
      <c r="D70" s="375"/>
      <c r="E70" s="375"/>
      <c r="F70" s="12"/>
      <c r="G70" s="12"/>
      <c r="H70" s="12"/>
      <c r="I70" s="375"/>
      <c r="J70" s="375"/>
      <c r="K70" s="27" t="s">
        <v>343</v>
      </c>
      <c r="L70" s="27" t="s">
        <v>344</v>
      </c>
      <c r="M70" s="27"/>
      <c r="N70" s="12"/>
      <c r="O70" s="353"/>
    </row>
    <row r="71" spans="1:15" ht="24">
      <c r="A71" s="415"/>
      <c r="B71" s="375"/>
      <c r="C71" s="375"/>
      <c r="D71" s="375"/>
      <c r="E71" s="375"/>
      <c r="F71" s="12"/>
      <c r="G71" s="12"/>
      <c r="H71" s="12"/>
      <c r="I71" s="375"/>
      <c r="J71" s="375"/>
      <c r="K71" s="27" t="s">
        <v>345</v>
      </c>
      <c r="L71" s="27" t="s">
        <v>345</v>
      </c>
      <c r="M71" s="27"/>
      <c r="N71" s="12">
        <v>15</v>
      </c>
      <c r="O71" s="353"/>
    </row>
    <row r="72" spans="1:15" ht="24">
      <c r="A72" s="415"/>
      <c r="B72" s="375"/>
      <c r="C72" s="375"/>
      <c r="D72" s="375"/>
      <c r="E72" s="375"/>
      <c r="F72" s="12"/>
      <c r="G72" s="12"/>
      <c r="H72" s="12"/>
      <c r="I72" s="375"/>
      <c r="J72" s="375"/>
      <c r="K72" s="27" t="s">
        <v>346</v>
      </c>
      <c r="L72" s="27" t="s">
        <v>347</v>
      </c>
      <c r="M72" s="27"/>
      <c r="N72" s="12">
        <v>15</v>
      </c>
      <c r="O72" s="353"/>
    </row>
    <row r="73" spans="1:15" ht="24">
      <c r="A73" s="415"/>
      <c r="B73" s="375"/>
      <c r="C73" s="375"/>
      <c r="D73" s="375"/>
      <c r="E73" s="375"/>
      <c r="F73" s="12"/>
      <c r="G73" s="12"/>
      <c r="H73" s="12"/>
      <c r="I73" s="375"/>
      <c r="J73" s="375"/>
      <c r="K73" s="31" t="s">
        <v>348</v>
      </c>
      <c r="L73" s="31" t="s">
        <v>349</v>
      </c>
      <c r="M73" s="31"/>
      <c r="N73" s="12">
        <v>25</v>
      </c>
      <c r="O73" s="354"/>
    </row>
    <row r="74" spans="1:15">
      <c r="A74" s="426">
        <v>45768</v>
      </c>
      <c r="B74" s="403" t="s">
        <v>13</v>
      </c>
      <c r="C74" s="403">
        <v>12000</v>
      </c>
      <c r="D74" s="403"/>
      <c r="E74" s="403"/>
      <c r="F74" s="39"/>
      <c r="G74" s="39"/>
      <c r="H74" s="39"/>
      <c r="I74" s="391"/>
      <c r="J74" s="391"/>
      <c r="K74" s="93"/>
      <c r="L74" s="94"/>
      <c r="M74" s="94"/>
      <c r="N74" s="8"/>
      <c r="O74" s="363"/>
    </row>
    <row r="75" spans="1:15">
      <c r="A75" s="427"/>
      <c r="B75" s="404"/>
      <c r="C75" s="404"/>
      <c r="D75" s="404"/>
      <c r="E75" s="404"/>
      <c r="F75" s="40"/>
      <c r="G75" s="40"/>
      <c r="H75" s="40"/>
      <c r="I75" s="392"/>
      <c r="J75" s="392"/>
      <c r="K75" s="95"/>
      <c r="L75" s="96"/>
      <c r="M75" s="96"/>
      <c r="N75" s="8"/>
      <c r="O75" s="363"/>
    </row>
    <row r="76" spans="1:15">
      <c r="A76" s="427"/>
      <c r="B76" s="404"/>
      <c r="C76" s="404"/>
      <c r="D76" s="404"/>
      <c r="E76" s="404"/>
      <c r="F76" s="40"/>
      <c r="G76" s="40"/>
      <c r="H76" s="40"/>
      <c r="I76" s="392"/>
      <c r="J76" s="392"/>
      <c r="K76" s="95"/>
      <c r="L76" s="96"/>
      <c r="M76" s="96"/>
      <c r="N76" s="8"/>
      <c r="O76" s="363"/>
    </row>
    <row r="77" spans="1:15">
      <c r="A77" s="427"/>
      <c r="B77" s="404"/>
      <c r="C77" s="404"/>
      <c r="D77" s="404"/>
      <c r="E77" s="404"/>
      <c r="F77" s="40"/>
      <c r="G77" s="40"/>
      <c r="H77" s="40"/>
      <c r="I77" s="392"/>
      <c r="J77" s="392"/>
      <c r="K77" s="95"/>
      <c r="L77" s="96"/>
      <c r="M77" s="96"/>
      <c r="N77" s="8"/>
      <c r="O77" s="364"/>
    </row>
    <row r="78" spans="1:15">
      <c r="A78" s="427"/>
      <c r="B78" s="393" t="s">
        <v>14</v>
      </c>
      <c r="C78" s="409">
        <v>12000</v>
      </c>
      <c r="D78" s="393"/>
      <c r="E78" s="393"/>
      <c r="F78" s="10"/>
      <c r="G78" s="10"/>
      <c r="H78" s="10"/>
      <c r="I78" s="393"/>
      <c r="J78" s="393"/>
      <c r="K78" s="25"/>
      <c r="L78" s="25"/>
      <c r="M78" s="25"/>
      <c r="N78" s="24"/>
      <c r="O78" s="362"/>
    </row>
    <row r="79" spans="1:15">
      <c r="A79" s="427"/>
      <c r="B79" s="393"/>
      <c r="C79" s="410"/>
      <c r="D79" s="393"/>
      <c r="E79" s="393"/>
      <c r="F79" s="10"/>
      <c r="G79" s="10"/>
      <c r="H79" s="10"/>
      <c r="I79" s="393"/>
      <c r="J79" s="393"/>
      <c r="K79" s="25"/>
      <c r="L79" s="25"/>
      <c r="M79" s="25"/>
      <c r="N79" s="24"/>
      <c r="O79" s="359"/>
    </row>
    <row r="80" spans="1:15">
      <c r="A80" s="427"/>
      <c r="B80" s="393"/>
      <c r="C80" s="410"/>
      <c r="D80" s="393"/>
      <c r="E80" s="393"/>
      <c r="F80" s="10"/>
      <c r="G80" s="10"/>
      <c r="H80" s="10"/>
      <c r="I80" s="393"/>
      <c r="J80" s="393"/>
      <c r="K80" s="25"/>
      <c r="L80" s="25"/>
      <c r="M80" s="25"/>
      <c r="N80" s="24"/>
      <c r="O80" s="359"/>
    </row>
    <row r="81" spans="1:15">
      <c r="A81" s="427"/>
      <c r="B81" s="393"/>
      <c r="C81" s="410"/>
      <c r="D81" s="393"/>
      <c r="E81" s="393"/>
      <c r="F81" s="10"/>
      <c r="G81" s="10"/>
      <c r="H81" s="10"/>
      <c r="I81" s="393"/>
      <c r="J81" s="393"/>
      <c r="K81" s="25"/>
      <c r="L81" s="25"/>
      <c r="M81" s="25"/>
      <c r="N81" s="24"/>
      <c r="O81" s="359"/>
    </row>
    <row r="82" spans="1:15">
      <c r="A82" s="427"/>
      <c r="B82" s="393"/>
      <c r="C82" s="410"/>
      <c r="D82" s="393"/>
      <c r="E82" s="393"/>
      <c r="F82" s="10"/>
      <c r="G82" s="10"/>
      <c r="H82" s="10"/>
      <c r="I82" s="393"/>
      <c r="J82" s="393"/>
      <c r="K82" s="25"/>
      <c r="L82" s="25"/>
      <c r="M82" s="25"/>
      <c r="N82" s="24"/>
      <c r="O82" s="359"/>
    </row>
    <row r="83" spans="1:15">
      <c r="A83" s="427"/>
      <c r="B83" s="393"/>
      <c r="C83" s="411"/>
      <c r="D83" s="393"/>
      <c r="E83" s="393"/>
      <c r="F83" s="10"/>
      <c r="G83" s="10"/>
      <c r="H83" s="10"/>
      <c r="I83" s="393"/>
      <c r="J83" s="393"/>
      <c r="K83" s="25"/>
      <c r="L83" s="25"/>
      <c r="M83" s="25"/>
      <c r="N83" s="24"/>
      <c r="O83" s="383"/>
    </row>
    <row r="84" spans="1:15" ht="36">
      <c r="A84" s="428"/>
      <c r="B84" s="394" t="s">
        <v>15</v>
      </c>
      <c r="C84" s="394">
        <v>12000</v>
      </c>
      <c r="D84" s="394">
        <v>7050</v>
      </c>
      <c r="E84" s="394">
        <v>0.13</v>
      </c>
      <c r="F84" s="41"/>
      <c r="G84" s="41"/>
      <c r="H84" s="41"/>
      <c r="I84" s="394" t="s">
        <v>245</v>
      </c>
      <c r="J84" s="394"/>
      <c r="K84" s="44" t="s">
        <v>350</v>
      </c>
      <c r="L84" s="44" t="s">
        <v>351</v>
      </c>
      <c r="M84" s="44"/>
      <c r="N84" s="12">
        <v>15</v>
      </c>
      <c r="O84" s="352">
        <f>SUM(N84:N89)</f>
        <v>122</v>
      </c>
    </row>
    <row r="85" spans="1:15" ht="36">
      <c r="A85" s="428"/>
      <c r="B85" s="394"/>
      <c r="C85" s="394"/>
      <c r="D85" s="394"/>
      <c r="E85" s="394"/>
      <c r="F85" s="41"/>
      <c r="G85" s="41"/>
      <c r="H85" s="41"/>
      <c r="I85" s="394"/>
      <c r="J85" s="394"/>
      <c r="K85" s="44" t="s">
        <v>352</v>
      </c>
      <c r="L85" s="44" t="s">
        <v>353</v>
      </c>
      <c r="M85" s="44"/>
      <c r="N85" s="12">
        <v>25</v>
      </c>
      <c r="O85" s="353"/>
    </row>
    <row r="86" spans="1:15" ht="24">
      <c r="A86" s="428"/>
      <c r="B86" s="394"/>
      <c r="C86" s="394"/>
      <c r="D86" s="394"/>
      <c r="E86" s="394"/>
      <c r="F86" s="41"/>
      <c r="G86" s="41"/>
      <c r="H86" s="41"/>
      <c r="I86" s="394"/>
      <c r="J86" s="394"/>
      <c r="K86" s="44" t="s">
        <v>354</v>
      </c>
      <c r="L86" s="44" t="s">
        <v>355</v>
      </c>
      <c r="M86" s="44"/>
      <c r="N86" s="12">
        <v>21</v>
      </c>
      <c r="O86" s="353"/>
    </row>
    <row r="87" spans="1:15" ht="24">
      <c r="A87" s="428"/>
      <c r="B87" s="394"/>
      <c r="C87" s="394"/>
      <c r="D87" s="394"/>
      <c r="E87" s="394"/>
      <c r="F87" s="41"/>
      <c r="G87" s="41"/>
      <c r="H87" s="41"/>
      <c r="I87" s="394"/>
      <c r="J87" s="394"/>
      <c r="K87" s="44" t="s">
        <v>356</v>
      </c>
      <c r="L87" s="44" t="s">
        <v>357</v>
      </c>
      <c r="M87" s="44"/>
      <c r="N87" s="12">
        <v>30</v>
      </c>
      <c r="O87" s="353"/>
    </row>
    <row r="88" spans="1:15" ht="36">
      <c r="A88" s="428"/>
      <c r="B88" s="394"/>
      <c r="C88" s="394"/>
      <c r="D88" s="394"/>
      <c r="E88" s="394"/>
      <c r="F88" s="41"/>
      <c r="G88" s="41"/>
      <c r="H88" s="41"/>
      <c r="I88" s="394"/>
      <c r="J88" s="394"/>
      <c r="K88" s="44" t="s">
        <v>358</v>
      </c>
      <c r="L88" s="44" t="s">
        <v>359</v>
      </c>
      <c r="M88" s="44"/>
      <c r="N88" s="12"/>
      <c r="O88" s="353"/>
    </row>
    <row r="89" spans="1:15" ht="36">
      <c r="A89" s="428"/>
      <c r="B89" s="394"/>
      <c r="C89" s="394"/>
      <c r="D89" s="394"/>
      <c r="E89" s="394"/>
      <c r="F89" s="41"/>
      <c r="G89" s="41"/>
      <c r="H89" s="41"/>
      <c r="I89" s="394"/>
      <c r="J89" s="394"/>
      <c r="K89" s="97" t="s">
        <v>360</v>
      </c>
      <c r="L89" s="97" t="s">
        <v>361</v>
      </c>
      <c r="M89" s="97"/>
      <c r="N89" s="12">
        <v>31</v>
      </c>
      <c r="O89" s="354"/>
    </row>
    <row r="90" spans="1:15">
      <c r="A90" s="429">
        <v>45769</v>
      </c>
      <c r="B90" s="364" t="s">
        <v>13</v>
      </c>
      <c r="C90" s="364">
        <v>12000</v>
      </c>
      <c r="D90" s="364"/>
      <c r="E90" s="364"/>
      <c r="F90" s="7"/>
      <c r="G90" s="7"/>
      <c r="H90" s="7"/>
      <c r="I90" s="382"/>
      <c r="J90" s="382"/>
      <c r="K90" s="33"/>
      <c r="L90" s="19"/>
      <c r="M90" s="19"/>
      <c r="N90" s="8"/>
      <c r="O90" s="363"/>
    </row>
    <row r="91" spans="1:15">
      <c r="A91" s="430"/>
      <c r="B91" s="399"/>
      <c r="C91" s="399"/>
      <c r="D91" s="399"/>
      <c r="E91" s="399"/>
      <c r="F91" s="8"/>
      <c r="G91" s="8"/>
      <c r="H91" s="8"/>
      <c r="I91" s="384"/>
      <c r="J91" s="384"/>
      <c r="K91" s="21"/>
      <c r="L91" s="20"/>
      <c r="M91" s="20"/>
      <c r="N91" s="8"/>
      <c r="O91" s="363"/>
    </row>
    <row r="92" spans="1:15">
      <c r="A92" s="430"/>
      <c r="B92" s="399"/>
      <c r="C92" s="399"/>
      <c r="D92" s="399"/>
      <c r="E92" s="399"/>
      <c r="F92" s="8"/>
      <c r="G92" s="8"/>
      <c r="H92" s="8"/>
      <c r="I92" s="384"/>
      <c r="J92" s="384"/>
      <c r="K92" s="21"/>
      <c r="L92" s="20"/>
      <c r="M92" s="20"/>
      <c r="N92" s="8"/>
      <c r="O92" s="363"/>
    </row>
    <row r="93" spans="1:15">
      <c r="A93" s="430"/>
      <c r="B93" s="399"/>
      <c r="C93" s="399"/>
      <c r="D93" s="399"/>
      <c r="E93" s="399"/>
      <c r="F93" s="8"/>
      <c r="G93" s="8"/>
      <c r="H93" s="8"/>
      <c r="I93" s="384"/>
      <c r="J93" s="384"/>
      <c r="K93" s="21"/>
      <c r="L93" s="20"/>
      <c r="M93" s="20"/>
      <c r="N93" s="8"/>
      <c r="O93" s="363"/>
    </row>
    <row r="94" spans="1:15">
      <c r="A94" s="430"/>
      <c r="B94" s="399"/>
      <c r="C94" s="399"/>
      <c r="D94" s="399"/>
      <c r="E94" s="399"/>
      <c r="F94" s="8"/>
      <c r="G94" s="8"/>
      <c r="H94" s="8"/>
      <c r="I94" s="384"/>
      <c r="J94" s="384"/>
      <c r="K94" s="21"/>
      <c r="L94" s="20"/>
      <c r="M94" s="20"/>
      <c r="N94" s="8"/>
      <c r="O94" s="364"/>
    </row>
    <row r="95" spans="1:15">
      <c r="A95" s="430"/>
      <c r="B95" s="374" t="s">
        <v>14</v>
      </c>
      <c r="C95" s="398">
        <v>12000</v>
      </c>
      <c r="D95" s="374">
        <v>8094</v>
      </c>
      <c r="E95" s="374">
        <v>0.3</v>
      </c>
      <c r="F95" s="398">
        <v>0</v>
      </c>
      <c r="G95" s="398">
        <v>0</v>
      </c>
      <c r="H95" s="398">
        <v>0</v>
      </c>
      <c r="I95" s="374" t="s">
        <v>231</v>
      </c>
      <c r="J95" s="374"/>
      <c r="K95" s="45" t="s">
        <v>362</v>
      </c>
      <c r="L95" s="45" t="s">
        <v>363</v>
      </c>
      <c r="M95" s="45"/>
      <c r="N95" s="46">
        <v>30</v>
      </c>
      <c r="O95" s="370">
        <f>SUM(N95:N99)</f>
        <v>80</v>
      </c>
    </row>
    <row r="96" spans="1:15">
      <c r="A96" s="430"/>
      <c r="B96" s="374"/>
      <c r="C96" s="397"/>
      <c r="D96" s="374"/>
      <c r="E96" s="374"/>
      <c r="F96" s="397"/>
      <c r="G96" s="397"/>
      <c r="H96" s="397"/>
      <c r="I96" s="374"/>
      <c r="J96" s="374"/>
      <c r="K96" s="45" t="s">
        <v>364</v>
      </c>
      <c r="L96" s="45"/>
      <c r="M96" s="45"/>
      <c r="N96" s="46">
        <v>45</v>
      </c>
      <c r="O96" s="371"/>
    </row>
    <row r="97" spans="1:15">
      <c r="A97" s="430"/>
      <c r="B97" s="374"/>
      <c r="C97" s="397"/>
      <c r="D97" s="374"/>
      <c r="E97" s="374"/>
      <c r="F97" s="397"/>
      <c r="G97" s="397"/>
      <c r="H97" s="397"/>
      <c r="I97" s="374"/>
      <c r="J97" s="374"/>
      <c r="K97" s="45" t="s">
        <v>365</v>
      </c>
      <c r="L97" s="45" t="s">
        <v>366</v>
      </c>
      <c r="M97" s="45"/>
      <c r="N97" s="46">
        <v>5</v>
      </c>
      <c r="O97" s="371"/>
    </row>
    <row r="98" spans="1:15" ht="24.75">
      <c r="A98" s="430"/>
      <c r="B98" s="374"/>
      <c r="C98" s="397"/>
      <c r="D98" s="374"/>
      <c r="E98" s="374"/>
      <c r="F98" s="397"/>
      <c r="G98" s="397"/>
      <c r="H98" s="397"/>
      <c r="I98" s="374"/>
      <c r="J98" s="374"/>
      <c r="K98" s="45" t="s">
        <v>367</v>
      </c>
      <c r="L98" s="98" t="s">
        <v>368</v>
      </c>
      <c r="M98" s="98"/>
      <c r="N98" s="46"/>
      <c r="O98" s="371"/>
    </row>
    <row r="99" spans="1:15">
      <c r="A99" s="430"/>
      <c r="B99" s="374"/>
      <c r="C99" s="397"/>
      <c r="D99" s="374"/>
      <c r="E99" s="374"/>
      <c r="F99" s="397"/>
      <c r="G99" s="397"/>
      <c r="H99" s="397"/>
      <c r="I99" s="374"/>
      <c r="J99" s="374"/>
      <c r="K99" s="45"/>
      <c r="L99" s="45"/>
      <c r="M99" s="45"/>
      <c r="N99" s="46"/>
      <c r="O99" s="371"/>
    </row>
    <row r="100" spans="1:15" ht="36">
      <c r="A100" s="430"/>
      <c r="B100" s="376" t="s">
        <v>15</v>
      </c>
      <c r="C100" s="376">
        <v>12000</v>
      </c>
      <c r="D100" s="376">
        <v>8422</v>
      </c>
      <c r="E100" s="376">
        <v>0.22</v>
      </c>
      <c r="F100" s="376">
        <v>0</v>
      </c>
      <c r="G100" s="376">
        <v>0</v>
      </c>
      <c r="H100" s="376">
        <v>0</v>
      </c>
      <c r="I100" s="376" t="s">
        <v>245</v>
      </c>
      <c r="J100" s="376"/>
      <c r="K100" s="27" t="s">
        <v>369</v>
      </c>
      <c r="L100" s="27" t="s">
        <v>370</v>
      </c>
      <c r="M100" s="27"/>
      <c r="N100" s="12">
        <v>35</v>
      </c>
      <c r="O100" s="352">
        <v>102</v>
      </c>
    </row>
    <row r="101" spans="1:15" ht="24">
      <c r="A101" s="430"/>
      <c r="B101" s="388"/>
      <c r="C101" s="388"/>
      <c r="D101" s="388"/>
      <c r="E101" s="388"/>
      <c r="F101" s="388"/>
      <c r="G101" s="388"/>
      <c r="H101" s="388"/>
      <c r="I101" s="388"/>
      <c r="J101" s="388"/>
      <c r="K101" s="27" t="s">
        <v>371</v>
      </c>
      <c r="L101" s="27" t="s">
        <v>372</v>
      </c>
      <c r="M101" s="27"/>
      <c r="N101" s="12">
        <v>20</v>
      </c>
      <c r="O101" s="353"/>
    </row>
    <row r="102" spans="1:15" ht="36">
      <c r="A102" s="430"/>
      <c r="B102" s="388"/>
      <c r="C102" s="388"/>
      <c r="D102" s="388"/>
      <c r="E102" s="388"/>
      <c r="F102" s="388"/>
      <c r="G102" s="388"/>
      <c r="H102" s="388"/>
      <c r="I102" s="388"/>
      <c r="J102" s="388"/>
      <c r="K102" s="27" t="s">
        <v>373</v>
      </c>
      <c r="L102" s="27" t="s">
        <v>374</v>
      </c>
      <c r="M102" s="27"/>
      <c r="N102" s="12">
        <v>21</v>
      </c>
      <c r="O102" s="353"/>
    </row>
    <row r="103" spans="1:15" ht="24">
      <c r="A103" s="430"/>
      <c r="B103" s="388"/>
      <c r="C103" s="388"/>
      <c r="D103" s="388"/>
      <c r="E103" s="388"/>
      <c r="F103" s="388"/>
      <c r="G103" s="388"/>
      <c r="H103" s="388"/>
      <c r="I103" s="388"/>
      <c r="J103" s="388"/>
      <c r="K103" s="31" t="s">
        <v>375</v>
      </c>
      <c r="L103" s="31" t="s">
        <v>376</v>
      </c>
      <c r="M103" s="31"/>
      <c r="N103" s="12">
        <v>12</v>
      </c>
      <c r="O103" s="354"/>
    </row>
    <row r="104" spans="1:15" ht="24">
      <c r="A104" s="425"/>
      <c r="B104" s="389"/>
      <c r="C104" s="389"/>
      <c r="D104" s="389"/>
      <c r="E104" s="389"/>
      <c r="F104" s="389"/>
      <c r="G104" s="389"/>
      <c r="H104" s="389"/>
      <c r="I104" s="389"/>
      <c r="J104" s="389"/>
      <c r="K104" s="27" t="s">
        <v>377</v>
      </c>
      <c r="L104" s="43" t="s">
        <v>378</v>
      </c>
      <c r="M104" s="43"/>
      <c r="N104" s="12">
        <v>14</v>
      </c>
      <c r="O104" s="34"/>
    </row>
    <row r="105" spans="1:15">
      <c r="A105" s="425">
        <v>45770</v>
      </c>
      <c r="B105" s="7" t="s">
        <v>13</v>
      </c>
      <c r="C105" s="7">
        <v>12000</v>
      </c>
      <c r="D105" s="7">
        <v>8002</v>
      </c>
      <c r="E105" s="7">
        <v>0.01</v>
      </c>
      <c r="F105" s="13">
        <v>0</v>
      </c>
      <c r="G105" s="13">
        <v>0</v>
      </c>
      <c r="H105" s="13">
        <v>0</v>
      </c>
      <c r="I105" s="18" t="s">
        <v>160</v>
      </c>
      <c r="J105" s="18"/>
      <c r="K105" s="33" t="s">
        <v>379</v>
      </c>
      <c r="L105" s="19" t="s">
        <v>380</v>
      </c>
      <c r="M105" s="19"/>
      <c r="N105" s="8">
        <v>15</v>
      </c>
      <c r="O105" s="9">
        <f>SUM(N105:N105)</f>
        <v>15</v>
      </c>
    </row>
    <row r="106" spans="1:15">
      <c r="A106" s="414"/>
      <c r="B106" s="374" t="s">
        <v>14</v>
      </c>
      <c r="C106" s="398">
        <v>12000</v>
      </c>
      <c r="D106" s="374">
        <v>11510</v>
      </c>
      <c r="E106" s="374">
        <v>0.28000000000000003</v>
      </c>
      <c r="F106" s="398">
        <v>0</v>
      </c>
      <c r="G106" s="398">
        <v>0</v>
      </c>
      <c r="H106" s="398">
        <v>0</v>
      </c>
      <c r="I106" s="374" t="s">
        <v>231</v>
      </c>
      <c r="J106" s="374"/>
      <c r="K106" s="47" t="s">
        <v>364</v>
      </c>
      <c r="L106" s="47" t="s">
        <v>381</v>
      </c>
      <c r="M106" s="47"/>
      <c r="N106" s="24">
        <v>45</v>
      </c>
      <c r="O106" s="365">
        <f>SUM(N106:N108)</f>
        <v>55</v>
      </c>
    </row>
    <row r="107" spans="1:15">
      <c r="A107" s="414"/>
      <c r="B107" s="374"/>
      <c r="C107" s="397"/>
      <c r="D107" s="374"/>
      <c r="E107" s="374"/>
      <c r="F107" s="397"/>
      <c r="G107" s="397"/>
      <c r="H107" s="397"/>
      <c r="I107" s="374"/>
      <c r="J107" s="374"/>
      <c r="K107" s="47" t="s">
        <v>382</v>
      </c>
      <c r="L107" s="47" t="s">
        <v>381</v>
      </c>
      <c r="M107" s="47"/>
      <c r="N107" s="24"/>
      <c r="O107" s="366"/>
    </row>
    <row r="108" spans="1:15" ht="24.75">
      <c r="A108" s="414"/>
      <c r="B108" s="374"/>
      <c r="C108" s="397"/>
      <c r="D108" s="374"/>
      <c r="E108" s="374"/>
      <c r="F108" s="397"/>
      <c r="G108" s="397"/>
      <c r="H108" s="397"/>
      <c r="I108" s="374"/>
      <c r="J108" s="374"/>
      <c r="K108" s="47" t="s">
        <v>383</v>
      </c>
      <c r="L108" s="47" t="s">
        <v>384</v>
      </c>
      <c r="M108" s="47"/>
      <c r="N108" s="24">
        <v>10</v>
      </c>
      <c r="O108" s="372"/>
    </row>
    <row r="109" spans="1:15" ht="24">
      <c r="A109" s="415"/>
      <c r="B109" s="375" t="s">
        <v>15</v>
      </c>
      <c r="C109" s="375">
        <v>12000</v>
      </c>
      <c r="D109" s="375">
        <v>6824</v>
      </c>
      <c r="E109" s="375">
        <v>0.31</v>
      </c>
      <c r="F109" s="376">
        <v>2</v>
      </c>
      <c r="G109" s="376">
        <v>2</v>
      </c>
      <c r="H109" s="376">
        <v>0</v>
      </c>
      <c r="I109" s="375" t="s">
        <v>245</v>
      </c>
      <c r="J109" s="375"/>
      <c r="K109" s="27" t="s">
        <v>385</v>
      </c>
      <c r="L109" s="27" t="s">
        <v>386</v>
      </c>
      <c r="M109" s="27"/>
      <c r="N109" s="12">
        <v>12</v>
      </c>
      <c r="O109" s="352">
        <f>SUM(N109:N111)</f>
        <v>43</v>
      </c>
    </row>
    <row r="110" spans="1:15">
      <c r="A110" s="415"/>
      <c r="B110" s="375"/>
      <c r="C110" s="375"/>
      <c r="D110" s="375"/>
      <c r="E110" s="375"/>
      <c r="F110" s="388"/>
      <c r="G110" s="388"/>
      <c r="H110" s="388"/>
      <c r="I110" s="375"/>
      <c r="J110" s="375"/>
      <c r="K110" s="27" t="s">
        <v>387</v>
      </c>
      <c r="L110" s="27" t="s">
        <v>388</v>
      </c>
      <c r="M110" s="27"/>
      <c r="N110" s="12">
        <v>20</v>
      </c>
      <c r="O110" s="353"/>
    </row>
    <row r="111" spans="1:15">
      <c r="A111" s="415"/>
      <c r="B111" s="375"/>
      <c r="C111" s="375"/>
      <c r="D111" s="375"/>
      <c r="E111" s="375"/>
      <c r="F111" s="388"/>
      <c r="G111" s="388"/>
      <c r="H111" s="388"/>
      <c r="I111" s="375"/>
      <c r="J111" s="375"/>
      <c r="K111" s="27" t="s">
        <v>389</v>
      </c>
      <c r="L111" s="27" t="s">
        <v>390</v>
      </c>
      <c r="M111" s="27"/>
      <c r="N111" s="12">
        <v>11</v>
      </c>
      <c r="O111" s="353"/>
    </row>
    <row r="112" spans="1:15">
      <c r="A112" s="415"/>
      <c r="B112" s="375"/>
      <c r="C112" s="375"/>
      <c r="D112" s="375"/>
      <c r="E112" s="375"/>
      <c r="F112" s="388"/>
      <c r="G112" s="388"/>
      <c r="H112" s="388"/>
      <c r="I112" s="375"/>
      <c r="J112" s="375"/>
      <c r="K112" s="27" t="s">
        <v>391</v>
      </c>
      <c r="L112" s="27" t="s">
        <v>392</v>
      </c>
      <c r="M112" s="27"/>
      <c r="N112" s="12">
        <v>10</v>
      </c>
      <c r="O112" s="353"/>
    </row>
    <row r="113" spans="1:17" ht="36">
      <c r="A113" s="415"/>
      <c r="B113" s="375"/>
      <c r="C113" s="375"/>
      <c r="D113" s="375"/>
      <c r="E113" s="375"/>
      <c r="F113" s="389"/>
      <c r="G113" s="389"/>
      <c r="H113" s="389"/>
      <c r="I113" s="375"/>
      <c r="J113" s="375"/>
      <c r="K113" s="31" t="s">
        <v>393</v>
      </c>
      <c r="L113" s="31"/>
      <c r="M113" s="31"/>
      <c r="N113" s="12"/>
      <c r="O113" s="354"/>
    </row>
    <row r="114" spans="1:17">
      <c r="A114" s="425">
        <v>45771</v>
      </c>
      <c r="B114" s="364" t="s">
        <v>13</v>
      </c>
      <c r="C114" s="364">
        <v>12000</v>
      </c>
      <c r="D114" s="364"/>
      <c r="E114" s="364"/>
      <c r="F114" s="364"/>
      <c r="G114" s="364"/>
      <c r="H114" s="364"/>
      <c r="I114" s="382" t="s">
        <v>160</v>
      </c>
      <c r="J114" s="382"/>
      <c r="K114" s="19" t="s">
        <v>394</v>
      </c>
      <c r="L114" s="19" t="s">
        <v>395</v>
      </c>
      <c r="M114" s="19"/>
      <c r="N114" s="8">
        <v>5</v>
      </c>
      <c r="O114" s="363">
        <f>SUM(N113:N116)</f>
        <v>15</v>
      </c>
    </row>
    <row r="115" spans="1:17" ht="24">
      <c r="A115" s="414"/>
      <c r="B115" s="399"/>
      <c r="C115" s="399"/>
      <c r="D115" s="399"/>
      <c r="E115" s="399"/>
      <c r="F115" s="399"/>
      <c r="G115" s="399"/>
      <c r="H115" s="399"/>
      <c r="I115" s="384"/>
      <c r="J115" s="384"/>
      <c r="K115" s="20" t="s">
        <v>396</v>
      </c>
      <c r="L115" s="20" t="s">
        <v>397</v>
      </c>
      <c r="M115" s="20"/>
      <c r="N115" s="8">
        <v>10</v>
      </c>
      <c r="O115" s="363"/>
      <c r="Q115" t="s">
        <v>398</v>
      </c>
    </row>
    <row r="116" spans="1:17" ht="24">
      <c r="A116" s="414"/>
      <c r="B116" s="399"/>
      <c r="C116" s="399"/>
      <c r="D116" s="399"/>
      <c r="E116" s="399"/>
      <c r="F116" s="399"/>
      <c r="G116" s="399"/>
      <c r="H116" s="399"/>
      <c r="I116" s="384"/>
      <c r="J116" s="384"/>
      <c r="K116" s="20" t="s">
        <v>399</v>
      </c>
      <c r="L116" s="20" t="s">
        <v>400</v>
      </c>
      <c r="M116" s="20"/>
      <c r="N116" s="8"/>
      <c r="O116" s="363"/>
      <c r="Q116" t="s">
        <v>401</v>
      </c>
    </row>
    <row r="117" spans="1:17">
      <c r="A117" s="414"/>
      <c r="B117" s="399"/>
      <c r="C117" s="399"/>
      <c r="D117" s="399"/>
      <c r="E117" s="399"/>
      <c r="F117" s="399"/>
      <c r="G117" s="399"/>
      <c r="H117" s="399"/>
      <c r="I117" s="384"/>
      <c r="J117" s="384"/>
      <c r="K117" s="21" t="s">
        <v>402</v>
      </c>
      <c r="L117" s="20"/>
      <c r="M117" s="20"/>
      <c r="N117" s="8"/>
      <c r="O117" s="364"/>
    </row>
    <row r="118" spans="1:17">
      <c r="A118" s="414"/>
      <c r="B118" s="374" t="s">
        <v>14</v>
      </c>
      <c r="C118" s="398">
        <v>12000</v>
      </c>
      <c r="D118" s="374">
        <v>6856</v>
      </c>
      <c r="E118" s="374">
        <v>0.15</v>
      </c>
      <c r="F118" s="398">
        <v>0</v>
      </c>
      <c r="G118" s="398">
        <v>0</v>
      </c>
      <c r="H118" s="398">
        <v>0</v>
      </c>
      <c r="I118" s="374" t="s">
        <v>199</v>
      </c>
      <c r="J118" s="374"/>
      <c r="K118" s="47" t="s">
        <v>364</v>
      </c>
      <c r="L118" s="47" t="s">
        <v>381</v>
      </c>
      <c r="M118" s="47"/>
      <c r="N118" s="24">
        <v>45</v>
      </c>
      <c r="O118" s="365">
        <f>SUM(N118:N122)</f>
        <v>55</v>
      </c>
    </row>
    <row r="119" spans="1:17">
      <c r="A119" s="414"/>
      <c r="B119" s="374"/>
      <c r="C119" s="397"/>
      <c r="D119" s="374"/>
      <c r="E119" s="374"/>
      <c r="F119" s="397"/>
      <c r="G119" s="397"/>
      <c r="H119" s="397"/>
      <c r="I119" s="374"/>
      <c r="J119" s="374"/>
      <c r="K119" s="25" t="s">
        <v>403</v>
      </c>
      <c r="L119" s="25" t="s">
        <v>404</v>
      </c>
      <c r="M119" s="25"/>
      <c r="N119" s="24"/>
      <c r="O119" s="366"/>
    </row>
    <row r="120" spans="1:17">
      <c r="A120" s="414"/>
      <c r="B120" s="374"/>
      <c r="C120" s="397"/>
      <c r="D120" s="374"/>
      <c r="E120" s="374"/>
      <c r="F120" s="397"/>
      <c r="G120" s="397"/>
      <c r="H120" s="397"/>
      <c r="I120" s="374"/>
      <c r="J120" s="374"/>
      <c r="K120" s="25" t="s">
        <v>333</v>
      </c>
      <c r="L120" s="25" t="s">
        <v>405</v>
      </c>
      <c r="M120" s="25"/>
      <c r="N120" s="24">
        <v>10</v>
      </c>
      <c r="O120" s="366"/>
    </row>
    <row r="121" spans="1:17">
      <c r="A121" s="414"/>
      <c r="B121" s="374"/>
      <c r="C121" s="397"/>
      <c r="D121" s="374"/>
      <c r="E121" s="374"/>
      <c r="F121" s="397"/>
      <c r="G121" s="397"/>
      <c r="H121" s="397"/>
      <c r="I121" s="374"/>
      <c r="J121" s="374"/>
      <c r="K121" s="25"/>
      <c r="L121" s="25" t="s">
        <v>406</v>
      </c>
      <c r="M121" s="25"/>
      <c r="N121" s="24"/>
      <c r="O121" s="366"/>
    </row>
    <row r="122" spans="1:17">
      <c r="A122" s="414"/>
      <c r="B122" s="374"/>
      <c r="C122" s="397"/>
      <c r="D122" s="374"/>
      <c r="E122" s="374"/>
      <c r="F122" s="397"/>
      <c r="G122" s="397"/>
      <c r="H122" s="397"/>
      <c r="I122" s="374"/>
      <c r="J122" s="374"/>
      <c r="K122" s="25"/>
      <c r="L122" s="47" t="s">
        <v>382</v>
      </c>
      <c r="M122" s="47"/>
      <c r="N122" s="24"/>
      <c r="O122" s="366"/>
    </row>
    <row r="123" spans="1:17">
      <c r="A123" s="415"/>
      <c r="B123" s="375" t="s">
        <v>15</v>
      </c>
      <c r="C123" s="375">
        <v>12000</v>
      </c>
      <c r="D123" s="375">
        <v>8000</v>
      </c>
      <c r="E123" s="375">
        <v>0.5</v>
      </c>
      <c r="F123" s="375">
        <v>0</v>
      </c>
      <c r="G123" s="375">
        <v>0</v>
      </c>
      <c r="H123" s="375">
        <v>0</v>
      </c>
      <c r="I123" s="375" t="s">
        <v>28</v>
      </c>
      <c r="J123" s="375"/>
      <c r="K123" s="27" t="s">
        <v>407</v>
      </c>
      <c r="L123" s="27" t="s">
        <v>408</v>
      </c>
      <c r="M123" s="27"/>
      <c r="N123" s="35"/>
      <c r="O123" s="352">
        <f>SUM(N123:N125)</f>
        <v>0</v>
      </c>
    </row>
    <row r="124" spans="1:17">
      <c r="A124" s="415"/>
      <c r="B124" s="375"/>
      <c r="C124" s="375"/>
      <c r="D124" s="375"/>
      <c r="E124" s="375"/>
      <c r="F124" s="375"/>
      <c r="G124" s="375"/>
      <c r="H124" s="375"/>
      <c r="I124" s="375"/>
      <c r="J124" s="375"/>
      <c r="K124" s="27" t="s">
        <v>385</v>
      </c>
      <c r="L124" s="27" t="s">
        <v>409</v>
      </c>
      <c r="M124" s="27"/>
      <c r="N124" s="35"/>
      <c r="O124" s="353"/>
    </row>
    <row r="125" spans="1:17">
      <c r="A125" s="415"/>
      <c r="B125" s="375"/>
      <c r="C125" s="375"/>
      <c r="D125" s="375"/>
      <c r="E125" s="375"/>
      <c r="F125" s="375"/>
      <c r="G125" s="375"/>
      <c r="H125" s="375"/>
      <c r="I125" s="375"/>
      <c r="J125" s="375"/>
      <c r="K125" s="27"/>
      <c r="L125" s="27"/>
      <c r="M125" s="27"/>
      <c r="N125" s="12"/>
      <c r="O125" s="353"/>
    </row>
    <row r="126" spans="1:17">
      <c r="A126" s="415"/>
      <c r="B126" s="375"/>
      <c r="C126" s="375"/>
      <c r="D126" s="375"/>
      <c r="E126" s="375"/>
      <c r="F126" s="375"/>
      <c r="G126" s="375"/>
      <c r="H126" s="375"/>
      <c r="I126" s="375"/>
      <c r="J126" s="375"/>
      <c r="K126" s="31"/>
      <c r="L126" s="31"/>
      <c r="M126" s="31"/>
      <c r="N126" s="12"/>
      <c r="O126" s="354"/>
    </row>
    <row r="127" spans="1:17" ht="24">
      <c r="A127" s="425">
        <v>45772</v>
      </c>
      <c r="B127" s="7" t="s">
        <v>13</v>
      </c>
      <c r="C127" s="7">
        <v>12000</v>
      </c>
      <c r="D127" s="7">
        <v>6096</v>
      </c>
      <c r="E127" s="7">
        <v>0.01</v>
      </c>
      <c r="F127" s="7">
        <v>0</v>
      </c>
      <c r="G127" s="7">
        <v>0</v>
      </c>
      <c r="H127" s="7">
        <v>0</v>
      </c>
      <c r="I127" s="18" t="s">
        <v>160</v>
      </c>
      <c r="J127" s="18"/>
      <c r="K127" s="33" t="s">
        <v>410</v>
      </c>
      <c r="L127" s="19" t="s">
        <v>411</v>
      </c>
      <c r="M127" s="19"/>
      <c r="N127" s="8">
        <v>25</v>
      </c>
      <c r="O127" s="9">
        <f>SUM(N126:N127)</f>
        <v>25</v>
      </c>
    </row>
    <row r="128" spans="1:17">
      <c r="A128" s="414"/>
      <c r="B128" s="374" t="s">
        <v>14</v>
      </c>
      <c r="C128" s="398">
        <v>12000</v>
      </c>
      <c r="D128" s="374">
        <v>7985</v>
      </c>
      <c r="E128" s="374">
        <v>0.3</v>
      </c>
      <c r="F128" s="398">
        <v>0</v>
      </c>
      <c r="G128" s="398">
        <v>0</v>
      </c>
      <c r="H128" s="398">
        <v>0</v>
      </c>
      <c r="I128" s="374" t="s">
        <v>199</v>
      </c>
      <c r="J128" s="374"/>
      <c r="K128" s="25" t="s">
        <v>364</v>
      </c>
      <c r="L128" s="25" t="s">
        <v>381</v>
      </c>
      <c r="M128" s="25"/>
      <c r="N128" s="24">
        <v>45</v>
      </c>
      <c r="O128" s="362">
        <f>SUM(N128:N131)</f>
        <v>50</v>
      </c>
    </row>
    <row r="129" spans="1:15" ht="24">
      <c r="A129" s="414"/>
      <c r="B129" s="374"/>
      <c r="C129" s="397"/>
      <c r="D129" s="374"/>
      <c r="E129" s="374"/>
      <c r="F129" s="397"/>
      <c r="G129" s="397"/>
      <c r="H129" s="397"/>
      <c r="I129" s="374"/>
      <c r="J129" s="374"/>
      <c r="K129" s="25" t="s">
        <v>412</v>
      </c>
      <c r="L129" s="25"/>
      <c r="M129" s="25"/>
      <c r="N129" s="24"/>
      <c r="O129" s="359"/>
    </row>
    <row r="130" spans="1:15">
      <c r="A130" s="414"/>
      <c r="B130" s="374"/>
      <c r="C130" s="397"/>
      <c r="D130" s="374"/>
      <c r="E130" s="374"/>
      <c r="F130" s="397"/>
      <c r="G130" s="397"/>
      <c r="H130" s="397"/>
      <c r="I130" s="374"/>
      <c r="J130" s="374"/>
      <c r="K130" s="25" t="s">
        <v>413</v>
      </c>
      <c r="L130" s="25" t="s">
        <v>414</v>
      </c>
      <c r="M130" s="25"/>
      <c r="N130" s="24">
        <v>5</v>
      </c>
      <c r="O130" s="359"/>
    </row>
    <row r="131" spans="1:15">
      <c r="A131" s="414"/>
      <c r="B131" s="374"/>
      <c r="C131" s="397"/>
      <c r="D131" s="374"/>
      <c r="E131" s="374"/>
      <c r="F131" s="397"/>
      <c r="G131" s="397"/>
      <c r="H131" s="397"/>
      <c r="I131" s="374"/>
      <c r="J131" s="374"/>
      <c r="K131" s="25" t="s">
        <v>415</v>
      </c>
      <c r="L131" s="25" t="s">
        <v>416</v>
      </c>
      <c r="M131" s="25"/>
      <c r="N131" s="24"/>
      <c r="O131" s="359"/>
    </row>
    <row r="132" spans="1:15">
      <c r="A132" s="415"/>
      <c r="B132" s="375" t="s">
        <v>15</v>
      </c>
      <c r="C132" s="375">
        <v>12000</v>
      </c>
      <c r="D132" s="375">
        <v>6500</v>
      </c>
      <c r="E132" s="375">
        <v>0.2</v>
      </c>
      <c r="F132" s="375">
        <v>0</v>
      </c>
      <c r="G132" s="375">
        <v>0</v>
      </c>
      <c r="H132" s="375">
        <v>0</v>
      </c>
      <c r="I132" s="375" t="s">
        <v>28</v>
      </c>
      <c r="J132" s="375"/>
      <c r="K132" s="48" t="s">
        <v>264</v>
      </c>
      <c r="L132" s="49" t="s">
        <v>265</v>
      </c>
      <c r="M132" s="49"/>
      <c r="N132" s="32">
        <v>5</v>
      </c>
      <c r="O132" s="352">
        <v>65</v>
      </c>
    </row>
    <row r="133" spans="1:15" ht="22.5">
      <c r="A133" s="415"/>
      <c r="B133" s="375"/>
      <c r="C133" s="375"/>
      <c r="D133" s="375"/>
      <c r="E133" s="375"/>
      <c r="F133" s="375"/>
      <c r="G133" s="375"/>
      <c r="H133" s="375"/>
      <c r="I133" s="375"/>
      <c r="J133" s="375"/>
      <c r="K133" s="51" t="s">
        <v>17</v>
      </c>
      <c r="L133" s="52" t="s">
        <v>65</v>
      </c>
      <c r="M133" s="52"/>
      <c r="N133" s="32">
        <v>5</v>
      </c>
      <c r="O133" s="353"/>
    </row>
    <row r="134" spans="1:15" ht="22.5">
      <c r="A134" s="415"/>
      <c r="B134" s="375"/>
      <c r="C134" s="375"/>
      <c r="D134" s="375"/>
      <c r="E134" s="375"/>
      <c r="F134" s="375"/>
      <c r="G134" s="375"/>
      <c r="H134" s="375"/>
      <c r="I134" s="375"/>
      <c r="J134" s="375"/>
      <c r="K134" s="53" t="s">
        <v>95</v>
      </c>
      <c r="L134" s="48" t="s">
        <v>60</v>
      </c>
      <c r="M134" s="48"/>
      <c r="N134" s="12">
        <v>5</v>
      </c>
      <c r="O134" s="353"/>
    </row>
    <row r="135" spans="1:15">
      <c r="A135" s="415"/>
      <c r="B135" s="375"/>
      <c r="C135" s="375"/>
      <c r="D135" s="375"/>
      <c r="E135" s="375"/>
      <c r="F135" s="375"/>
      <c r="G135" s="375"/>
      <c r="H135" s="375"/>
      <c r="I135" s="375"/>
      <c r="J135" s="375"/>
      <c r="K135" s="30" t="s">
        <v>417</v>
      </c>
      <c r="L135" s="31" t="s">
        <v>418</v>
      </c>
      <c r="M135" s="31"/>
      <c r="N135" s="32">
        <v>50</v>
      </c>
      <c r="O135" s="354"/>
    </row>
    <row r="136" spans="1:15">
      <c r="A136" s="425">
        <v>45773</v>
      </c>
      <c r="B136" s="7" t="s">
        <v>13</v>
      </c>
      <c r="C136" s="7">
        <v>12000</v>
      </c>
      <c r="D136" s="7"/>
      <c r="E136" s="7"/>
      <c r="F136" s="7"/>
      <c r="G136" s="7"/>
      <c r="H136" s="7"/>
      <c r="I136" s="18"/>
      <c r="J136" s="18"/>
      <c r="K136" s="33"/>
      <c r="L136" s="19"/>
      <c r="M136" s="19"/>
      <c r="N136" s="8"/>
      <c r="O136" s="9">
        <f>SUM(N135:N136)</f>
        <v>50</v>
      </c>
    </row>
    <row r="137" spans="1:15">
      <c r="A137" s="414"/>
      <c r="B137" s="374" t="s">
        <v>14</v>
      </c>
      <c r="C137" s="398">
        <v>12000</v>
      </c>
      <c r="D137" s="374" t="s">
        <v>419</v>
      </c>
      <c r="E137" s="374" t="s">
        <v>419</v>
      </c>
      <c r="F137" s="398">
        <v>0</v>
      </c>
      <c r="G137" s="398">
        <v>0</v>
      </c>
      <c r="H137" s="398">
        <v>0</v>
      </c>
      <c r="I137" s="374" t="s">
        <v>420</v>
      </c>
      <c r="J137" s="374"/>
      <c r="K137" s="25" t="s">
        <v>421</v>
      </c>
      <c r="L137" s="25"/>
      <c r="M137" s="25"/>
      <c r="N137" s="24"/>
      <c r="O137" s="362"/>
    </row>
    <row r="138" spans="1:15" ht="24.75">
      <c r="A138" s="414"/>
      <c r="B138" s="374"/>
      <c r="C138" s="397"/>
      <c r="D138" s="374"/>
      <c r="E138" s="374"/>
      <c r="F138" s="397"/>
      <c r="G138" s="397"/>
      <c r="H138" s="397"/>
      <c r="I138" s="374"/>
      <c r="J138" s="374"/>
      <c r="K138" s="25" t="s">
        <v>422</v>
      </c>
      <c r="L138" s="25" t="s">
        <v>423</v>
      </c>
      <c r="M138" s="25"/>
      <c r="N138" s="24"/>
      <c r="O138" s="359"/>
    </row>
    <row r="139" spans="1:15">
      <c r="A139" s="414"/>
      <c r="B139" s="374"/>
      <c r="C139" s="397"/>
      <c r="D139" s="374"/>
      <c r="E139" s="374"/>
      <c r="F139" s="397"/>
      <c r="G139" s="397"/>
      <c r="H139" s="397"/>
      <c r="I139" s="374"/>
      <c r="J139" s="374"/>
      <c r="K139" s="25" t="s">
        <v>424</v>
      </c>
      <c r="L139" s="25"/>
      <c r="M139" s="25"/>
      <c r="N139" s="24"/>
      <c r="O139" s="359"/>
    </row>
    <row r="140" spans="1:15">
      <c r="A140" s="414"/>
      <c r="B140" s="374"/>
      <c r="C140" s="397"/>
      <c r="D140" s="374"/>
      <c r="E140" s="374"/>
      <c r="F140" s="397"/>
      <c r="G140" s="397"/>
      <c r="H140" s="397"/>
      <c r="I140" s="374"/>
      <c r="J140" s="374"/>
      <c r="K140" s="25"/>
      <c r="L140" s="25"/>
      <c r="M140" s="25"/>
      <c r="N140" s="24"/>
      <c r="O140" s="359"/>
    </row>
    <row r="141" spans="1:15">
      <c r="A141" s="415"/>
      <c r="B141" s="375" t="s">
        <v>15</v>
      </c>
      <c r="C141" s="375">
        <v>12000</v>
      </c>
      <c r="D141" s="375">
        <v>3112</v>
      </c>
      <c r="E141" s="375">
        <v>0.5</v>
      </c>
      <c r="F141" s="375">
        <v>0</v>
      </c>
      <c r="G141" s="375">
        <v>0</v>
      </c>
      <c r="H141" s="375">
        <v>0</v>
      </c>
      <c r="I141" s="375" t="s">
        <v>28</v>
      </c>
      <c r="J141" s="375"/>
      <c r="K141" s="30" t="s">
        <v>425</v>
      </c>
      <c r="L141" s="31" t="s">
        <v>418</v>
      </c>
      <c r="M141" s="31"/>
      <c r="N141" s="32">
        <v>40</v>
      </c>
      <c r="O141" s="352">
        <v>52</v>
      </c>
    </row>
    <row r="142" spans="1:15">
      <c r="A142" s="415"/>
      <c r="B142" s="375"/>
      <c r="C142" s="375"/>
      <c r="D142" s="375"/>
      <c r="E142" s="375"/>
      <c r="F142" s="375"/>
      <c r="G142" s="375"/>
      <c r="H142" s="375"/>
      <c r="I142" s="375"/>
      <c r="J142" s="375"/>
      <c r="K142" s="27" t="s">
        <v>385</v>
      </c>
      <c r="L142" s="27" t="s">
        <v>426</v>
      </c>
      <c r="M142" s="27"/>
      <c r="N142" s="32">
        <v>5</v>
      </c>
      <c r="O142" s="353"/>
    </row>
    <row r="143" spans="1:15">
      <c r="A143" s="415"/>
      <c r="B143" s="375"/>
      <c r="C143" s="375"/>
      <c r="D143" s="375"/>
      <c r="E143" s="375"/>
      <c r="F143" s="375"/>
      <c r="G143" s="375"/>
      <c r="H143" s="375"/>
      <c r="I143" s="375"/>
      <c r="J143" s="375"/>
      <c r="K143" s="51" t="s">
        <v>63</v>
      </c>
      <c r="L143" s="52" t="s">
        <v>64</v>
      </c>
      <c r="M143" s="52"/>
      <c r="N143" s="12">
        <v>5</v>
      </c>
      <c r="O143" s="353"/>
    </row>
    <row r="144" spans="1:15">
      <c r="A144" s="415"/>
      <c r="B144" s="375"/>
      <c r="C144" s="375"/>
      <c r="D144" s="375"/>
      <c r="E144" s="375"/>
      <c r="F144" s="375"/>
      <c r="G144" s="375"/>
      <c r="H144" s="375"/>
      <c r="I144" s="375"/>
      <c r="J144" s="375"/>
      <c r="K144" s="54" t="s">
        <v>33</v>
      </c>
      <c r="L144" s="52" t="s">
        <v>34</v>
      </c>
      <c r="M144" s="52"/>
      <c r="N144" s="12">
        <v>2</v>
      </c>
      <c r="O144" s="354"/>
    </row>
    <row r="145" spans="1:15" ht="36">
      <c r="A145" s="425">
        <v>45774</v>
      </c>
      <c r="B145" s="364" t="s">
        <v>13</v>
      </c>
      <c r="C145" s="364">
        <v>12000</v>
      </c>
      <c r="D145" s="364">
        <v>4616</v>
      </c>
      <c r="E145" s="364">
        <v>0.51</v>
      </c>
      <c r="F145" s="400">
        <v>0</v>
      </c>
      <c r="G145" s="400">
        <v>0</v>
      </c>
      <c r="H145" s="400">
        <v>0</v>
      </c>
      <c r="I145" s="382" t="s">
        <v>245</v>
      </c>
      <c r="J145" s="382"/>
      <c r="K145" s="33" t="s">
        <v>427</v>
      </c>
      <c r="L145" s="19" t="s">
        <v>428</v>
      </c>
      <c r="M145" s="19"/>
      <c r="N145" s="8">
        <v>24</v>
      </c>
      <c r="O145" s="363">
        <f>SUM(N145:N148)</f>
        <v>139</v>
      </c>
    </row>
    <row r="146" spans="1:15">
      <c r="A146" s="414"/>
      <c r="B146" s="399"/>
      <c r="C146" s="399"/>
      <c r="D146" s="399"/>
      <c r="E146" s="399"/>
      <c r="F146" s="363"/>
      <c r="G146" s="363"/>
      <c r="H146" s="363"/>
      <c r="I146" s="384"/>
      <c r="J146" s="384"/>
      <c r="K146" s="21" t="s">
        <v>429</v>
      </c>
      <c r="L146" s="20" t="s">
        <v>430</v>
      </c>
      <c r="M146" s="20"/>
      <c r="N146" s="8">
        <v>26</v>
      </c>
      <c r="O146" s="363"/>
    </row>
    <row r="147" spans="1:15" ht="24.75">
      <c r="A147" s="414"/>
      <c r="B147" s="399"/>
      <c r="C147" s="399"/>
      <c r="D147" s="399"/>
      <c r="E147" s="399"/>
      <c r="F147" s="363"/>
      <c r="G147" s="363"/>
      <c r="H147" s="363"/>
      <c r="I147" s="384"/>
      <c r="J147" s="384"/>
      <c r="K147" s="21" t="s">
        <v>431</v>
      </c>
      <c r="L147" s="20" t="s">
        <v>432</v>
      </c>
      <c r="M147" s="20"/>
      <c r="N147" s="8">
        <v>60</v>
      </c>
      <c r="O147" s="363"/>
    </row>
    <row r="148" spans="1:15" ht="24">
      <c r="A148" s="414"/>
      <c r="B148" s="399"/>
      <c r="C148" s="399"/>
      <c r="D148" s="399"/>
      <c r="E148" s="399"/>
      <c r="F148" s="364"/>
      <c r="G148" s="364"/>
      <c r="H148" s="364"/>
      <c r="I148" s="384"/>
      <c r="J148" s="384"/>
      <c r="K148" s="21" t="s">
        <v>433</v>
      </c>
      <c r="L148" s="20" t="s">
        <v>434</v>
      </c>
      <c r="M148" s="20"/>
      <c r="N148" s="8">
        <v>29</v>
      </c>
      <c r="O148" s="364"/>
    </row>
    <row r="149" spans="1:15">
      <c r="A149" s="414"/>
      <c r="B149" s="374" t="s">
        <v>14</v>
      </c>
      <c r="C149" s="398">
        <v>12000</v>
      </c>
      <c r="D149" s="374">
        <v>8898</v>
      </c>
      <c r="E149" s="374">
        <v>0.01</v>
      </c>
      <c r="F149" s="398">
        <v>0</v>
      </c>
      <c r="G149" s="398">
        <v>0</v>
      </c>
      <c r="H149" s="398">
        <v>0</v>
      </c>
      <c r="I149" s="374" t="s">
        <v>138</v>
      </c>
      <c r="J149" s="374"/>
      <c r="K149" s="25" t="s">
        <v>435</v>
      </c>
      <c r="L149" s="25" t="s">
        <v>436</v>
      </c>
      <c r="M149" s="25"/>
      <c r="N149" s="24">
        <v>10</v>
      </c>
      <c r="O149" s="365">
        <f>SUM(N149:N152)</f>
        <v>119</v>
      </c>
    </row>
    <row r="150" spans="1:15" ht="60.75">
      <c r="A150" s="414"/>
      <c r="B150" s="374"/>
      <c r="C150" s="397"/>
      <c r="D150" s="374"/>
      <c r="E150" s="374"/>
      <c r="F150" s="397"/>
      <c r="G150" s="397"/>
      <c r="H150" s="397"/>
      <c r="I150" s="374"/>
      <c r="J150" s="374"/>
      <c r="K150" s="22" t="s">
        <v>437</v>
      </c>
      <c r="L150" s="25" t="s">
        <v>438</v>
      </c>
      <c r="M150" s="25"/>
      <c r="N150" s="24">
        <v>60</v>
      </c>
      <c r="O150" s="366"/>
    </row>
    <row r="151" spans="1:15">
      <c r="A151" s="414"/>
      <c r="B151" s="374"/>
      <c r="C151" s="397"/>
      <c r="D151" s="374"/>
      <c r="E151" s="374"/>
      <c r="F151" s="397"/>
      <c r="G151" s="397"/>
      <c r="H151" s="397"/>
      <c r="I151" s="374"/>
      <c r="J151" s="374"/>
      <c r="K151" s="25" t="s">
        <v>439</v>
      </c>
      <c r="L151" s="25" t="s">
        <v>440</v>
      </c>
      <c r="M151" s="25"/>
      <c r="N151" s="24">
        <v>4</v>
      </c>
      <c r="O151" s="366"/>
    </row>
    <row r="152" spans="1:15" ht="15" customHeight="1">
      <c r="A152" s="414"/>
      <c r="B152" s="374"/>
      <c r="C152" s="397"/>
      <c r="D152" s="374"/>
      <c r="E152" s="374"/>
      <c r="F152" s="397"/>
      <c r="G152" s="397"/>
      <c r="H152" s="397"/>
      <c r="I152" s="374"/>
      <c r="J152" s="374"/>
      <c r="K152" s="25" t="s">
        <v>364</v>
      </c>
      <c r="L152" s="25" t="s">
        <v>381</v>
      </c>
      <c r="M152" s="25"/>
      <c r="N152" s="24">
        <v>45</v>
      </c>
      <c r="O152" s="366"/>
    </row>
    <row r="153" spans="1:15">
      <c r="A153" s="415"/>
      <c r="B153" s="375" t="s">
        <v>15</v>
      </c>
      <c r="C153" s="375">
        <v>12000</v>
      </c>
      <c r="D153" s="375">
        <v>7840</v>
      </c>
      <c r="E153" s="375">
        <v>0.02</v>
      </c>
      <c r="F153" s="375">
        <v>0</v>
      </c>
      <c r="G153" s="375">
        <v>0</v>
      </c>
      <c r="H153" s="375">
        <v>0</v>
      </c>
      <c r="I153" s="375" t="s">
        <v>28</v>
      </c>
      <c r="J153" s="375"/>
      <c r="K153" s="27" t="s">
        <v>389</v>
      </c>
      <c r="L153" s="27" t="s">
        <v>390</v>
      </c>
      <c r="M153" s="27"/>
      <c r="N153" s="32">
        <v>5</v>
      </c>
      <c r="O153" s="352">
        <f>SUM(N153:N156)</f>
        <v>28</v>
      </c>
    </row>
    <row r="154" spans="1:15">
      <c r="A154" s="415"/>
      <c r="B154" s="375"/>
      <c r="C154" s="375"/>
      <c r="D154" s="375"/>
      <c r="E154" s="375"/>
      <c r="F154" s="375"/>
      <c r="G154" s="375"/>
      <c r="H154" s="375"/>
      <c r="I154" s="375"/>
      <c r="J154" s="375"/>
      <c r="K154" s="27" t="s">
        <v>441</v>
      </c>
      <c r="L154" s="27" t="s">
        <v>442</v>
      </c>
      <c r="M154" s="27"/>
      <c r="N154" s="32">
        <v>10</v>
      </c>
      <c r="O154" s="353"/>
    </row>
    <row r="155" spans="1:15" ht="22.5">
      <c r="A155" s="415"/>
      <c r="B155" s="375"/>
      <c r="C155" s="375"/>
      <c r="D155" s="375"/>
      <c r="E155" s="375"/>
      <c r="F155" s="375"/>
      <c r="G155" s="375"/>
      <c r="H155" s="375"/>
      <c r="I155" s="375"/>
      <c r="J155" s="375"/>
      <c r="K155" s="53" t="s">
        <v>95</v>
      </c>
      <c r="L155" s="48" t="s">
        <v>60</v>
      </c>
      <c r="M155" s="48"/>
      <c r="N155" s="12">
        <v>5</v>
      </c>
      <c r="O155" s="353"/>
    </row>
    <row r="156" spans="1:15" ht="22.5">
      <c r="A156" s="415"/>
      <c r="B156" s="375"/>
      <c r="C156" s="375"/>
      <c r="D156" s="375"/>
      <c r="E156" s="375"/>
      <c r="F156" s="375"/>
      <c r="G156" s="375"/>
      <c r="H156" s="375"/>
      <c r="I156" s="375"/>
      <c r="J156" s="375"/>
      <c r="K156" s="54" t="s">
        <v>443</v>
      </c>
      <c r="L156" s="52" t="s">
        <v>313</v>
      </c>
      <c r="M156" s="52"/>
      <c r="N156" s="12">
        <v>8</v>
      </c>
      <c r="O156" s="354"/>
    </row>
    <row r="157" spans="1:15">
      <c r="A157" s="425">
        <v>45775</v>
      </c>
      <c r="B157" s="364" t="s">
        <v>13</v>
      </c>
      <c r="C157" s="364">
        <v>12000</v>
      </c>
      <c r="D157" s="364">
        <v>6662</v>
      </c>
      <c r="E157" s="364">
        <v>0.69</v>
      </c>
      <c r="F157" s="400">
        <v>0</v>
      </c>
      <c r="G157" s="400">
        <v>0</v>
      </c>
      <c r="H157" s="400">
        <v>0</v>
      </c>
      <c r="I157" s="382" t="s">
        <v>138</v>
      </c>
      <c r="J157" s="382"/>
      <c r="K157" s="33" t="s">
        <v>444</v>
      </c>
      <c r="L157" s="19" t="s">
        <v>381</v>
      </c>
      <c r="M157" s="19"/>
      <c r="N157" s="8">
        <v>45</v>
      </c>
      <c r="O157" s="363">
        <f>SUM(N157:N161)</f>
        <v>45</v>
      </c>
    </row>
    <row r="158" spans="1:15">
      <c r="A158" s="414"/>
      <c r="B158" s="399"/>
      <c r="C158" s="399"/>
      <c r="D158" s="399"/>
      <c r="E158" s="399"/>
      <c r="F158" s="363"/>
      <c r="G158" s="363"/>
      <c r="H158" s="363"/>
      <c r="I158" s="384"/>
      <c r="J158" s="384"/>
      <c r="K158" s="21" t="s">
        <v>445</v>
      </c>
      <c r="L158" s="20" t="s">
        <v>446</v>
      </c>
      <c r="M158" s="20"/>
      <c r="N158" s="8"/>
      <c r="O158" s="363"/>
    </row>
    <row r="159" spans="1:15">
      <c r="A159" s="414"/>
      <c r="B159" s="399"/>
      <c r="C159" s="399"/>
      <c r="D159" s="399"/>
      <c r="E159" s="399"/>
      <c r="F159" s="363"/>
      <c r="G159" s="363"/>
      <c r="H159" s="363"/>
      <c r="I159" s="384"/>
      <c r="J159" s="384"/>
      <c r="K159" s="21" t="s">
        <v>447</v>
      </c>
      <c r="L159" s="20" t="s">
        <v>448</v>
      </c>
      <c r="M159" s="20"/>
      <c r="N159" s="8"/>
      <c r="O159" s="363"/>
    </row>
    <row r="160" spans="1:15">
      <c r="A160" s="414"/>
      <c r="B160" s="399"/>
      <c r="C160" s="399"/>
      <c r="D160" s="399"/>
      <c r="E160" s="399"/>
      <c r="F160" s="363"/>
      <c r="G160" s="363"/>
      <c r="H160" s="363"/>
      <c r="I160" s="384"/>
      <c r="J160" s="384"/>
      <c r="K160" s="21"/>
      <c r="L160" s="55"/>
      <c r="M160" s="99"/>
      <c r="N160" s="56"/>
      <c r="O160" s="363"/>
    </row>
    <row r="161" spans="1:15">
      <c r="A161" s="414"/>
      <c r="B161" s="399"/>
      <c r="C161" s="399"/>
      <c r="D161" s="399"/>
      <c r="E161" s="399"/>
      <c r="F161" s="364"/>
      <c r="G161" s="364"/>
      <c r="H161" s="364"/>
      <c r="I161" s="384"/>
      <c r="J161" s="384"/>
      <c r="K161" s="21" t="s">
        <v>449</v>
      </c>
      <c r="L161" s="57" t="s">
        <v>450</v>
      </c>
      <c r="M161" s="57"/>
      <c r="N161" s="58"/>
      <c r="O161" s="364"/>
    </row>
    <row r="162" spans="1:15">
      <c r="A162" s="414"/>
      <c r="B162" s="374" t="s">
        <v>14</v>
      </c>
      <c r="C162" s="398">
        <v>12000</v>
      </c>
      <c r="D162" s="374">
        <v>8128</v>
      </c>
      <c r="E162" s="374">
        <v>0.34</v>
      </c>
      <c r="F162" s="398">
        <v>0</v>
      </c>
      <c r="G162" s="398">
        <v>0</v>
      </c>
      <c r="H162" s="398">
        <v>0</v>
      </c>
      <c r="I162" s="374" t="s">
        <v>160</v>
      </c>
      <c r="J162" s="374"/>
      <c r="K162" s="416" t="s">
        <v>451</v>
      </c>
      <c r="L162" s="417"/>
      <c r="M162" s="59"/>
      <c r="N162" s="60">
        <v>60</v>
      </c>
      <c r="O162" s="367">
        <f>SUM(N162:N168)</f>
        <v>140</v>
      </c>
    </row>
    <row r="163" spans="1:15" ht="24">
      <c r="A163" s="414"/>
      <c r="B163" s="374"/>
      <c r="C163" s="397"/>
      <c r="D163" s="374"/>
      <c r="E163" s="374"/>
      <c r="F163" s="397"/>
      <c r="G163" s="397"/>
      <c r="H163" s="397"/>
      <c r="I163" s="374"/>
      <c r="J163" s="374"/>
      <c r="K163" s="61" t="s">
        <v>452</v>
      </c>
      <c r="L163" s="61" t="s">
        <v>453</v>
      </c>
      <c r="M163" s="61"/>
      <c r="N163" s="60">
        <v>5</v>
      </c>
      <c r="O163" s="368"/>
    </row>
    <row r="164" spans="1:15" ht="24">
      <c r="A164" s="414"/>
      <c r="B164" s="374"/>
      <c r="C164" s="397"/>
      <c r="D164" s="374"/>
      <c r="E164" s="374"/>
      <c r="F164" s="397"/>
      <c r="G164" s="397"/>
      <c r="H164" s="397"/>
      <c r="I164" s="374"/>
      <c r="J164" s="374"/>
      <c r="K164" s="61" t="s">
        <v>454</v>
      </c>
      <c r="L164" s="61" t="s">
        <v>455</v>
      </c>
      <c r="M164" s="61"/>
      <c r="N164" s="60">
        <v>5</v>
      </c>
      <c r="O164" s="368"/>
    </row>
    <row r="165" spans="1:15">
      <c r="A165" s="414"/>
      <c r="B165" s="374"/>
      <c r="C165" s="397"/>
      <c r="D165" s="374"/>
      <c r="E165" s="374"/>
      <c r="F165" s="397"/>
      <c r="G165" s="397"/>
      <c r="H165" s="397"/>
      <c r="I165" s="374"/>
      <c r="J165" s="374"/>
      <c r="K165" s="61" t="s">
        <v>456</v>
      </c>
      <c r="L165" s="61" t="s">
        <v>457</v>
      </c>
      <c r="M165" s="61"/>
      <c r="N165" s="60">
        <v>10</v>
      </c>
      <c r="O165" s="368"/>
    </row>
    <row r="166" spans="1:15" ht="24">
      <c r="A166" s="414"/>
      <c r="B166" s="374"/>
      <c r="C166" s="397"/>
      <c r="D166" s="374"/>
      <c r="E166" s="374"/>
      <c r="F166" s="397"/>
      <c r="G166" s="397"/>
      <c r="H166" s="397"/>
      <c r="I166" s="374"/>
      <c r="J166" s="374"/>
      <c r="K166" s="61" t="s">
        <v>458</v>
      </c>
      <c r="L166" s="61" t="s">
        <v>459</v>
      </c>
      <c r="M166" s="61"/>
      <c r="N166" s="60">
        <v>5</v>
      </c>
      <c r="O166" s="368"/>
    </row>
    <row r="167" spans="1:15">
      <c r="A167" s="414"/>
      <c r="B167" s="374"/>
      <c r="C167" s="397"/>
      <c r="D167" s="374"/>
      <c r="E167" s="374"/>
      <c r="F167" s="397"/>
      <c r="G167" s="397"/>
      <c r="H167" s="397"/>
      <c r="I167" s="374"/>
      <c r="J167" s="374"/>
      <c r="K167" s="61" t="s">
        <v>460</v>
      </c>
      <c r="L167" s="61" t="s">
        <v>461</v>
      </c>
      <c r="M167" s="61"/>
      <c r="N167" s="60">
        <v>15</v>
      </c>
      <c r="O167" s="368"/>
    </row>
    <row r="168" spans="1:15">
      <c r="A168" s="414"/>
      <c r="B168" s="374"/>
      <c r="C168" s="373"/>
      <c r="D168" s="374"/>
      <c r="E168" s="374"/>
      <c r="F168" s="373"/>
      <c r="G168" s="373"/>
      <c r="H168" s="373"/>
      <c r="I168" s="374"/>
      <c r="J168" s="374"/>
      <c r="K168" s="418" t="s">
        <v>462</v>
      </c>
      <c r="L168" s="419"/>
      <c r="M168" s="62"/>
      <c r="N168" s="60">
        <v>40</v>
      </c>
      <c r="O168" s="369"/>
    </row>
    <row r="169" spans="1:15">
      <c r="A169" s="415"/>
      <c r="B169" s="375" t="s">
        <v>15</v>
      </c>
      <c r="C169" s="375">
        <v>12000</v>
      </c>
      <c r="D169" s="375">
        <v>9428</v>
      </c>
      <c r="E169" s="375">
        <v>0.32</v>
      </c>
      <c r="F169" s="375">
        <v>0</v>
      </c>
      <c r="G169" s="375">
        <v>0</v>
      </c>
      <c r="H169" s="375">
        <v>0</v>
      </c>
      <c r="I169" s="375" t="s">
        <v>28</v>
      </c>
      <c r="J169" s="375"/>
      <c r="K169" s="30" t="s">
        <v>463</v>
      </c>
      <c r="L169" s="27" t="s">
        <v>390</v>
      </c>
      <c r="M169" s="27"/>
      <c r="N169" s="32">
        <v>5</v>
      </c>
      <c r="O169" s="352">
        <v>42</v>
      </c>
    </row>
    <row r="170" spans="1:15">
      <c r="A170" s="415"/>
      <c r="B170" s="375"/>
      <c r="C170" s="375"/>
      <c r="D170" s="375"/>
      <c r="E170" s="375"/>
      <c r="F170" s="375"/>
      <c r="G170" s="375"/>
      <c r="H170" s="375"/>
      <c r="I170" s="375"/>
      <c r="J170" s="375"/>
      <c r="K170" s="28" t="s">
        <v>305</v>
      </c>
      <c r="L170" s="29" t="s">
        <v>306</v>
      </c>
      <c r="M170" s="29"/>
      <c r="N170" s="32">
        <v>5</v>
      </c>
      <c r="O170" s="353"/>
    </row>
    <row r="171" spans="1:15">
      <c r="A171" s="415"/>
      <c r="B171" s="375"/>
      <c r="C171" s="375"/>
      <c r="D171" s="375"/>
      <c r="E171" s="375"/>
      <c r="F171" s="375"/>
      <c r="G171" s="375"/>
      <c r="H171" s="375"/>
      <c r="I171" s="375"/>
      <c r="J171" s="375"/>
      <c r="K171" s="63" t="s">
        <v>157</v>
      </c>
      <c r="L171" s="64" t="s">
        <v>158</v>
      </c>
      <c r="M171" s="64"/>
      <c r="N171" s="12">
        <v>2</v>
      </c>
      <c r="O171" s="353"/>
    </row>
    <row r="172" spans="1:15" ht="24">
      <c r="A172" s="415"/>
      <c r="B172" s="376"/>
      <c r="C172" s="376"/>
      <c r="D172" s="376"/>
      <c r="E172" s="376"/>
      <c r="F172" s="376"/>
      <c r="G172" s="376"/>
      <c r="H172" s="376"/>
      <c r="I172" s="376"/>
      <c r="J172" s="376"/>
      <c r="K172" s="65"/>
      <c r="L172" s="66" t="s">
        <v>464</v>
      </c>
      <c r="M172" s="66"/>
      <c r="N172" s="42"/>
      <c r="O172" s="353"/>
    </row>
    <row r="173" spans="1:15">
      <c r="A173" s="415"/>
      <c r="B173" s="376"/>
      <c r="C173" s="376"/>
      <c r="D173" s="376"/>
      <c r="E173" s="376"/>
      <c r="F173" s="376"/>
      <c r="G173" s="376"/>
      <c r="H173" s="376"/>
      <c r="I173" s="376"/>
      <c r="J173" s="376"/>
      <c r="K173" s="65" t="s">
        <v>159</v>
      </c>
      <c r="L173" s="67" t="s">
        <v>154</v>
      </c>
      <c r="M173" s="67"/>
      <c r="N173" s="42">
        <v>30</v>
      </c>
      <c r="O173" s="353"/>
    </row>
    <row r="174" spans="1:15" ht="24">
      <c r="A174" s="412">
        <v>45776</v>
      </c>
      <c r="B174" s="405" t="s">
        <v>13</v>
      </c>
      <c r="C174" s="401">
        <v>12000</v>
      </c>
      <c r="D174" s="401">
        <v>8960</v>
      </c>
      <c r="E174" s="401">
        <v>0.27</v>
      </c>
      <c r="F174" s="395">
        <v>0</v>
      </c>
      <c r="G174" s="395">
        <v>0</v>
      </c>
      <c r="H174" s="395">
        <v>0</v>
      </c>
      <c r="I174" s="385" t="s">
        <v>160</v>
      </c>
      <c r="J174" s="385" t="s">
        <v>465</v>
      </c>
      <c r="K174" s="69" t="s">
        <v>466</v>
      </c>
      <c r="L174" s="69" t="s">
        <v>467</v>
      </c>
      <c r="M174" s="69"/>
      <c r="N174" s="50">
        <v>10</v>
      </c>
      <c r="O174" s="355">
        <f t="shared" ref="O174:O178" si="0">SUM(N174:N175)</f>
        <v>10</v>
      </c>
    </row>
    <row r="175" spans="1:15">
      <c r="A175" s="413"/>
      <c r="B175" s="407"/>
      <c r="C175" s="399"/>
      <c r="D175" s="399"/>
      <c r="E175" s="399"/>
      <c r="F175" s="363"/>
      <c r="G175" s="363"/>
      <c r="H175" s="363"/>
      <c r="I175" s="384"/>
      <c r="J175" s="384"/>
      <c r="K175" s="420" t="s">
        <v>468</v>
      </c>
      <c r="L175" s="421"/>
      <c r="M175" s="421"/>
      <c r="N175" s="422"/>
      <c r="O175" s="356"/>
    </row>
    <row r="176" spans="1:15" ht="24">
      <c r="A176" s="413"/>
      <c r="B176" s="407"/>
      <c r="C176" s="399"/>
      <c r="D176" s="399"/>
      <c r="E176" s="399"/>
      <c r="F176" s="363"/>
      <c r="G176" s="363"/>
      <c r="H176" s="363"/>
      <c r="I176" s="384"/>
      <c r="J176" s="386" t="s">
        <v>469</v>
      </c>
      <c r="K176" s="70" t="s">
        <v>470</v>
      </c>
      <c r="L176" s="70" t="s">
        <v>471</v>
      </c>
      <c r="M176" s="70"/>
      <c r="N176" s="71">
        <v>5</v>
      </c>
      <c r="O176" s="357">
        <f t="shared" si="0"/>
        <v>10</v>
      </c>
    </row>
    <row r="177" spans="1:15">
      <c r="A177" s="413"/>
      <c r="B177" s="408"/>
      <c r="C177" s="402"/>
      <c r="D177" s="402"/>
      <c r="E177" s="402"/>
      <c r="F177" s="396"/>
      <c r="G177" s="396"/>
      <c r="H177" s="396"/>
      <c r="I177" s="390"/>
      <c r="J177" s="387"/>
      <c r="K177" s="72" t="s">
        <v>472</v>
      </c>
      <c r="L177" s="72" t="s">
        <v>473</v>
      </c>
      <c r="M177" s="72"/>
      <c r="N177" s="73">
        <v>5</v>
      </c>
      <c r="O177" s="358"/>
    </row>
    <row r="178" spans="1:15" ht="24.75">
      <c r="A178" s="414"/>
      <c r="B178" s="373" t="s">
        <v>14</v>
      </c>
      <c r="C178" s="397">
        <v>12000</v>
      </c>
      <c r="D178" s="373">
        <v>6445</v>
      </c>
      <c r="E178" s="373">
        <v>9.9000000000000005E-2</v>
      </c>
      <c r="F178" s="397">
        <v>0</v>
      </c>
      <c r="G178" s="397">
        <v>0</v>
      </c>
      <c r="H178" s="397">
        <v>0</v>
      </c>
      <c r="I178" s="373" t="s">
        <v>138</v>
      </c>
      <c r="J178" s="373"/>
      <c r="K178" s="74" t="s">
        <v>474</v>
      </c>
      <c r="L178" s="74" t="s">
        <v>475</v>
      </c>
      <c r="M178" s="74"/>
      <c r="N178" s="26">
        <v>25</v>
      </c>
      <c r="O178" s="359">
        <f t="shared" si="0"/>
        <v>30</v>
      </c>
    </row>
    <row r="179" spans="1:15">
      <c r="A179" s="414"/>
      <c r="B179" s="374"/>
      <c r="C179" s="397"/>
      <c r="D179" s="374"/>
      <c r="E179" s="374"/>
      <c r="F179" s="397"/>
      <c r="G179" s="397"/>
      <c r="H179" s="397"/>
      <c r="I179" s="374"/>
      <c r="J179" s="374"/>
      <c r="K179" s="25" t="s">
        <v>476</v>
      </c>
      <c r="L179" s="25" t="s">
        <v>477</v>
      </c>
      <c r="M179" s="25"/>
      <c r="N179" s="24">
        <v>5</v>
      </c>
      <c r="O179" s="359"/>
    </row>
    <row r="180" spans="1:15">
      <c r="A180" s="415"/>
      <c r="B180" s="375" t="s">
        <v>15</v>
      </c>
      <c r="C180" s="375">
        <v>12000</v>
      </c>
      <c r="D180" s="375">
        <v>11282</v>
      </c>
      <c r="E180" s="375">
        <v>0.1</v>
      </c>
      <c r="F180" s="375">
        <v>0</v>
      </c>
      <c r="G180" s="375">
        <v>0</v>
      </c>
      <c r="H180" s="375">
        <v>0</v>
      </c>
      <c r="I180" s="375" t="s">
        <v>28</v>
      </c>
      <c r="J180" s="375"/>
      <c r="K180" s="27" t="s">
        <v>345</v>
      </c>
      <c r="L180" s="27" t="s">
        <v>478</v>
      </c>
      <c r="M180" s="27"/>
      <c r="N180" s="32">
        <v>5</v>
      </c>
      <c r="O180" s="352">
        <v>20</v>
      </c>
    </row>
    <row r="181" spans="1:15">
      <c r="A181" s="415"/>
      <c r="B181" s="375"/>
      <c r="C181" s="375"/>
      <c r="D181" s="375"/>
      <c r="E181" s="375"/>
      <c r="F181" s="375"/>
      <c r="G181" s="375"/>
      <c r="H181" s="375"/>
      <c r="I181" s="375"/>
      <c r="J181" s="375"/>
      <c r="K181" s="27" t="s">
        <v>49</v>
      </c>
      <c r="L181" s="27" t="s">
        <v>50</v>
      </c>
      <c r="M181" s="27"/>
      <c r="N181" s="12">
        <v>8</v>
      </c>
      <c r="O181" s="353"/>
    </row>
    <row r="182" spans="1:15">
      <c r="A182" s="415"/>
      <c r="B182" s="376"/>
      <c r="C182" s="376"/>
      <c r="D182" s="376"/>
      <c r="E182" s="376"/>
      <c r="F182" s="376"/>
      <c r="G182" s="376"/>
      <c r="H182" s="376"/>
      <c r="I182" s="376"/>
      <c r="J182" s="376"/>
      <c r="K182" s="27" t="s">
        <v>283</v>
      </c>
      <c r="L182" s="27" t="s">
        <v>284</v>
      </c>
      <c r="M182" s="100"/>
      <c r="N182" s="42">
        <v>7</v>
      </c>
      <c r="O182" s="353"/>
    </row>
    <row r="183" spans="1:15">
      <c r="A183" s="412">
        <v>45777</v>
      </c>
      <c r="B183" s="405" t="s">
        <v>13</v>
      </c>
      <c r="C183" s="401">
        <v>12000</v>
      </c>
      <c r="D183" s="401">
        <v>0</v>
      </c>
      <c r="E183" s="401">
        <v>0</v>
      </c>
      <c r="F183" s="395">
        <v>0</v>
      </c>
      <c r="G183" s="395">
        <v>0</v>
      </c>
      <c r="H183" s="395">
        <v>0</v>
      </c>
      <c r="I183" s="385" t="s">
        <v>160</v>
      </c>
      <c r="J183" s="68" t="s">
        <v>479</v>
      </c>
      <c r="K183" s="423" t="s">
        <v>480</v>
      </c>
      <c r="L183" s="424"/>
      <c r="M183" s="77"/>
      <c r="N183" s="50"/>
      <c r="O183" s="78">
        <f>SUM(N183)</f>
        <v>0</v>
      </c>
    </row>
    <row r="184" spans="1:15" ht="24">
      <c r="A184" s="412"/>
      <c r="B184" s="406"/>
      <c r="C184" s="364"/>
      <c r="D184" s="364"/>
      <c r="E184" s="364"/>
      <c r="F184" s="363"/>
      <c r="G184" s="363"/>
      <c r="H184" s="363"/>
      <c r="I184" s="382"/>
      <c r="J184" s="377" t="s">
        <v>469</v>
      </c>
      <c r="K184" s="79" t="s">
        <v>481</v>
      </c>
      <c r="L184" s="80" t="s">
        <v>482</v>
      </c>
      <c r="M184" s="80"/>
      <c r="N184" s="81">
        <v>7</v>
      </c>
      <c r="O184" s="360">
        <f>SUM(N184:N186)</f>
        <v>47</v>
      </c>
    </row>
    <row r="185" spans="1:15" ht="24">
      <c r="A185" s="413"/>
      <c r="B185" s="407"/>
      <c r="C185" s="399"/>
      <c r="D185" s="399"/>
      <c r="E185" s="399"/>
      <c r="F185" s="363"/>
      <c r="G185" s="363"/>
      <c r="H185" s="363"/>
      <c r="I185" s="384"/>
      <c r="J185" s="378"/>
      <c r="K185" s="79" t="s">
        <v>483</v>
      </c>
      <c r="L185" s="82" t="s">
        <v>484</v>
      </c>
      <c r="M185" s="82"/>
      <c r="N185" s="83">
        <v>15</v>
      </c>
      <c r="O185" s="360"/>
    </row>
    <row r="186" spans="1:15" ht="23.25">
      <c r="A186" s="413"/>
      <c r="B186" s="408"/>
      <c r="C186" s="402"/>
      <c r="D186" s="402"/>
      <c r="E186" s="402"/>
      <c r="F186" s="396"/>
      <c r="G186" s="396"/>
      <c r="H186" s="396"/>
      <c r="I186" s="390"/>
      <c r="J186" s="379"/>
      <c r="K186" s="84" t="s">
        <v>483</v>
      </c>
      <c r="L186" s="85" t="s">
        <v>485</v>
      </c>
      <c r="M186" s="85"/>
      <c r="N186" s="86">
        <v>25</v>
      </c>
      <c r="O186" s="361"/>
    </row>
    <row r="187" spans="1:15">
      <c r="A187" s="414"/>
      <c r="B187" s="373" t="s">
        <v>14</v>
      </c>
      <c r="C187" s="397">
        <v>12000</v>
      </c>
      <c r="D187" s="373">
        <v>4320</v>
      </c>
      <c r="E187" s="373">
        <v>0.61</v>
      </c>
      <c r="F187" s="397">
        <v>0</v>
      </c>
      <c r="G187" s="397">
        <v>0</v>
      </c>
      <c r="H187" s="397">
        <v>0</v>
      </c>
      <c r="I187" s="373" t="s">
        <v>199</v>
      </c>
      <c r="J187" s="373"/>
      <c r="K187" s="25" t="s">
        <v>486</v>
      </c>
      <c r="L187" s="88"/>
      <c r="M187" s="88" t="s">
        <v>487</v>
      </c>
      <c r="N187" s="89">
        <v>45</v>
      </c>
      <c r="O187" s="359">
        <f>SUM(N187:N188)</f>
        <v>50</v>
      </c>
    </row>
    <row r="188" spans="1:15">
      <c r="A188" s="414"/>
      <c r="B188" s="374"/>
      <c r="C188" s="397"/>
      <c r="D188" s="374"/>
      <c r="E188" s="374"/>
      <c r="F188" s="397"/>
      <c r="G188" s="397"/>
      <c r="H188" s="397"/>
      <c r="I188" s="374"/>
      <c r="J188" s="374"/>
      <c r="K188" s="25" t="s">
        <v>488</v>
      </c>
      <c r="L188" s="25" t="s">
        <v>489</v>
      </c>
      <c r="M188" s="25"/>
      <c r="N188" s="24">
        <v>5</v>
      </c>
      <c r="O188" s="359"/>
    </row>
    <row r="189" spans="1:15">
      <c r="A189" s="415"/>
      <c r="B189" s="375" t="s">
        <v>15</v>
      </c>
      <c r="C189" s="375">
        <v>12000</v>
      </c>
      <c r="D189" s="375">
        <v>4033</v>
      </c>
      <c r="E189" s="375">
        <v>0.4</v>
      </c>
      <c r="F189" s="375">
        <v>0</v>
      </c>
      <c r="G189" s="375">
        <v>0</v>
      </c>
      <c r="H189" s="375">
        <v>0</v>
      </c>
      <c r="I189" s="375" t="s">
        <v>28</v>
      </c>
      <c r="J189" s="375" t="s">
        <v>465</v>
      </c>
      <c r="K189" s="51" t="s">
        <v>63</v>
      </c>
      <c r="L189" s="52" t="s">
        <v>64</v>
      </c>
      <c r="M189" s="52"/>
      <c r="N189" s="12">
        <v>5</v>
      </c>
      <c r="O189" s="352"/>
    </row>
    <row r="190" spans="1:15" ht="36">
      <c r="A190" s="415"/>
      <c r="B190" s="375"/>
      <c r="C190" s="375"/>
      <c r="D190" s="375"/>
      <c r="E190" s="375"/>
      <c r="F190" s="375"/>
      <c r="G190" s="375"/>
      <c r="H190" s="375"/>
      <c r="I190" s="375"/>
      <c r="J190" s="375"/>
      <c r="K190" s="97" t="s">
        <v>360</v>
      </c>
      <c r="L190" s="97" t="s">
        <v>361</v>
      </c>
      <c r="M190" s="27"/>
      <c r="N190" s="32">
        <v>10</v>
      </c>
      <c r="O190" s="353"/>
    </row>
    <row r="191" spans="1:15">
      <c r="A191" s="415"/>
      <c r="B191" s="375"/>
      <c r="C191" s="375"/>
      <c r="D191" s="375"/>
      <c r="E191" s="375"/>
      <c r="F191" s="375"/>
      <c r="G191" s="375"/>
      <c r="H191" s="375"/>
      <c r="I191" s="375"/>
      <c r="J191" s="375"/>
      <c r="K191" s="101" t="s">
        <v>54</v>
      </c>
      <c r="L191" s="48" t="s">
        <v>55</v>
      </c>
      <c r="M191" s="102"/>
      <c r="N191" s="12">
        <v>5</v>
      </c>
      <c r="O191" s="353"/>
    </row>
    <row r="192" spans="1:15" ht="24">
      <c r="A192" s="415"/>
      <c r="B192" s="375"/>
      <c r="C192" s="375"/>
      <c r="D192" s="375"/>
      <c r="E192" s="375"/>
      <c r="F192" s="375"/>
      <c r="G192" s="375"/>
      <c r="H192" s="375"/>
      <c r="I192" s="375"/>
      <c r="J192" s="375"/>
      <c r="K192" s="103" t="s">
        <v>490</v>
      </c>
      <c r="L192" s="31" t="s">
        <v>491</v>
      </c>
      <c r="M192" s="52"/>
      <c r="N192" s="12">
        <v>5</v>
      </c>
      <c r="O192" s="354"/>
    </row>
    <row r="193" spans="1:15">
      <c r="A193" s="412" t="s">
        <v>492</v>
      </c>
      <c r="B193" s="405" t="s">
        <v>13</v>
      </c>
      <c r="C193" s="401">
        <v>12000</v>
      </c>
      <c r="D193" s="401">
        <v>6304</v>
      </c>
      <c r="E193" s="401">
        <v>0</v>
      </c>
      <c r="F193" s="395">
        <v>2</v>
      </c>
      <c r="G193" s="395">
        <v>0</v>
      </c>
      <c r="H193" s="395">
        <v>0</v>
      </c>
      <c r="I193" s="385" t="s">
        <v>245</v>
      </c>
      <c r="J193" s="380"/>
      <c r="K193" s="423"/>
      <c r="L193" s="424"/>
      <c r="M193" s="77"/>
      <c r="N193" s="50"/>
      <c r="O193" s="78"/>
    </row>
    <row r="194" spans="1:15">
      <c r="A194" s="412"/>
      <c r="B194" s="406"/>
      <c r="C194" s="364"/>
      <c r="D194" s="364"/>
      <c r="E194" s="364"/>
      <c r="F194" s="363"/>
      <c r="G194" s="363"/>
      <c r="H194" s="363"/>
      <c r="I194" s="382"/>
      <c r="J194" s="381"/>
      <c r="K194" s="423"/>
      <c r="L194" s="424"/>
      <c r="M194" s="77"/>
      <c r="N194" s="50"/>
      <c r="O194" s="78"/>
    </row>
    <row r="195" spans="1:15">
      <c r="A195" s="413"/>
      <c r="B195" s="407"/>
      <c r="C195" s="399"/>
      <c r="D195" s="399"/>
      <c r="E195" s="399"/>
      <c r="F195" s="363"/>
      <c r="G195" s="363"/>
      <c r="H195" s="363"/>
      <c r="I195" s="384"/>
      <c r="J195" s="381"/>
      <c r="K195" s="423"/>
      <c r="L195" s="424"/>
      <c r="M195" s="77"/>
      <c r="N195" s="50"/>
      <c r="O195" s="78"/>
    </row>
    <row r="196" spans="1:15">
      <c r="A196" s="413"/>
      <c r="B196" s="408"/>
      <c r="C196" s="402"/>
      <c r="D196" s="402"/>
      <c r="E196" s="402"/>
      <c r="F196" s="396"/>
      <c r="G196" s="396"/>
      <c r="H196" s="396"/>
      <c r="I196" s="390"/>
      <c r="J196" s="382"/>
      <c r="K196" s="423"/>
      <c r="L196" s="424"/>
      <c r="M196" s="77"/>
      <c r="N196" s="50"/>
      <c r="O196" s="78"/>
    </row>
    <row r="197" spans="1:15">
      <c r="A197" s="414"/>
      <c r="B197" s="373"/>
      <c r="C197" s="397"/>
      <c r="D197" s="373"/>
      <c r="E197" s="373"/>
      <c r="F197" s="397"/>
      <c r="G197" s="397"/>
      <c r="H197" s="397"/>
      <c r="I197" s="373"/>
      <c r="J197" s="373"/>
      <c r="K197" s="25"/>
      <c r="L197" s="88"/>
      <c r="M197" s="88"/>
      <c r="N197" s="89"/>
      <c r="O197" s="359"/>
    </row>
    <row r="198" spans="1:15">
      <c r="A198" s="414"/>
      <c r="B198" s="374"/>
      <c r="C198" s="397"/>
      <c r="D198" s="374"/>
      <c r="E198" s="374"/>
      <c r="F198" s="397"/>
      <c r="G198" s="397"/>
      <c r="H198" s="397"/>
      <c r="I198" s="374"/>
      <c r="J198" s="374"/>
      <c r="K198" s="25"/>
      <c r="L198" s="25"/>
      <c r="M198" s="25"/>
      <c r="N198" s="24"/>
      <c r="O198" s="359"/>
    </row>
    <row r="199" spans="1:15">
      <c r="A199" s="415"/>
      <c r="B199" s="375"/>
      <c r="C199" s="375"/>
      <c r="D199" s="375"/>
      <c r="E199" s="375"/>
      <c r="F199" s="375"/>
      <c r="G199" s="375"/>
      <c r="H199" s="375"/>
      <c r="I199" s="375"/>
      <c r="J199" s="375"/>
      <c r="K199" s="30"/>
      <c r="L199" s="31"/>
      <c r="M199" s="31"/>
      <c r="N199" s="32"/>
      <c r="O199" s="352"/>
    </row>
    <row r="200" spans="1:15">
      <c r="A200" s="415"/>
      <c r="B200" s="375"/>
      <c r="C200" s="375"/>
      <c r="D200" s="375"/>
      <c r="E200" s="375"/>
      <c r="F200" s="375"/>
      <c r="G200" s="375"/>
      <c r="H200" s="375"/>
      <c r="I200" s="375"/>
      <c r="J200" s="375"/>
      <c r="K200" s="27"/>
      <c r="L200" s="27"/>
      <c r="M200" s="27"/>
      <c r="N200" s="32"/>
      <c r="O200" s="353"/>
    </row>
    <row r="201" spans="1:15">
      <c r="A201" s="415"/>
      <c r="B201" s="375"/>
      <c r="C201" s="375"/>
      <c r="D201" s="375"/>
      <c r="E201" s="375"/>
      <c r="F201" s="375"/>
      <c r="G201" s="375"/>
      <c r="H201" s="375"/>
      <c r="I201" s="375"/>
      <c r="J201" s="375"/>
      <c r="K201" s="51"/>
      <c r="L201" s="52"/>
      <c r="M201" s="52"/>
      <c r="N201" s="12"/>
      <c r="O201" s="353"/>
    </row>
    <row r="202" spans="1:15">
      <c r="A202" s="415"/>
      <c r="B202" s="375"/>
      <c r="C202" s="375"/>
      <c r="D202" s="375"/>
      <c r="E202" s="375"/>
      <c r="F202" s="375"/>
      <c r="G202" s="375"/>
      <c r="H202" s="375"/>
      <c r="I202" s="375"/>
      <c r="J202" s="375"/>
      <c r="K202" s="54"/>
      <c r="L202" s="52"/>
      <c r="M202" s="52"/>
      <c r="N202" s="12"/>
      <c r="O202" s="354"/>
    </row>
  </sheetData>
  <mergeCells count="418">
    <mergeCell ref="A1:L1"/>
    <mergeCell ref="K162:L162"/>
    <mergeCell ref="K168:L168"/>
    <mergeCell ref="K175:N175"/>
    <mergeCell ref="K183:L183"/>
    <mergeCell ref="K193:L193"/>
    <mergeCell ref="K194:L194"/>
    <mergeCell ref="K195:L195"/>
    <mergeCell ref="K196:L196"/>
    <mergeCell ref="A3:A16"/>
    <mergeCell ref="A17:A30"/>
    <mergeCell ref="A31:A44"/>
    <mergeCell ref="A45:A56"/>
    <mergeCell ref="A57:A73"/>
    <mergeCell ref="A74:A89"/>
    <mergeCell ref="A90:A104"/>
    <mergeCell ref="A105:A113"/>
    <mergeCell ref="A114:A126"/>
    <mergeCell ref="A127:A135"/>
    <mergeCell ref="A136:A144"/>
    <mergeCell ref="A145:A156"/>
    <mergeCell ref="A157:A173"/>
    <mergeCell ref="A174:A182"/>
    <mergeCell ref="A183:A192"/>
    <mergeCell ref="A193:A202"/>
    <mergeCell ref="B3:B6"/>
    <mergeCell ref="B7:B12"/>
    <mergeCell ref="B13:B16"/>
    <mergeCell ref="B17:B20"/>
    <mergeCell ref="B21:B26"/>
    <mergeCell ref="B27:B30"/>
    <mergeCell ref="B31:B34"/>
    <mergeCell ref="B35:B40"/>
    <mergeCell ref="B41:B44"/>
    <mergeCell ref="B45:B48"/>
    <mergeCell ref="B49:B52"/>
    <mergeCell ref="B53:B56"/>
    <mergeCell ref="B57:B61"/>
    <mergeCell ref="B62:B67"/>
    <mergeCell ref="B68:B73"/>
    <mergeCell ref="B74:B77"/>
    <mergeCell ref="B78:B83"/>
    <mergeCell ref="B84:B89"/>
    <mergeCell ref="B90:B94"/>
    <mergeCell ref="B95:B99"/>
    <mergeCell ref="B100:B104"/>
    <mergeCell ref="B106:B108"/>
    <mergeCell ref="B109:B113"/>
    <mergeCell ref="B114:B117"/>
    <mergeCell ref="B118:B122"/>
    <mergeCell ref="B123:B126"/>
    <mergeCell ref="B128:B131"/>
    <mergeCell ref="B132:B135"/>
    <mergeCell ref="B137:B140"/>
    <mergeCell ref="B141:B144"/>
    <mergeCell ref="B145:B148"/>
    <mergeCell ref="B149:B152"/>
    <mergeCell ref="B153:B156"/>
    <mergeCell ref="B157:B161"/>
    <mergeCell ref="B162:B168"/>
    <mergeCell ref="B169:B173"/>
    <mergeCell ref="B174:B177"/>
    <mergeCell ref="B178:B179"/>
    <mergeCell ref="B180:B182"/>
    <mergeCell ref="B183:B186"/>
    <mergeCell ref="B187:B188"/>
    <mergeCell ref="B189:B192"/>
    <mergeCell ref="B193:B196"/>
    <mergeCell ref="B197:B198"/>
    <mergeCell ref="B199:B202"/>
    <mergeCell ref="C3:C6"/>
    <mergeCell ref="C7:C12"/>
    <mergeCell ref="C13:C16"/>
    <mergeCell ref="C17:C20"/>
    <mergeCell ref="C21:C26"/>
    <mergeCell ref="C27:C30"/>
    <mergeCell ref="C31:C34"/>
    <mergeCell ref="C35:C40"/>
    <mergeCell ref="C41:C44"/>
    <mergeCell ref="C45:C48"/>
    <mergeCell ref="C49:C52"/>
    <mergeCell ref="C53:C56"/>
    <mergeCell ref="C57:C61"/>
    <mergeCell ref="C62:C67"/>
    <mergeCell ref="C68:C73"/>
    <mergeCell ref="C74:C77"/>
    <mergeCell ref="C78:C83"/>
    <mergeCell ref="C84:C89"/>
    <mergeCell ref="C90:C94"/>
    <mergeCell ref="C95:C99"/>
    <mergeCell ref="C100:C104"/>
    <mergeCell ref="C106:C108"/>
    <mergeCell ref="C109:C113"/>
    <mergeCell ref="C114:C117"/>
    <mergeCell ref="C118:C122"/>
    <mergeCell ref="C123:C126"/>
    <mergeCell ref="C128:C131"/>
    <mergeCell ref="C132:C135"/>
    <mergeCell ref="C137:C140"/>
    <mergeCell ref="C141:C144"/>
    <mergeCell ref="C145:C148"/>
    <mergeCell ref="C149:C152"/>
    <mergeCell ref="C153:C156"/>
    <mergeCell ref="C157:C161"/>
    <mergeCell ref="C162:C168"/>
    <mergeCell ref="C169:C173"/>
    <mergeCell ref="C174:C177"/>
    <mergeCell ref="C178:C179"/>
    <mergeCell ref="C180:C182"/>
    <mergeCell ref="C183:C186"/>
    <mergeCell ref="C187:C188"/>
    <mergeCell ref="C189:C192"/>
    <mergeCell ref="C193:C196"/>
    <mergeCell ref="C197:C198"/>
    <mergeCell ref="C199:C202"/>
    <mergeCell ref="D3:D6"/>
    <mergeCell ref="D7:D12"/>
    <mergeCell ref="D13:D16"/>
    <mergeCell ref="D17:D20"/>
    <mergeCell ref="D21:D26"/>
    <mergeCell ref="D27:D30"/>
    <mergeCell ref="D31:D34"/>
    <mergeCell ref="D35:D40"/>
    <mergeCell ref="D41:D44"/>
    <mergeCell ref="D45:D48"/>
    <mergeCell ref="D49:D52"/>
    <mergeCell ref="D53:D56"/>
    <mergeCell ref="D57:D61"/>
    <mergeCell ref="D62:D67"/>
    <mergeCell ref="D68:D73"/>
    <mergeCell ref="D74:D77"/>
    <mergeCell ref="D78:D83"/>
    <mergeCell ref="D84:D89"/>
    <mergeCell ref="D90:D94"/>
    <mergeCell ref="D95:D99"/>
    <mergeCell ref="D100:D104"/>
    <mergeCell ref="D106:D108"/>
    <mergeCell ref="D109:D113"/>
    <mergeCell ref="D114:D117"/>
    <mergeCell ref="D118:D122"/>
    <mergeCell ref="D123:D126"/>
    <mergeCell ref="D128:D131"/>
    <mergeCell ref="D132:D135"/>
    <mergeCell ref="D137:D140"/>
    <mergeCell ref="D141:D144"/>
    <mergeCell ref="D145:D148"/>
    <mergeCell ref="D149:D152"/>
    <mergeCell ref="D153:D156"/>
    <mergeCell ref="D157:D161"/>
    <mergeCell ref="D162:D168"/>
    <mergeCell ref="D169:D173"/>
    <mergeCell ref="D174:D177"/>
    <mergeCell ref="D178:D179"/>
    <mergeCell ref="D180:D182"/>
    <mergeCell ref="D183:D186"/>
    <mergeCell ref="D187:D188"/>
    <mergeCell ref="D189:D192"/>
    <mergeCell ref="D193:D196"/>
    <mergeCell ref="D197:D198"/>
    <mergeCell ref="D199:D202"/>
    <mergeCell ref="E3:E6"/>
    <mergeCell ref="E7:E12"/>
    <mergeCell ref="E13:E16"/>
    <mergeCell ref="E17:E20"/>
    <mergeCell ref="E21:E26"/>
    <mergeCell ref="E27:E30"/>
    <mergeCell ref="E31:E34"/>
    <mergeCell ref="E35:E40"/>
    <mergeCell ref="E41:E44"/>
    <mergeCell ref="E45:E48"/>
    <mergeCell ref="E49:E52"/>
    <mergeCell ref="E53:E56"/>
    <mergeCell ref="E57:E61"/>
    <mergeCell ref="E62:E67"/>
    <mergeCell ref="E68:E73"/>
    <mergeCell ref="E74:E77"/>
    <mergeCell ref="E78:E83"/>
    <mergeCell ref="E84:E89"/>
    <mergeCell ref="E90:E94"/>
    <mergeCell ref="E95:E99"/>
    <mergeCell ref="E100:E104"/>
    <mergeCell ref="E106:E108"/>
    <mergeCell ref="E109:E113"/>
    <mergeCell ref="E114:E117"/>
    <mergeCell ref="E118:E122"/>
    <mergeCell ref="E123:E126"/>
    <mergeCell ref="E128:E131"/>
    <mergeCell ref="E132:E135"/>
    <mergeCell ref="E137:E140"/>
    <mergeCell ref="E141:E144"/>
    <mergeCell ref="E145:E148"/>
    <mergeCell ref="E149:E152"/>
    <mergeCell ref="E153:E156"/>
    <mergeCell ref="E157:E161"/>
    <mergeCell ref="E162:E168"/>
    <mergeCell ref="E169:E173"/>
    <mergeCell ref="E174:E177"/>
    <mergeCell ref="E178:E179"/>
    <mergeCell ref="E180:E182"/>
    <mergeCell ref="E183:E186"/>
    <mergeCell ref="E187:E188"/>
    <mergeCell ref="E189:E192"/>
    <mergeCell ref="E193:E196"/>
    <mergeCell ref="E197:E198"/>
    <mergeCell ref="E199:E202"/>
    <mergeCell ref="F95:F99"/>
    <mergeCell ref="F100:F104"/>
    <mergeCell ref="F106:F108"/>
    <mergeCell ref="F109:F113"/>
    <mergeCell ref="F114:F117"/>
    <mergeCell ref="F118:F122"/>
    <mergeCell ref="F123:F126"/>
    <mergeCell ref="F128:F131"/>
    <mergeCell ref="F132:F135"/>
    <mergeCell ref="F137:F140"/>
    <mergeCell ref="F141:F144"/>
    <mergeCell ref="F145:F148"/>
    <mergeCell ref="F149:F152"/>
    <mergeCell ref="F153:F156"/>
    <mergeCell ref="F157:F161"/>
    <mergeCell ref="F162:F168"/>
    <mergeCell ref="F169:F173"/>
    <mergeCell ref="F174:F177"/>
    <mergeCell ref="F178:F179"/>
    <mergeCell ref="F180:F182"/>
    <mergeCell ref="F183:F186"/>
    <mergeCell ref="F187:F188"/>
    <mergeCell ref="F189:F192"/>
    <mergeCell ref="F193:F196"/>
    <mergeCell ref="F197:F198"/>
    <mergeCell ref="F199:F202"/>
    <mergeCell ref="G95:G99"/>
    <mergeCell ref="G100:G104"/>
    <mergeCell ref="G106:G108"/>
    <mergeCell ref="G109:G113"/>
    <mergeCell ref="G114:G117"/>
    <mergeCell ref="G118:G122"/>
    <mergeCell ref="G123:G126"/>
    <mergeCell ref="G128:G131"/>
    <mergeCell ref="G132:G135"/>
    <mergeCell ref="G137:G140"/>
    <mergeCell ref="G141:G144"/>
    <mergeCell ref="G145:G148"/>
    <mergeCell ref="G149:G152"/>
    <mergeCell ref="G153:G156"/>
    <mergeCell ref="G157:G161"/>
    <mergeCell ref="G162:G168"/>
    <mergeCell ref="G169:G173"/>
    <mergeCell ref="G174:G177"/>
    <mergeCell ref="G178:G179"/>
    <mergeCell ref="G180:G182"/>
    <mergeCell ref="G183:G186"/>
    <mergeCell ref="G187:G188"/>
    <mergeCell ref="G189:G192"/>
    <mergeCell ref="G193:G196"/>
    <mergeCell ref="G197:G198"/>
    <mergeCell ref="G199:G202"/>
    <mergeCell ref="H95:H99"/>
    <mergeCell ref="H100:H104"/>
    <mergeCell ref="H106:H108"/>
    <mergeCell ref="H109:H113"/>
    <mergeCell ref="H114:H117"/>
    <mergeCell ref="H118:H122"/>
    <mergeCell ref="H123:H126"/>
    <mergeCell ref="H128:H131"/>
    <mergeCell ref="H132:H135"/>
    <mergeCell ref="H137:H140"/>
    <mergeCell ref="H141:H144"/>
    <mergeCell ref="H145:H148"/>
    <mergeCell ref="H149:H152"/>
    <mergeCell ref="H153:H156"/>
    <mergeCell ref="H157:H161"/>
    <mergeCell ref="H162:H168"/>
    <mergeCell ref="H169:H173"/>
    <mergeCell ref="H174:H177"/>
    <mergeCell ref="H178:H179"/>
    <mergeCell ref="H180:H182"/>
    <mergeCell ref="H183:H186"/>
    <mergeCell ref="H187:H188"/>
    <mergeCell ref="H189:H192"/>
    <mergeCell ref="H193:H196"/>
    <mergeCell ref="H197:H198"/>
    <mergeCell ref="H199:H202"/>
    <mergeCell ref="I3:I6"/>
    <mergeCell ref="I7:I12"/>
    <mergeCell ref="I13:I16"/>
    <mergeCell ref="I17:I20"/>
    <mergeCell ref="I21:I26"/>
    <mergeCell ref="I27:I30"/>
    <mergeCell ref="I31:I34"/>
    <mergeCell ref="I35:I40"/>
    <mergeCell ref="I41:I44"/>
    <mergeCell ref="I45:I48"/>
    <mergeCell ref="I49:I52"/>
    <mergeCell ref="I53:I56"/>
    <mergeCell ref="I57:I61"/>
    <mergeCell ref="I62:I67"/>
    <mergeCell ref="I68:I73"/>
    <mergeCell ref="I74:I77"/>
    <mergeCell ref="I78:I83"/>
    <mergeCell ref="I84:I89"/>
    <mergeCell ref="I90:I94"/>
    <mergeCell ref="I95:I99"/>
    <mergeCell ref="I100:I104"/>
    <mergeCell ref="I106:I108"/>
    <mergeCell ref="I109:I113"/>
    <mergeCell ref="I114:I117"/>
    <mergeCell ref="I118:I122"/>
    <mergeCell ref="I123:I126"/>
    <mergeCell ref="I128:I131"/>
    <mergeCell ref="I132:I135"/>
    <mergeCell ref="I137:I140"/>
    <mergeCell ref="I141:I144"/>
    <mergeCell ref="I145:I148"/>
    <mergeCell ref="I149:I152"/>
    <mergeCell ref="I153:I156"/>
    <mergeCell ref="I157:I161"/>
    <mergeCell ref="I162:I168"/>
    <mergeCell ref="I169:I173"/>
    <mergeCell ref="I174:I177"/>
    <mergeCell ref="I178:I179"/>
    <mergeCell ref="I180:I182"/>
    <mergeCell ref="I183:I186"/>
    <mergeCell ref="I187:I188"/>
    <mergeCell ref="I189:I192"/>
    <mergeCell ref="I193:I196"/>
    <mergeCell ref="I197:I198"/>
    <mergeCell ref="I199:I202"/>
    <mergeCell ref="J3:J6"/>
    <mergeCell ref="J7:J12"/>
    <mergeCell ref="J13:J16"/>
    <mergeCell ref="J17:J20"/>
    <mergeCell ref="J21:J26"/>
    <mergeCell ref="J27:J30"/>
    <mergeCell ref="J31:J34"/>
    <mergeCell ref="J35:J40"/>
    <mergeCell ref="J41:J44"/>
    <mergeCell ref="J45:J48"/>
    <mergeCell ref="J49:J52"/>
    <mergeCell ref="J53:J56"/>
    <mergeCell ref="J57:J61"/>
    <mergeCell ref="J62:J67"/>
    <mergeCell ref="J68:J73"/>
    <mergeCell ref="J74:J77"/>
    <mergeCell ref="J78:J83"/>
    <mergeCell ref="J84:J89"/>
    <mergeCell ref="J90:J94"/>
    <mergeCell ref="J95:J99"/>
    <mergeCell ref="J100:J104"/>
    <mergeCell ref="J106:J108"/>
    <mergeCell ref="J109:J113"/>
    <mergeCell ref="J114:J117"/>
    <mergeCell ref="J118:J122"/>
    <mergeCell ref="J123:J126"/>
    <mergeCell ref="J128:J131"/>
    <mergeCell ref="J132:J135"/>
    <mergeCell ref="J137:J140"/>
    <mergeCell ref="J141:J144"/>
    <mergeCell ref="J145:J148"/>
    <mergeCell ref="J149:J152"/>
    <mergeCell ref="J153:J156"/>
    <mergeCell ref="J157:J161"/>
    <mergeCell ref="J162:J168"/>
    <mergeCell ref="J169:J173"/>
    <mergeCell ref="J174:J175"/>
    <mergeCell ref="J176:J177"/>
    <mergeCell ref="J178:J179"/>
    <mergeCell ref="J180:J182"/>
    <mergeCell ref="J184:J186"/>
    <mergeCell ref="J187:J188"/>
    <mergeCell ref="J189:J192"/>
    <mergeCell ref="J193:J196"/>
    <mergeCell ref="J197:J198"/>
    <mergeCell ref="J199:J202"/>
    <mergeCell ref="O3:O6"/>
    <mergeCell ref="O7:O12"/>
    <mergeCell ref="O17:O20"/>
    <mergeCell ref="O21:O26"/>
    <mergeCell ref="O27:O30"/>
    <mergeCell ref="O31:O34"/>
    <mergeCell ref="O35:O40"/>
    <mergeCell ref="O41:O44"/>
    <mergeCell ref="O45:O48"/>
    <mergeCell ref="O49:O52"/>
    <mergeCell ref="O53:O56"/>
    <mergeCell ref="O57:O61"/>
    <mergeCell ref="O62:O67"/>
    <mergeCell ref="O68:O73"/>
    <mergeCell ref="O74:O77"/>
    <mergeCell ref="O78:O83"/>
    <mergeCell ref="O84:O89"/>
    <mergeCell ref="O90:O94"/>
    <mergeCell ref="O95:O99"/>
    <mergeCell ref="O100:O103"/>
    <mergeCell ref="O106:O108"/>
    <mergeCell ref="O109:O113"/>
    <mergeCell ref="O114:O117"/>
    <mergeCell ref="O118:O122"/>
    <mergeCell ref="O123:O126"/>
    <mergeCell ref="O128:O131"/>
    <mergeCell ref="O132:O135"/>
    <mergeCell ref="O137:O140"/>
    <mergeCell ref="O141:O144"/>
    <mergeCell ref="O145:O148"/>
    <mergeCell ref="O149:O152"/>
    <mergeCell ref="O153:O156"/>
    <mergeCell ref="O157:O161"/>
    <mergeCell ref="O162:O168"/>
    <mergeCell ref="O199:O202"/>
    <mergeCell ref="O169:O173"/>
    <mergeCell ref="O174:O175"/>
    <mergeCell ref="O176:O177"/>
    <mergeCell ref="O178:O179"/>
    <mergeCell ref="O180:O182"/>
    <mergeCell ref="O184:O186"/>
    <mergeCell ref="O187:O188"/>
    <mergeCell ref="O189:O192"/>
    <mergeCell ref="O197:O198"/>
  </mergeCells>
  <phoneticPr fontId="18" type="noConversion"/>
  <conditionalFormatting sqref="F3:H192">
    <cfRule type="cellIs" dxfId="37" priority="1" stopIfTrue="1" operator="greaterThan">
      <formula>0</formula>
    </cfRule>
  </conditionalFormatting>
  <conditionalFormatting sqref="E141:E192 E3:E136">
    <cfRule type="cellIs" dxfId="36" priority="2" stopIfTrue="1" operator="greaterThan">
      <formula>0.3</formula>
    </cfRule>
  </conditionalFormatting>
  <conditionalFormatting sqref="N1 N3:N188 N203:N1048576 N190:N192">
    <cfRule type="cellIs" dxfId="35" priority="3" stopIfTrue="1" operator="greaterThan">
      <formula>14.9</formula>
    </cfRule>
  </conditionalFormatting>
  <conditionalFormatting sqref="F197:H202">
    <cfRule type="cellIs" dxfId="34" priority="4" stopIfTrue="1" operator="greaterThan">
      <formula>0</formula>
    </cfRule>
  </conditionalFormatting>
  <conditionalFormatting sqref="E197:E202">
    <cfRule type="cellIs" dxfId="33" priority="5" stopIfTrue="1" operator="greaterThan">
      <formula>0.3</formula>
    </cfRule>
  </conditionalFormatting>
  <conditionalFormatting sqref="N193 N197:N202">
    <cfRule type="cellIs" dxfId="32" priority="6" stopIfTrue="1" operator="greaterThan">
      <formula>14.9</formula>
    </cfRule>
  </conditionalFormatting>
  <conditionalFormatting sqref="F193:H196">
    <cfRule type="cellIs" dxfId="31" priority="7" stopIfTrue="1" operator="greaterThan">
      <formula>0</formula>
    </cfRule>
  </conditionalFormatting>
  <conditionalFormatting sqref="E193:E196">
    <cfRule type="cellIs" dxfId="30" priority="8" stopIfTrue="1" operator="greaterThan">
      <formula>0.3</formula>
    </cfRule>
  </conditionalFormatting>
  <conditionalFormatting sqref="N194:N196">
    <cfRule type="cellIs" dxfId="29" priority="9" stopIfTrue="1" operator="greaterThan">
      <formula>14.9</formula>
    </cfRule>
  </conditionalFormatting>
  <conditionalFormatting sqref="N189">
    <cfRule type="cellIs" dxfId="28" priority="10" stopIfTrue="1" operator="greaterThan">
      <formula>14.9</formula>
    </cfRule>
  </conditionalFormatting>
  <pageMargins left="0.69930555555555596" right="0.69930555555555596" top="0.75" bottom="0.75" header="0.3" footer="0.3"/>
  <pageSetup paperSize="9" scale="7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97"/>
  <sheetViews>
    <sheetView tabSelected="1" topLeftCell="A2" zoomScaleNormal="100" workbookViewId="0">
      <pane ySplit="1" topLeftCell="A3" activePane="bottomLeft" state="frozen"/>
      <selection pane="bottomLeft" activeCell="J176" sqref="J176"/>
    </sheetView>
  </sheetViews>
  <sheetFormatPr defaultColWidth="9" defaultRowHeight="11.25"/>
  <cols>
    <col min="1" max="1" width="9" style="270" customWidth="1"/>
    <col min="2" max="2" width="4.28515625" style="206" customWidth="1"/>
    <col min="3" max="3" width="5.28515625" style="206" customWidth="1"/>
    <col min="4" max="4" width="8" style="206" customWidth="1"/>
    <col min="5" max="8" width="6.28515625" style="206" customWidth="1"/>
    <col min="9" max="9" width="9.140625" style="206" customWidth="1"/>
    <col min="10" max="10" width="46.28515625" style="271" customWidth="1"/>
    <col min="11" max="11" width="32" style="271" customWidth="1"/>
    <col min="12" max="12" width="15.85546875" style="236" customWidth="1"/>
    <col min="13" max="13" width="6" style="206" customWidth="1"/>
    <col min="14" max="14" width="17.42578125" style="206" customWidth="1"/>
    <col min="15" max="15" width="11.28515625" style="206" customWidth="1"/>
    <col min="16" max="16384" width="9" style="206"/>
  </cols>
  <sheetData>
    <row r="1" spans="1:14">
      <c r="A1" s="483" t="s">
        <v>0</v>
      </c>
      <c r="B1" s="484"/>
      <c r="C1" s="484"/>
      <c r="D1" s="484"/>
      <c r="E1" s="484"/>
      <c r="F1" s="484"/>
      <c r="G1" s="484"/>
      <c r="H1" s="484"/>
      <c r="I1" s="484"/>
      <c r="J1" s="484"/>
      <c r="K1" s="484"/>
      <c r="L1" s="204" t="s">
        <v>1</v>
      </c>
      <c r="M1" s="205"/>
      <c r="N1" s="205"/>
    </row>
    <row r="2" spans="1:14" ht="23.25" thickBot="1">
      <c r="A2" s="207" t="s">
        <v>2</v>
      </c>
      <c r="B2" s="106" t="s">
        <v>3</v>
      </c>
      <c r="C2" s="106" t="s">
        <v>4</v>
      </c>
      <c r="D2" s="106" t="s">
        <v>5</v>
      </c>
      <c r="E2" s="106" t="s">
        <v>6</v>
      </c>
      <c r="F2" s="106" t="s">
        <v>294</v>
      </c>
      <c r="G2" s="106" t="s">
        <v>295</v>
      </c>
      <c r="H2" s="106" t="s">
        <v>296</v>
      </c>
      <c r="I2" s="106" t="s">
        <v>7</v>
      </c>
      <c r="J2" s="208" t="s">
        <v>9</v>
      </c>
      <c r="K2" s="208" t="s">
        <v>10</v>
      </c>
      <c r="L2" s="106" t="s">
        <v>299</v>
      </c>
      <c r="M2" s="140" t="s">
        <v>12</v>
      </c>
      <c r="N2" s="140" t="s">
        <v>641</v>
      </c>
    </row>
    <row r="3" spans="1:14" ht="33.75" hidden="1">
      <c r="A3" s="494" t="s">
        <v>493</v>
      </c>
      <c r="B3" s="294" t="s">
        <v>13</v>
      </c>
      <c r="C3" s="294">
        <v>12000</v>
      </c>
      <c r="D3" s="294">
        <v>6304</v>
      </c>
      <c r="E3" s="294">
        <v>0.11</v>
      </c>
      <c r="F3" s="431">
        <v>2</v>
      </c>
      <c r="G3" s="431">
        <v>0</v>
      </c>
      <c r="H3" s="431">
        <v>0</v>
      </c>
      <c r="I3" s="309" t="s">
        <v>245</v>
      </c>
      <c r="J3" s="110" t="s">
        <v>494</v>
      </c>
      <c r="K3" s="110" t="s">
        <v>495</v>
      </c>
      <c r="L3" s="194">
        <v>10</v>
      </c>
      <c r="M3" s="293">
        <v>40</v>
      </c>
      <c r="N3" s="293"/>
    </row>
    <row r="4" spans="1:14" ht="22.5" hidden="1">
      <c r="A4" s="495"/>
      <c r="B4" s="310"/>
      <c r="C4" s="310"/>
      <c r="D4" s="310"/>
      <c r="E4" s="310"/>
      <c r="F4" s="293"/>
      <c r="G4" s="293"/>
      <c r="H4" s="293"/>
      <c r="I4" s="308"/>
      <c r="J4" s="113" t="s">
        <v>496</v>
      </c>
      <c r="K4" s="113" t="s">
        <v>497</v>
      </c>
      <c r="L4" s="195">
        <v>17</v>
      </c>
      <c r="M4" s="293"/>
      <c r="N4" s="293"/>
    </row>
    <row r="5" spans="1:14" ht="22.5" hidden="1">
      <c r="A5" s="495"/>
      <c r="B5" s="310"/>
      <c r="C5" s="310"/>
      <c r="D5" s="310"/>
      <c r="E5" s="310"/>
      <c r="F5" s="293"/>
      <c r="G5" s="293"/>
      <c r="H5" s="293"/>
      <c r="I5" s="308"/>
      <c r="J5" s="209" t="s">
        <v>490</v>
      </c>
      <c r="K5" s="113" t="s">
        <v>491</v>
      </c>
      <c r="L5" s="195">
        <v>13</v>
      </c>
      <c r="M5" s="293"/>
      <c r="N5" s="293"/>
    </row>
    <row r="6" spans="1:14" hidden="1">
      <c r="A6" s="495"/>
      <c r="B6" s="310"/>
      <c r="C6" s="310"/>
      <c r="D6" s="310"/>
      <c r="E6" s="310"/>
      <c r="F6" s="294"/>
      <c r="G6" s="294"/>
      <c r="H6" s="294"/>
      <c r="I6" s="308"/>
      <c r="J6" s="209"/>
      <c r="K6" s="113"/>
      <c r="L6" s="195"/>
      <c r="M6" s="294"/>
      <c r="N6" s="294"/>
    </row>
    <row r="7" spans="1:14" ht="33.75" hidden="1">
      <c r="A7" s="495"/>
      <c r="B7" s="467" t="s">
        <v>14</v>
      </c>
      <c r="C7" s="302">
        <v>12000</v>
      </c>
      <c r="D7" s="291">
        <v>5807</v>
      </c>
      <c r="E7" s="291">
        <v>0.31</v>
      </c>
      <c r="F7" s="302">
        <v>0</v>
      </c>
      <c r="G7" s="302">
        <v>0</v>
      </c>
      <c r="H7" s="302">
        <v>0</v>
      </c>
      <c r="I7" s="291" t="s">
        <v>221</v>
      </c>
      <c r="J7" s="210" t="s">
        <v>498</v>
      </c>
      <c r="K7" s="211" t="s">
        <v>499</v>
      </c>
      <c r="L7" s="212"/>
      <c r="M7" s="454">
        <v>95</v>
      </c>
      <c r="N7" s="454"/>
    </row>
    <row r="8" spans="1:14" ht="22.5" hidden="1">
      <c r="A8" s="495"/>
      <c r="B8" s="467"/>
      <c r="C8" s="303"/>
      <c r="D8" s="291"/>
      <c r="E8" s="291"/>
      <c r="F8" s="303"/>
      <c r="G8" s="303"/>
      <c r="H8" s="303"/>
      <c r="I8" s="291"/>
      <c r="J8" s="213" t="s">
        <v>500</v>
      </c>
      <c r="K8" s="211" t="s">
        <v>501</v>
      </c>
      <c r="L8" s="214"/>
      <c r="M8" s="456"/>
      <c r="N8" s="456"/>
    </row>
    <row r="9" spans="1:14" ht="22.5" hidden="1">
      <c r="A9" s="495"/>
      <c r="B9" s="467"/>
      <c r="C9" s="303"/>
      <c r="D9" s="291"/>
      <c r="E9" s="291"/>
      <c r="F9" s="303"/>
      <c r="G9" s="303"/>
      <c r="H9" s="303"/>
      <c r="I9" s="291"/>
      <c r="J9" s="210" t="s">
        <v>502</v>
      </c>
      <c r="K9" s="215" t="s">
        <v>503</v>
      </c>
      <c r="L9" s="454">
        <v>30</v>
      </c>
      <c r="M9" s="456"/>
      <c r="N9" s="456"/>
    </row>
    <row r="10" spans="1:14" hidden="1">
      <c r="A10" s="495"/>
      <c r="B10" s="467"/>
      <c r="C10" s="303"/>
      <c r="D10" s="291"/>
      <c r="E10" s="291"/>
      <c r="F10" s="303"/>
      <c r="G10" s="303"/>
      <c r="H10" s="303"/>
      <c r="I10" s="291"/>
      <c r="J10" s="213" t="s">
        <v>504</v>
      </c>
      <c r="K10" s="215" t="s">
        <v>505</v>
      </c>
      <c r="L10" s="455"/>
      <c r="M10" s="456"/>
      <c r="N10" s="456"/>
    </row>
    <row r="11" spans="1:14" hidden="1">
      <c r="A11" s="495"/>
      <c r="B11" s="467"/>
      <c r="C11" s="303"/>
      <c r="D11" s="291"/>
      <c r="E11" s="291"/>
      <c r="F11" s="303"/>
      <c r="G11" s="303"/>
      <c r="H11" s="303"/>
      <c r="I11" s="291"/>
      <c r="J11" s="213"/>
      <c r="K11" s="211" t="s">
        <v>506</v>
      </c>
      <c r="L11" s="212">
        <v>20</v>
      </c>
      <c r="M11" s="456"/>
      <c r="N11" s="456"/>
    </row>
    <row r="12" spans="1:14" hidden="1">
      <c r="A12" s="495"/>
      <c r="B12" s="467"/>
      <c r="C12" s="304"/>
      <c r="D12" s="291"/>
      <c r="E12" s="291"/>
      <c r="F12" s="304"/>
      <c r="G12" s="304"/>
      <c r="H12" s="304"/>
      <c r="I12" s="291"/>
      <c r="J12" s="213"/>
      <c r="K12" s="211" t="s">
        <v>507</v>
      </c>
      <c r="L12" s="212">
        <v>45</v>
      </c>
      <c r="M12" s="455"/>
      <c r="N12" s="455"/>
    </row>
    <row r="13" spans="1:14" ht="22.5" hidden="1">
      <c r="A13" s="496"/>
      <c r="B13" s="292" t="s">
        <v>19</v>
      </c>
      <c r="C13" s="292">
        <v>12000</v>
      </c>
      <c r="D13" s="292">
        <v>10286</v>
      </c>
      <c r="E13" s="292">
        <v>0.39</v>
      </c>
      <c r="F13" s="292"/>
      <c r="G13" s="292">
        <v>0</v>
      </c>
      <c r="H13" s="292">
        <v>0</v>
      </c>
      <c r="I13" s="292" t="s">
        <v>28</v>
      </c>
      <c r="J13" s="48" t="s">
        <v>508</v>
      </c>
      <c r="K13" s="48" t="s">
        <v>509</v>
      </c>
      <c r="L13" s="216">
        <v>5</v>
      </c>
      <c r="M13" s="292"/>
      <c r="N13" s="292"/>
    </row>
    <row r="14" spans="1:14" hidden="1">
      <c r="A14" s="496"/>
      <c r="B14" s="292"/>
      <c r="C14" s="292"/>
      <c r="D14" s="292"/>
      <c r="E14" s="292"/>
      <c r="F14" s="292"/>
      <c r="G14" s="292"/>
      <c r="H14" s="292"/>
      <c r="I14" s="292"/>
      <c r="J14" s="217" t="s">
        <v>307</v>
      </c>
      <c r="K14" s="218" t="s">
        <v>308</v>
      </c>
      <c r="L14" s="219">
        <v>5</v>
      </c>
      <c r="M14" s="292"/>
      <c r="N14" s="292"/>
    </row>
    <row r="15" spans="1:14" hidden="1">
      <c r="A15" s="496"/>
      <c r="B15" s="292"/>
      <c r="C15" s="292"/>
      <c r="D15" s="292"/>
      <c r="E15" s="292"/>
      <c r="F15" s="292"/>
      <c r="G15" s="292"/>
      <c r="H15" s="292"/>
      <c r="I15" s="292"/>
      <c r="J15" s="220" t="s">
        <v>425</v>
      </c>
      <c r="K15" s="52" t="s">
        <v>418</v>
      </c>
      <c r="L15" s="221">
        <v>45</v>
      </c>
      <c r="M15" s="292"/>
      <c r="N15" s="292"/>
    </row>
    <row r="16" spans="1:14" hidden="1">
      <c r="A16" s="496"/>
      <c r="B16" s="292"/>
      <c r="C16" s="292"/>
      <c r="D16" s="292"/>
      <c r="E16" s="292"/>
      <c r="F16" s="292"/>
      <c r="G16" s="292"/>
      <c r="H16" s="292"/>
      <c r="I16" s="292"/>
      <c r="J16" s="218" t="s">
        <v>510</v>
      </c>
      <c r="K16" s="52"/>
      <c r="L16" s="197">
        <v>70</v>
      </c>
      <c r="M16" s="292"/>
      <c r="N16" s="292"/>
    </row>
    <row r="17" spans="1:14" hidden="1">
      <c r="A17" s="497" t="s">
        <v>511</v>
      </c>
      <c r="B17" s="294" t="s">
        <v>13</v>
      </c>
      <c r="C17" s="294">
        <v>12000</v>
      </c>
      <c r="D17" s="294"/>
      <c r="E17" s="294"/>
      <c r="F17" s="301">
        <v>0</v>
      </c>
      <c r="G17" s="301">
        <v>0</v>
      </c>
      <c r="H17" s="301">
        <v>0</v>
      </c>
      <c r="I17" s="309" t="s">
        <v>221</v>
      </c>
      <c r="J17" s="222" t="s">
        <v>512</v>
      </c>
      <c r="K17" s="110" t="s">
        <v>513</v>
      </c>
      <c r="L17" s="194">
        <v>30</v>
      </c>
      <c r="M17" s="293"/>
      <c r="N17" s="293"/>
    </row>
    <row r="18" spans="1:14" hidden="1">
      <c r="A18" s="498"/>
      <c r="B18" s="310"/>
      <c r="C18" s="310"/>
      <c r="D18" s="310"/>
      <c r="E18" s="310"/>
      <c r="F18" s="293"/>
      <c r="G18" s="293"/>
      <c r="H18" s="293"/>
      <c r="I18" s="308"/>
      <c r="J18" s="209" t="s">
        <v>514</v>
      </c>
      <c r="K18" s="113"/>
      <c r="L18" s="195">
        <v>40</v>
      </c>
      <c r="M18" s="293"/>
      <c r="N18" s="293"/>
    </row>
    <row r="19" spans="1:14" hidden="1">
      <c r="A19" s="498"/>
      <c r="B19" s="310"/>
      <c r="C19" s="310"/>
      <c r="D19" s="310"/>
      <c r="E19" s="310"/>
      <c r="F19" s="293"/>
      <c r="G19" s="293"/>
      <c r="H19" s="293"/>
      <c r="I19" s="308"/>
      <c r="J19" s="209" t="s">
        <v>515</v>
      </c>
      <c r="K19" s="113"/>
      <c r="L19" s="195"/>
      <c r="M19" s="293"/>
      <c r="N19" s="293"/>
    </row>
    <row r="20" spans="1:14" ht="22.5" hidden="1">
      <c r="A20" s="498"/>
      <c r="B20" s="310"/>
      <c r="C20" s="310"/>
      <c r="D20" s="310"/>
      <c r="E20" s="310"/>
      <c r="F20" s="294"/>
      <c r="G20" s="294"/>
      <c r="H20" s="294"/>
      <c r="I20" s="308"/>
      <c r="J20" s="195" t="s">
        <v>516</v>
      </c>
      <c r="K20" s="113"/>
      <c r="L20" s="195"/>
      <c r="M20" s="294"/>
      <c r="N20" s="294"/>
    </row>
    <row r="21" spans="1:14" ht="22.5" hidden="1">
      <c r="A21" s="498"/>
      <c r="B21" s="291" t="s">
        <v>14</v>
      </c>
      <c r="C21" s="302">
        <v>12000</v>
      </c>
      <c r="D21" s="291" t="s">
        <v>517</v>
      </c>
      <c r="E21" s="291">
        <v>0.28000000000000003</v>
      </c>
      <c r="F21" s="302">
        <v>9</v>
      </c>
      <c r="G21" s="302">
        <v>0</v>
      </c>
      <c r="H21" s="302">
        <v>0</v>
      </c>
      <c r="I21" s="291" t="s">
        <v>245</v>
      </c>
      <c r="J21" s="223" t="s">
        <v>518</v>
      </c>
      <c r="K21" s="223" t="s">
        <v>644</v>
      </c>
      <c r="L21" s="224"/>
      <c r="M21" s="454">
        <v>97</v>
      </c>
      <c r="N21" s="454"/>
    </row>
    <row r="22" spans="1:14" hidden="1">
      <c r="A22" s="498"/>
      <c r="B22" s="291"/>
      <c r="C22" s="303"/>
      <c r="D22" s="291"/>
      <c r="E22" s="291"/>
      <c r="F22" s="303"/>
      <c r="G22" s="303"/>
      <c r="H22" s="303"/>
      <c r="I22" s="291"/>
      <c r="J22" s="225" t="s">
        <v>519</v>
      </c>
      <c r="K22" s="213" t="s">
        <v>520</v>
      </c>
      <c r="L22" s="212">
        <v>45</v>
      </c>
      <c r="M22" s="456"/>
      <c r="N22" s="456"/>
    </row>
    <row r="23" spans="1:14" ht="22.5" hidden="1">
      <c r="A23" s="498"/>
      <c r="B23" s="291"/>
      <c r="C23" s="303"/>
      <c r="D23" s="291"/>
      <c r="E23" s="291"/>
      <c r="F23" s="303"/>
      <c r="G23" s="303"/>
      <c r="H23" s="303"/>
      <c r="I23" s="291"/>
      <c r="J23" s="210" t="s">
        <v>521</v>
      </c>
      <c r="K23" s="210" t="s">
        <v>522</v>
      </c>
      <c r="L23" s="212">
        <v>23</v>
      </c>
      <c r="M23" s="456"/>
      <c r="N23" s="456"/>
    </row>
    <row r="24" spans="1:14" ht="33.75" hidden="1">
      <c r="A24" s="498"/>
      <c r="B24" s="291"/>
      <c r="C24" s="303"/>
      <c r="D24" s="291"/>
      <c r="E24" s="291"/>
      <c r="F24" s="303"/>
      <c r="G24" s="303"/>
      <c r="H24" s="303"/>
      <c r="I24" s="291"/>
      <c r="J24" s="210" t="s">
        <v>523</v>
      </c>
      <c r="K24" s="210" t="s">
        <v>524</v>
      </c>
      <c r="L24" s="212">
        <v>29</v>
      </c>
      <c r="M24" s="456"/>
      <c r="N24" s="456"/>
    </row>
    <row r="25" spans="1:14" hidden="1">
      <c r="A25" s="498"/>
      <c r="B25" s="291"/>
      <c r="C25" s="303"/>
      <c r="D25" s="291"/>
      <c r="E25" s="291"/>
      <c r="F25" s="303"/>
      <c r="G25" s="303"/>
      <c r="H25" s="303"/>
      <c r="I25" s="291"/>
      <c r="J25" s="213"/>
      <c r="K25" s="213" t="s">
        <v>525</v>
      </c>
      <c r="L25" s="212"/>
      <c r="M25" s="456"/>
      <c r="N25" s="456"/>
    </row>
    <row r="26" spans="1:14" hidden="1">
      <c r="A26" s="498"/>
      <c r="B26" s="291"/>
      <c r="C26" s="304"/>
      <c r="D26" s="291"/>
      <c r="E26" s="291"/>
      <c r="F26" s="304"/>
      <c r="G26" s="304"/>
      <c r="H26" s="304"/>
      <c r="I26" s="291"/>
      <c r="J26" s="213"/>
      <c r="K26" s="213"/>
      <c r="L26" s="212"/>
      <c r="M26" s="455"/>
      <c r="N26" s="455"/>
    </row>
    <row r="27" spans="1:14" hidden="1">
      <c r="A27" s="498"/>
      <c r="B27" s="292" t="s">
        <v>19</v>
      </c>
      <c r="C27" s="292">
        <v>12000</v>
      </c>
      <c r="D27" s="292">
        <v>2974</v>
      </c>
      <c r="E27" s="292">
        <v>0.21</v>
      </c>
      <c r="F27" s="292">
        <v>0</v>
      </c>
      <c r="G27" s="292">
        <v>0</v>
      </c>
      <c r="H27" s="292">
        <v>0</v>
      </c>
      <c r="I27" s="292" t="s">
        <v>28</v>
      </c>
      <c r="J27" s="48" t="s">
        <v>526</v>
      </c>
      <c r="K27" s="48" t="s">
        <v>527</v>
      </c>
      <c r="L27" s="221">
        <v>2</v>
      </c>
      <c r="M27" s="298">
        <v>7</v>
      </c>
      <c r="N27" s="298"/>
    </row>
    <row r="28" spans="1:14" hidden="1">
      <c r="A28" s="498"/>
      <c r="B28" s="292"/>
      <c r="C28" s="292"/>
      <c r="D28" s="292"/>
      <c r="E28" s="292"/>
      <c r="F28" s="292"/>
      <c r="G28" s="292"/>
      <c r="H28" s="292"/>
      <c r="I28" s="292"/>
      <c r="J28" s="48" t="s">
        <v>528</v>
      </c>
      <c r="K28" s="48" t="s">
        <v>529</v>
      </c>
      <c r="L28" s="221">
        <v>5</v>
      </c>
      <c r="M28" s="299"/>
      <c r="N28" s="299"/>
    </row>
    <row r="29" spans="1:14" hidden="1">
      <c r="A29" s="498"/>
      <c r="B29" s="292"/>
      <c r="C29" s="292"/>
      <c r="D29" s="292"/>
      <c r="E29" s="292"/>
      <c r="F29" s="292"/>
      <c r="G29" s="292"/>
      <c r="H29" s="292"/>
      <c r="I29" s="292"/>
      <c r="J29" s="48" t="s">
        <v>530</v>
      </c>
      <c r="K29" s="48"/>
      <c r="L29" s="226"/>
      <c r="M29" s="299"/>
      <c r="N29" s="299"/>
    </row>
    <row r="30" spans="1:14" hidden="1">
      <c r="A30" s="494"/>
      <c r="B30" s="292"/>
      <c r="C30" s="292"/>
      <c r="D30" s="292"/>
      <c r="E30" s="292"/>
      <c r="F30" s="292"/>
      <c r="G30" s="292"/>
      <c r="H30" s="292"/>
      <c r="I30" s="292"/>
      <c r="J30" s="48"/>
      <c r="K30" s="48"/>
      <c r="L30" s="197"/>
      <c r="M30" s="300"/>
      <c r="N30" s="300"/>
    </row>
    <row r="31" spans="1:14" ht="22.5" hidden="1">
      <c r="A31" s="497" t="s">
        <v>531</v>
      </c>
      <c r="B31" s="294" t="s">
        <v>13</v>
      </c>
      <c r="C31" s="294">
        <v>12000</v>
      </c>
      <c r="D31" s="294">
        <v>3040</v>
      </c>
      <c r="E31" s="294">
        <v>0.51</v>
      </c>
      <c r="F31" s="301">
        <v>0</v>
      </c>
      <c r="G31" s="301">
        <v>0</v>
      </c>
      <c r="H31" s="301">
        <v>0</v>
      </c>
      <c r="I31" s="309" t="s">
        <v>532</v>
      </c>
      <c r="J31" s="209" t="s">
        <v>533</v>
      </c>
      <c r="K31" s="110"/>
      <c r="L31" s="194"/>
      <c r="M31" s="293">
        <v>80</v>
      </c>
      <c r="N31" s="293"/>
    </row>
    <row r="32" spans="1:14" hidden="1">
      <c r="A32" s="498"/>
      <c r="B32" s="310"/>
      <c r="C32" s="310"/>
      <c r="D32" s="310"/>
      <c r="E32" s="310"/>
      <c r="F32" s="293"/>
      <c r="G32" s="293"/>
      <c r="H32" s="293"/>
      <c r="I32" s="308"/>
      <c r="J32" s="209" t="s">
        <v>534</v>
      </c>
      <c r="K32" s="113" t="s">
        <v>535</v>
      </c>
      <c r="L32" s="195">
        <v>25</v>
      </c>
      <c r="M32" s="293"/>
      <c r="N32" s="293"/>
    </row>
    <row r="33" spans="1:14" hidden="1">
      <c r="A33" s="498"/>
      <c r="B33" s="310"/>
      <c r="C33" s="310"/>
      <c r="D33" s="310"/>
      <c r="E33" s="310"/>
      <c r="F33" s="293"/>
      <c r="G33" s="293"/>
      <c r="H33" s="293"/>
      <c r="I33" s="308"/>
      <c r="J33" s="209" t="s">
        <v>536</v>
      </c>
      <c r="K33" s="113" t="s">
        <v>537</v>
      </c>
      <c r="L33" s="195">
        <v>30</v>
      </c>
      <c r="M33" s="293"/>
      <c r="N33" s="293"/>
    </row>
    <row r="34" spans="1:14" hidden="1">
      <c r="A34" s="498"/>
      <c r="B34" s="310"/>
      <c r="C34" s="310"/>
      <c r="D34" s="310"/>
      <c r="E34" s="310"/>
      <c r="F34" s="294"/>
      <c r="G34" s="294"/>
      <c r="H34" s="294"/>
      <c r="I34" s="308"/>
      <c r="J34" s="209" t="s">
        <v>538</v>
      </c>
      <c r="K34" s="113" t="s">
        <v>539</v>
      </c>
      <c r="L34" s="195">
        <v>25</v>
      </c>
      <c r="M34" s="294"/>
      <c r="N34" s="294"/>
    </row>
    <row r="35" spans="1:14" hidden="1">
      <c r="A35" s="498"/>
      <c r="B35" s="291" t="s">
        <v>14</v>
      </c>
      <c r="C35" s="302">
        <v>12000</v>
      </c>
      <c r="D35" s="291"/>
      <c r="E35" s="291"/>
      <c r="F35" s="196"/>
      <c r="G35" s="196"/>
      <c r="H35" s="196"/>
      <c r="I35" s="291"/>
      <c r="J35" s="213"/>
      <c r="K35" s="213"/>
      <c r="L35" s="212"/>
      <c r="M35" s="439"/>
      <c r="N35" s="439"/>
    </row>
    <row r="36" spans="1:14" hidden="1">
      <c r="A36" s="498"/>
      <c r="B36" s="291"/>
      <c r="C36" s="303"/>
      <c r="D36" s="291"/>
      <c r="E36" s="291"/>
      <c r="F36" s="196"/>
      <c r="G36" s="196"/>
      <c r="H36" s="196"/>
      <c r="I36" s="291"/>
      <c r="J36" s="213"/>
      <c r="K36" s="213"/>
      <c r="L36" s="212"/>
      <c r="M36" s="436"/>
      <c r="N36" s="436"/>
    </row>
    <row r="37" spans="1:14" hidden="1">
      <c r="A37" s="498"/>
      <c r="B37" s="291"/>
      <c r="C37" s="303"/>
      <c r="D37" s="291"/>
      <c r="E37" s="291"/>
      <c r="F37" s="196"/>
      <c r="G37" s="196"/>
      <c r="H37" s="196"/>
      <c r="I37" s="291"/>
      <c r="J37" s="213"/>
      <c r="K37" s="213"/>
      <c r="L37" s="212"/>
      <c r="M37" s="436"/>
      <c r="N37" s="436"/>
    </row>
    <row r="38" spans="1:14" hidden="1">
      <c r="A38" s="498"/>
      <c r="B38" s="291"/>
      <c r="C38" s="303"/>
      <c r="D38" s="291"/>
      <c r="E38" s="291"/>
      <c r="F38" s="196"/>
      <c r="G38" s="196"/>
      <c r="H38" s="196"/>
      <c r="I38" s="291"/>
      <c r="J38" s="213"/>
      <c r="K38" s="213"/>
      <c r="L38" s="212"/>
      <c r="M38" s="436"/>
      <c r="N38" s="436"/>
    </row>
    <row r="39" spans="1:14" hidden="1">
      <c r="A39" s="498"/>
      <c r="B39" s="291"/>
      <c r="C39" s="303"/>
      <c r="D39" s="291"/>
      <c r="E39" s="291"/>
      <c r="F39" s="196"/>
      <c r="G39" s="196"/>
      <c r="H39" s="196"/>
      <c r="I39" s="291"/>
      <c r="J39" s="213"/>
      <c r="K39" s="213"/>
      <c r="L39" s="212"/>
      <c r="M39" s="436"/>
      <c r="N39" s="436"/>
    </row>
    <row r="40" spans="1:14" hidden="1">
      <c r="A40" s="498"/>
      <c r="B40" s="291"/>
      <c r="C40" s="304"/>
      <c r="D40" s="291"/>
      <c r="E40" s="291"/>
      <c r="F40" s="196"/>
      <c r="G40" s="196"/>
      <c r="H40" s="196"/>
      <c r="I40" s="291"/>
      <c r="J40" s="213"/>
      <c r="K40" s="213"/>
      <c r="L40" s="212"/>
      <c r="M40" s="440"/>
      <c r="N40" s="440"/>
    </row>
    <row r="41" spans="1:14" hidden="1">
      <c r="A41" s="498"/>
      <c r="B41" s="292" t="s">
        <v>19</v>
      </c>
      <c r="C41" s="292">
        <v>12000</v>
      </c>
      <c r="D41" s="292">
        <v>5624</v>
      </c>
      <c r="E41" s="292">
        <v>0.3</v>
      </c>
      <c r="F41" s="292">
        <v>0</v>
      </c>
      <c r="G41" s="292">
        <v>0</v>
      </c>
      <c r="H41" s="292">
        <v>0</v>
      </c>
      <c r="I41" s="292" t="s">
        <v>28</v>
      </c>
      <c r="J41" s="48" t="s">
        <v>540</v>
      </c>
      <c r="K41" s="48" t="s">
        <v>541</v>
      </c>
      <c r="L41" s="221">
        <v>180</v>
      </c>
      <c r="M41" s="298"/>
      <c r="N41" s="298"/>
    </row>
    <row r="42" spans="1:14" ht="33.75" hidden="1">
      <c r="A42" s="498"/>
      <c r="B42" s="292"/>
      <c r="C42" s="292"/>
      <c r="D42" s="292"/>
      <c r="E42" s="292"/>
      <c r="F42" s="292"/>
      <c r="G42" s="292"/>
      <c r="H42" s="292"/>
      <c r="I42" s="292"/>
      <c r="J42" s="48" t="s">
        <v>542</v>
      </c>
      <c r="K42" s="48" t="s">
        <v>543</v>
      </c>
      <c r="L42" s="226"/>
      <c r="M42" s="299"/>
      <c r="N42" s="299"/>
    </row>
    <row r="43" spans="1:14" ht="22.5" hidden="1">
      <c r="A43" s="498"/>
      <c r="B43" s="292"/>
      <c r="C43" s="292"/>
      <c r="D43" s="292"/>
      <c r="E43" s="292"/>
      <c r="F43" s="292"/>
      <c r="G43" s="292"/>
      <c r="H43" s="292"/>
      <c r="I43" s="292"/>
      <c r="J43" s="48" t="s">
        <v>544</v>
      </c>
      <c r="K43" s="48" t="s">
        <v>545</v>
      </c>
      <c r="L43" s="226"/>
      <c r="M43" s="299"/>
      <c r="N43" s="299"/>
    </row>
    <row r="44" spans="1:14" hidden="1">
      <c r="A44" s="494"/>
      <c r="B44" s="292"/>
      <c r="C44" s="292"/>
      <c r="D44" s="292"/>
      <c r="E44" s="292"/>
      <c r="F44" s="292"/>
      <c r="G44" s="292"/>
      <c r="H44" s="292"/>
      <c r="I44" s="292"/>
      <c r="J44" s="52"/>
      <c r="K44" s="52" t="s">
        <v>546</v>
      </c>
      <c r="L44" s="197"/>
      <c r="M44" s="300"/>
      <c r="N44" s="300"/>
    </row>
    <row r="45" spans="1:14" hidden="1">
      <c r="A45" s="494" t="s">
        <v>547</v>
      </c>
      <c r="B45" s="294" t="s">
        <v>13</v>
      </c>
      <c r="C45" s="294">
        <v>12000</v>
      </c>
      <c r="D45" s="294">
        <v>5200</v>
      </c>
      <c r="E45" s="294">
        <v>0.28999999999999998</v>
      </c>
      <c r="F45" s="301">
        <v>0</v>
      </c>
      <c r="G45" s="301">
        <v>0</v>
      </c>
      <c r="H45" s="301">
        <v>0</v>
      </c>
      <c r="I45" s="465" t="s">
        <v>245</v>
      </c>
      <c r="J45" s="222" t="s">
        <v>548</v>
      </c>
      <c r="K45" s="110" t="s">
        <v>549</v>
      </c>
      <c r="L45" s="194">
        <v>11</v>
      </c>
      <c r="M45" s="293">
        <v>41</v>
      </c>
      <c r="N45" s="293"/>
    </row>
    <row r="46" spans="1:14" hidden="1">
      <c r="A46" s="495"/>
      <c r="B46" s="310"/>
      <c r="C46" s="310"/>
      <c r="D46" s="310"/>
      <c r="E46" s="310"/>
      <c r="F46" s="293"/>
      <c r="G46" s="293"/>
      <c r="H46" s="293"/>
      <c r="I46" s="466"/>
      <c r="J46" s="209" t="s">
        <v>550</v>
      </c>
      <c r="K46" s="113" t="s">
        <v>551</v>
      </c>
      <c r="L46" s="195">
        <v>17</v>
      </c>
      <c r="M46" s="293"/>
      <c r="N46" s="293"/>
    </row>
    <row r="47" spans="1:14" ht="22.5" hidden="1">
      <c r="A47" s="495"/>
      <c r="B47" s="310"/>
      <c r="C47" s="310"/>
      <c r="D47" s="310"/>
      <c r="E47" s="310"/>
      <c r="F47" s="293"/>
      <c r="G47" s="293"/>
      <c r="H47" s="293"/>
      <c r="I47" s="466"/>
      <c r="J47" s="113" t="s">
        <v>552</v>
      </c>
      <c r="K47" s="113" t="s">
        <v>553</v>
      </c>
      <c r="L47" s="195">
        <v>13</v>
      </c>
      <c r="M47" s="293"/>
      <c r="N47" s="293"/>
    </row>
    <row r="48" spans="1:14" hidden="1">
      <c r="A48" s="495"/>
      <c r="B48" s="310"/>
      <c r="C48" s="310"/>
      <c r="D48" s="310"/>
      <c r="E48" s="310"/>
      <c r="F48" s="294"/>
      <c r="G48" s="294"/>
      <c r="H48" s="294"/>
      <c r="I48" s="309"/>
      <c r="J48" s="209" t="s">
        <v>554</v>
      </c>
      <c r="K48" s="113" t="s">
        <v>555</v>
      </c>
      <c r="L48" s="195"/>
      <c r="M48" s="294"/>
      <c r="N48" s="294"/>
    </row>
    <row r="49" spans="1:14" hidden="1">
      <c r="A49" s="495"/>
      <c r="B49" s="291" t="s">
        <v>14</v>
      </c>
      <c r="C49" s="302">
        <v>12000</v>
      </c>
      <c r="D49" s="291">
        <v>5950</v>
      </c>
      <c r="E49" s="291">
        <v>0.24</v>
      </c>
      <c r="F49" s="302">
        <v>0</v>
      </c>
      <c r="G49" s="302">
        <v>0</v>
      </c>
      <c r="H49" s="302">
        <v>0</v>
      </c>
      <c r="I49" s="291" t="s">
        <v>556</v>
      </c>
      <c r="J49" s="213" t="s">
        <v>557</v>
      </c>
      <c r="K49" s="213" t="s">
        <v>558</v>
      </c>
      <c r="L49" s="212"/>
      <c r="M49" s="454"/>
      <c r="N49" s="454"/>
    </row>
    <row r="50" spans="1:14" hidden="1">
      <c r="A50" s="495"/>
      <c r="B50" s="291"/>
      <c r="C50" s="303"/>
      <c r="D50" s="291"/>
      <c r="E50" s="291"/>
      <c r="F50" s="303"/>
      <c r="G50" s="303"/>
      <c r="H50" s="303"/>
      <c r="I50" s="291"/>
      <c r="J50" s="213"/>
      <c r="K50" s="213"/>
      <c r="L50" s="212"/>
      <c r="M50" s="456"/>
      <c r="N50" s="456"/>
    </row>
    <row r="51" spans="1:14" hidden="1">
      <c r="A51" s="495"/>
      <c r="B51" s="291"/>
      <c r="C51" s="303"/>
      <c r="D51" s="291"/>
      <c r="E51" s="291"/>
      <c r="F51" s="303"/>
      <c r="G51" s="303"/>
      <c r="H51" s="303"/>
      <c r="I51" s="291"/>
      <c r="J51" s="213"/>
      <c r="K51" s="213"/>
      <c r="L51" s="212"/>
      <c r="M51" s="456"/>
      <c r="N51" s="456"/>
    </row>
    <row r="52" spans="1:14" hidden="1">
      <c r="A52" s="495"/>
      <c r="B52" s="291"/>
      <c r="C52" s="303"/>
      <c r="D52" s="291"/>
      <c r="E52" s="291"/>
      <c r="F52" s="304"/>
      <c r="G52" s="304"/>
      <c r="H52" s="304"/>
      <c r="I52" s="291"/>
      <c r="J52" s="213"/>
      <c r="K52" s="213"/>
      <c r="L52" s="212"/>
      <c r="M52" s="456"/>
      <c r="N52" s="456"/>
    </row>
    <row r="53" spans="1:14" hidden="1">
      <c r="A53" s="496"/>
      <c r="B53" s="292" t="s">
        <v>19</v>
      </c>
      <c r="C53" s="292">
        <v>12000</v>
      </c>
      <c r="D53" s="292">
        <v>250</v>
      </c>
      <c r="E53" s="292">
        <v>0.01</v>
      </c>
      <c r="F53" s="292">
        <v>0</v>
      </c>
      <c r="G53" s="292">
        <v>0</v>
      </c>
      <c r="H53" s="292">
        <v>0</v>
      </c>
      <c r="I53" s="292" t="s">
        <v>28</v>
      </c>
      <c r="J53" s="48"/>
      <c r="K53" s="48"/>
      <c r="L53" s="226"/>
      <c r="M53" s="298"/>
      <c r="N53" s="298"/>
    </row>
    <row r="54" spans="1:14" hidden="1">
      <c r="A54" s="496"/>
      <c r="B54" s="292"/>
      <c r="C54" s="292"/>
      <c r="D54" s="292"/>
      <c r="E54" s="292"/>
      <c r="F54" s="292"/>
      <c r="G54" s="292"/>
      <c r="H54" s="292"/>
      <c r="I54" s="292"/>
      <c r="J54" s="48" t="s">
        <v>559</v>
      </c>
      <c r="K54" s="48" t="s">
        <v>560</v>
      </c>
      <c r="L54" s="226"/>
      <c r="M54" s="299"/>
      <c r="N54" s="299"/>
    </row>
    <row r="55" spans="1:14" hidden="1">
      <c r="A55" s="496"/>
      <c r="B55" s="292"/>
      <c r="C55" s="292"/>
      <c r="D55" s="292"/>
      <c r="E55" s="292"/>
      <c r="F55" s="292"/>
      <c r="G55" s="292"/>
      <c r="H55" s="292"/>
      <c r="I55" s="292"/>
      <c r="J55" s="48" t="s">
        <v>561</v>
      </c>
      <c r="K55" s="48" t="s">
        <v>562</v>
      </c>
      <c r="L55" s="226"/>
      <c r="M55" s="299"/>
      <c r="N55" s="299"/>
    </row>
    <row r="56" spans="1:14" hidden="1">
      <c r="A56" s="496"/>
      <c r="B56" s="292"/>
      <c r="C56" s="292"/>
      <c r="D56" s="292"/>
      <c r="E56" s="292"/>
      <c r="F56" s="292"/>
      <c r="G56" s="292"/>
      <c r="H56" s="292"/>
      <c r="I56" s="292"/>
      <c r="J56" s="52"/>
      <c r="K56" s="52"/>
      <c r="L56" s="197"/>
      <c r="M56" s="300"/>
      <c r="N56" s="300"/>
    </row>
    <row r="57" spans="1:14" hidden="1">
      <c r="A57" s="494" t="s">
        <v>563</v>
      </c>
      <c r="B57" s="294" t="s">
        <v>13</v>
      </c>
      <c r="C57" s="294">
        <v>12000</v>
      </c>
      <c r="D57" s="294">
        <v>9050</v>
      </c>
      <c r="E57" s="294">
        <v>0.17</v>
      </c>
      <c r="F57" s="301">
        <v>0</v>
      </c>
      <c r="G57" s="301">
        <v>0</v>
      </c>
      <c r="H57" s="301">
        <v>0</v>
      </c>
      <c r="I57" s="309" t="s">
        <v>245</v>
      </c>
      <c r="J57" s="222" t="s">
        <v>550</v>
      </c>
      <c r="K57" s="110" t="s">
        <v>564</v>
      </c>
      <c r="L57" s="194">
        <v>19</v>
      </c>
      <c r="M57" s="293">
        <v>36</v>
      </c>
      <c r="N57" s="293"/>
    </row>
    <row r="58" spans="1:14" ht="22.5" hidden="1">
      <c r="A58" s="495"/>
      <c r="B58" s="310"/>
      <c r="C58" s="310"/>
      <c r="D58" s="310"/>
      <c r="E58" s="310"/>
      <c r="F58" s="293"/>
      <c r="G58" s="293"/>
      <c r="H58" s="293"/>
      <c r="I58" s="308"/>
      <c r="J58" s="113" t="s">
        <v>557</v>
      </c>
      <c r="K58" s="113" t="s">
        <v>565</v>
      </c>
      <c r="L58" s="195">
        <v>17</v>
      </c>
      <c r="M58" s="293"/>
      <c r="N58" s="293"/>
    </row>
    <row r="59" spans="1:14" hidden="1">
      <c r="A59" s="495"/>
      <c r="B59" s="310"/>
      <c r="C59" s="310"/>
      <c r="D59" s="310"/>
      <c r="E59" s="310"/>
      <c r="F59" s="293"/>
      <c r="G59" s="293"/>
      <c r="H59" s="293"/>
      <c r="I59" s="308"/>
      <c r="J59" s="209" t="s">
        <v>566</v>
      </c>
      <c r="K59" s="113" t="s">
        <v>177</v>
      </c>
      <c r="L59" s="195"/>
      <c r="M59" s="293"/>
      <c r="N59" s="293"/>
    </row>
    <row r="60" spans="1:14" hidden="1">
      <c r="A60" s="495"/>
      <c r="B60" s="310"/>
      <c r="C60" s="310"/>
      <c r="D60" s="310"/>
      <c r="E60" s="310"/>
      <c r="F60" s="293"/>
      <c r="G60" s="293"/>
      <c r="H60" s="293"/>
      <c r="I60" s="308"/>
      <c r="J60" s="209"/>
      <c r="K60" s="113"/>
      <c r="L60" s="195"/>
      <c r="M60" s="293"/>
      <c r="N60" s="293"/>
    </row>
    <row r="61" spans="1:14" hidden="1">
      <c r="A61" s="495"/>
      <c r="B61" s="310"/>
      <c r="C61" s="310"/>
      <c r="D61" s="310"/>
      <c r="E61" s="310"/>
      <c r="F61" s="294"/>
      <c r="G61" s="294"/>
      <c r="H61" s="294"/>
      <c r="I61" s="308"/>
      <c r="J61" s="209"/>
      <c r="K61" s="113"/>
      <c r="L61" s="195"/>
      <c r="M61" s="294"/>
      <c r="N61" s="294"/>
    </row>
    <row r="62" spans="1:14" hidden="1">
      <c r="A62" s="495"/>
      <c r="B62" s="291" t="s">
        <v>14</v>
      </c>
      <c r="C62" s="302">
        <v>12000</v>
      </c>
      <c r="D62" s="291">
        <v>11080</v>
      </c>
      <c r="E62" s="291">
        <v>0.8</v>
      </c>
      <c r="F62" s="302">
        <v>0</v>
      </c>
      <c r="G62" s="302">
        <v>0</v>
      </c>
      <c r="H62" s="302">
        <v>0</v>
      </c>
      <c r="I62" s="291" t="s">
        <v>567</v>
      </c>
      <c r="J62" s="36" t="s">
        <v>645</v>
      </c>
      <c r="K62" s="213" t="s">
        <v>568</v>
      </c>
      <c r="L62" s="212">
        <v>5</v>
      </c>
      <c r="M62" s="439">
        <v>25</v>
      </c>
      <c r="N62" s="439"/>
    </row>
    <row r="63" spans="1:14" hidden="1">
      <c r="A63" s="495"/>
      <c r="B63" s="291"/>
      <c r="C63" s="303"/>
      <c r="D63" s="291"/>
      <c r="E63" s="291"/>
      <c r="F63" s="303"/>
      <c r="G63" s="303"/>
      <c r="H63" s="303"/>
      <c r="I63" s="291"/>
      <c r="J63" s="37" t="s">
        <v>569</v>
      </c>
      <c r="K63" s="38" t="s">
        <v>646</v>
      </c>
      <c r="L63" s="212">
        <v>15</v>
      </c>
      <c r="M63" s="436"/>
      <c r="N63" s="436"/>
    </row>
    <row r="64" spans="1:14" ht="22.5" hidden="1">
      <c r="A64" s="495"/>
      <c r="B64" s="291"/>
      <c r="C64" s="303"/>
      <c r="D64" s="291"/>
      <c r="E64" s="291"/>
      <c r="F64" s="303"/>
      <c r="G64" s="303"/>
      <c r="H64" s="303"/>
      <c r="I64" s="291"/>
      <c r="J64" s="37" t="s">
        <v>570</v>
      </c>
      <c r="K64" s="213" t="s">
        <v>571</v>
      </c>
      <c r="L64" s="212">
        <v>5</v>
      </c>
      <c r="M64" s="436"/>
      <c r="N64" s="436"/>
    </row>
    <row r="65" spans="1:14" hidden="1">
      <c r="A65" s="495"/>
      <c r="B65" s="291"/>
      <c r="C65" s="304"/>
      <c r="D65" s="291"/>
      <c r="E65" s="291"/>
      <c r="F65" s="304"/>
      <c r="G65" s="304"/>
      <c r="H65" s="304"/>
      <c r="I65" s="291"/>
      <c r="J65" s="213"/>
      <c r="K65" s="213"/>
      <c r="L65" s="212"/>
      <c r="M65" s="440"/>
      <c r="N65" s="440"/>
    </row>
    <row r="66" spans="1:14" hidden="1">
      <c r="A66" s="496"/>
      <c r="B66" s="292" t="s">
        <v>19</v>
      </c>
      <c r="C66" s="292">
        <v>12000</v>
      </c>
      <c r="D66" s="292">
        <v>10240</v>
      </c>
      <c r="E66" s="292">
        <v>0.3</v>
      </c>
      <c r="F66" s="292">
        <v>0</v>
      </c>
      <c r="G66" s="292">
        <v>0</v>
      </c>
      <c r="H66" s="292">
        <v>0</v>
      </c>
      <c r="I66" s="292" t="s">
        <v>28</v>
      </c>
      <c r="J66" s="48" t="s">
        <v>572</v>
      </c>
      <c r="K66" s="48" t="s">
        <v>573</v>
      </c>
      <c r="L66" s="197">
        <v>5</v>
      </c>
      <c r="M66" s="298">
        <v>50</v>
      </c>
      <c r="N66" s="298"/>
    </row>
    <row r="67" spans="1:14" hidden="1">
      <c r="A67" s="496"/>
      <c r="B67" s="292"/>
      <c r="C67" s="292"/>
      <c r="D67" s="292"/>
      <c r="E67" s="292"/>
      <c r="F67" s="292"/>
      <c r="G67" s="292"/>
      <c r="H67" s="292"/>
      <c r="I67" s="292"/>
      <c r="J67" s="48" t="s">
        <v>574</v>
      </c>
      <c r="K67" s="48" t="s">
        <v>575</v>
      </c>
      <c r="L67" s="197">
        <v>5</v>
      </c>
      <c r="M67" s="299"/>
      <c r="N67" s="299"/>
    </row>
    <row r="68" spans="1:14" hidden="1">
      <c r="A68" s="496"/>
      <c r="B68" s="292"/>
      <c r="C68" s="292"/>
      <c r="D68" s="292"/>
      <c r="E68" s="292"/>
      <c r="F68" s="292"/>
      <c r="G68" s="292"/>
      <c r="H68" s="292"/>
      <c r="I68" s="292"/>
      <c r="J68" s="227" t="s">
        <v>379</v>
      </c>
      <c r="K68" s="228" t="s">
        <v>380</v>
      </c>
      <c r="L68" s="197">
        <v>30</v>
      </c>
      <c r="M68" s="299"/>
      <c r="N68" s="299"/>
    </row>
    <row r="69" spans="1:14" hidden="1">
      <c r="A69" s="496"/>
      <c r="B69" s="292"/>
      <c r="C69" s="292"/>
      <c r="D69" s="292"/>
      <c r="E69" s="292"/>
      <c r="F69" s="292"/>
      <c r="G69" s="292"/>
      <c r="H69" s="292"/>
      <c r="I69" s="292"/>
      <c r="J69" s="48" t="s">
        <v>576</v>
      </c>
      <c r="K69" s="48" t="s">
        <v>529</v>
      </c>
      <c r="L69" s="197">
        <v>10</v>
      </c>
      <c r="M69" s="299"/>
      <c r="N69" s="299"/>
    </row>
    <row r="70" spans="1:14" hidden="1">
      <c r="A70" s="496"/>
      <c r="B70" s="292"/>
      <c r="C70" s="292"/>
      <c r="D70" s="292"/>
      <c r="E70" s="292"/>
      <c r="F70" s="197"/>
      <c r="G70" s="197"/>
      <c r="H70" s="197"/>
      <c r="I70" s="292"/>
      <c r="J70" s="48"/>
      <c r="K70" s="48"/>
      <c r="L70" s="197"/>
      <c r="M70" s="299"/>
      <c r="N70" s="299"/>
    </row>
    <row r="71" spans="1:14" hidden="1">
      <c r="A71" s="496"/>
      <c r="B71" s="292"/>
      <c r="C71" s="292"/>
      <c r="D71" s="292"/>
      <c r="E71" s="292"/>
      <c r="F71" s="197"/>
      <c r="G71" s="197"/>
      <c r="H71" s="197"/>
      <c r="I71" s="292"/>
      <c r="J71" s="52"/>
      <c r="K71" s="52"/>
      <c r="L71" s="197"/>
      <c r="M71" s="300"/>
      <c r="N71" s="300"/>
    </row>
    <row r="72" spans="1:14" ht="22.5" hidden="1">
      <c r="A72" s="499"/>
      <c r="B72" s="471" t="s">
        <v>13</v>
      </c>
      <c r="C72" s="471">
        <v>12000</v>
      </c>
      <c r="D72" s="471">
        <v>0</v>
      </c>
      <c r="E72" s="471">
        <v>0</v>
      </c>
      <c r="F72" s="469">
        <v>0</v>
      </c>
      <c r="G72" s="469">
        <v>0</v>
      </c>
      <c r="H72" s="469">
        <v>0</v>
      </c>
      <c r="I72" s="449" t="s">
        <v>245</v>
      </c>
      <c r="J72" s="447" t="s">
        <v>577</v>
      </c>
      <c r="K72" s="229" t="s">
        <v>578</v>
      </c>
      <c r="L72" s="195"/>
      <c r="M72" s="293"/>
      <c r="N72" s="293"/>
    </row>
    <row r="73" spans="1:14" hidden="1">
      <c r="A73" s="500"/>
      <c r="B73" s="476"/>
      <c r="C73" s="476"/>
      <c r="D73" s="476"/>
      <c r="E73" s="476"/>
      <c r="F73" s="470"/>
      <c r="G73" s="470"/>
      <c r="H73" s="470"/>
      <c r="I73" s="468"/>
      <c r="J73" s="448"/>
      <c r="K73" s="229" t="s">
        <v>579</v>
      </c>
      <c r="L73" s="195"/>
      <c r="M73" s="293"/>
      <c r="N73" s="293"/>
    </row>
    <row r="74" spans="1:14" hidden="1">
      <c r="A74" s="500"/>
      <c r="B74" s="476"/>
      <c r="C74" s="476"/>
      <c r="D74" s="476"/>
      <c r="E74" s="476"/>
      <c r="F74" s="470"/>
      <c r="G74" s="470"/>
      <c r="H74" s="470"/>
      <c r="I74" s="468"/>
      <c r="J74" s="448"/>
      <c r="K74" s="229" t="s">
        <v>580</v>
      </c>
      <c r="L74" s="195"/>
      <c r="M74" s="293"/>
      <c r="N74" s="293"/>
    </row>
    <row r="75" spans="1:14" hidden="1">
      <c r="A75" s="500"/>
      <c r="B75" s="476"/>
      <c r="C75" s="476"/>
      <c r="D75" s="476"/>
      <c r="E75" s="476"/>
      <c r="F75" s="471"/>
      <c r="G75" s="471"/>
      <c r="H75" s="471"/>
      <c r="I75" s="468"/>
      <c r="J75" s="449"/>
      <c r="K75" s="195"/>
      <c r="L75" s="195"/>
      <c r="M75" s="294"/>
      <c r="N75" s="294"/>
    </row>
    <row r="76" spans="1:14" hidden="1">
      <c r="A76" s="500"/>
      <c r="B76" s="467" t="s">
        <v>14</v>
      </c>
      <c r="C76" s="472">
        <v>12000</v>
      </c>
      <c r="D76" s="467">
        <v>0</v>
      </c>
      <c r="E76" s="467">
        <v>0</v>
      </c>
      <c r="F76" s="472">
        <v>0</v>
      </c>
      <c r="G76" s="472">
        <v>0</v>
      </c>
      <c r="H76" s="472">
        <v>0</v>
      </c>
      <c r="I76" s="467" t="s">
        <v>221</v>
      </c>
      <c r="J76" s="450" t="s">
        <v>577</v>
      </c>
      <c r="K76" s="452"/>
      <c r="L76" s="454"/>
      <c r="M76" s="439"/>
      <c r="N76" s="439"/>
    </row>
    <row r="77" spans="1:14" hidden="1">
      <c r="A77" s="500"/>
      <c r="B77" s="467"/>
      <c r="C77" s="473"/>
      <c r="D77" s="467"/>
      <c r="E77" s="467"/>
      <c r="F77" s="473"/>
      <c r="G77" s="473"/>
      <c r="H77" s="473"/>
      <c r="I77" s="467"/>
      <c r="J77" s="451"/>
      <c r="K77" s="453"/>
      <c r="L77" s="455"/>
      <c r="M77" s="436"/>
      <c r="N77" s="436"/>
    </row>
    <row r="78" spans="1:14" hidden="1">
      <c r="A78" s="501"/>
      <c r="B78" s="292" t="s">
        <v>19</v>
      </c>
      <c r="C78" s="292">
        <v>12000</v>
      </c>
      <c r="D78" s="477">
        <v>4439</v>
      </c>
      <c r="E78" s="477">
        <v>0.28999999999999998</v>
      </c>
      <c r="F78" s="292">
        <v>0</v>
      </c>
      <c r="G78" s="292">
        <v>0</v>
      </c>
      <c r="H78" s="292">
        <v>0</v>
      </c>
      <c r="I78" s="292" t="s">
        <v>28</v>
      </c>
      <c r="J78" s="230" t="s">
        <v>581</v>
      </c>
      <c r="K78" s="230" t="s">
        <v>582</v>
      </c>
      <c r="L78" s="197">
        <v>2</v>
      </c>
      <c r="M78" s="298"/>
      <c r="N78" s="298"/>
    </row>
    <row r="79" spans="1:14" ht="22.5" hidden="1">
      <c r="A79" s="501"/>
      <c r="B79" s="292"/>
      <c r="C79" s="292"/>
      <c r="D79" s="477"/>
      <c r="E79" s="477"/>
      <c r="F79" s="292"/>
      <c r="G79" s="292"/>
      <c r="H79" s="292"/>
      <c r="I79" s="292"/>
      <c r="J79" s="230" t="s">
        <v>425</v>
      </c>
      <c r="K79" s="230" t="s">
        <v>583</v>
      </c>
      <c r="L79" s="197">
        <v>65</v>
      </c>
      <c r="M79" s="299"/>
      <c r="N79" s="299"/>
    </row>
    <row r="80" spans="1:14" hidden="1">
      <c r="A80" s="501"/>
      <c r="B80" s="292"/>
      <c r="C80" s="292"/>
      <c r="D80" s="477"/>
      <c r="E80" s="477"/>
      <c r="F80" s="292"/>
      <c r="G80" s="292"/>
      <c r="H80" s="292"/>
      <c r="I80" s="292"/>
      <c r="J80" s="230" t="s">
        <v>528</v>
      </c>
      <c r="K80" s="230" t="s">
        <v>529</v>
      </c>
      <c r="L80" s="197">
        <v>8</v>
      </c>
      <c r="M80" s="299"/>
      <c r="N80" s="299"/>
    </row>
    <row r="81" spans="1:14" hidden="1">
      <c r="A81" s="501"/>
      <c r="B81" s="292"/>
      <c r="C81" s="292"/>
      <c r="D81" s="477"/>
      <c r="E81" s="477"/>
      <c r="F81" s="292"/>
      <c r="G81" s="292"/>
      <c r="H81" s="292"/>
      <c r="I81" s="292"/>
      <c r="J81" s="230" t="s">
        <v>584</v>
      </c>
      <c r="K81" s="230"/>
      <c r="L81" s="197"/>
      <c r="M81" s="299"/>
      <c r="N81" s="299"/>
    </row>
    <row r="82" spans="1:14" hidden="1">
      <c r="A82" s="497" t="s">
        <v>585</v>
      </c>
      <c r="B82" s="294" t="s">
        <v>13</v>
      </c>
      <c r="C82" s="294">
        <v>12000</v>
      </c>
      <c r="D82" s="294">
        <v>4820</v>
      </c>
      <c r="E82" s="294">
        <v>0.17</v>
      </c>
      <c r="F82" s="301">
        <v>1</v>
      </c>
      <c r="G82" s="301">
        <v>0</v>
      </c>
      <c r="H82" s="301">
        <v>0</v>
      </c>
      <c r="I82" s="309" t="s">
        <v>532</v>
      </c>
      <c r="J82" s="110" t="s">
        <v>586</v>
      </c>
      <c r="K82" s="110" t="s">
        <v>587</v>
      </c>
      <c r="L82" s="195">
        <v>60</v>
      </c>
      <c r="M82" s="293">
        <f>SUM(L82:L86)</f>
        <v>60</v>
      </c>
      <c r="N82" s="293"/>
    </row>
    <row r="83" spans="1:14" ht="33.75" hidden="1">
      <c r="A83" s="498"/>
      <c r="B83" s="310"/>
      <c r="C83" s="310"/>
      <c r="D83" s="310"/>
      <c r="E83" s="310"/>
      <c r="F83" s="293"/>
      <c r="G83" s="293"/>
      <c r="H83" s="293"/>
      <c r="I83" s="308"/>
      <c r="J83" s="113" t="s">
        <v>588</v>
      </c>
      <c r="K83" s="113" t="s">
        <v>647</v>
      </c>
      <c r="L83" s="195"/>
      <c r="M83" s="293"/>
      <c r="N83" s="293"/>
    </row>
    <row r="84" spans="1:14" hidden="1">
      <c r="A84" s="498"/>
      <c r="B84" s="310"/>
      <c r="C84" s="310"/>
      <c r="D84" s="310"/>
      <c r="E84" s="310"/>
      <c r="F84" s="293"/>
      <c r="G84" s="293"/>
      <c r="H84" s="293"/>
      <c r="I84" s="308"/>
      <c r="J84" s="209"/>
      <c r="K84" s="113"/>
      <c r="L84" s="195"/>
      <c r="M84" s="293"/>
      <c r="N84" s="293"/>
    </row>
    <row r="85" spans="1:14" hidden="1">
      <c r="A85" s="498"/>
      <c r="B85" s="310"/>
      <c r="C85" s="310"/>
      <c r="D85" s="310"/>
      <c r="E85" s="310"/>
      <c r="F85" s="293"/>
      <c r="G85" s="293"/>
      <c r="H85" s="293"/>
      <c r="I85" s="308"/>
      <c r="J85" s="209"/>
      <c r="K85" s="113"/>
      <c r="L85" s="195"/>
      <c r="M85" s="293"/>
      <c r="N85" s="293"/>
    </row>
    <row r="86" spans="1:14" hidden="1">
      <c r="A86" s="498"/>
      <c r="B86" s="310"/>
      <c r="C86" s="310"/>
      <c r="D86" s="310"/>
      <c r="E86" s="310"/>
      <c r="F86" s="294"/>
      <c r="G86" s="294"/>
      <c r="H86" s="294"/>
      <c r="I86" s="308"/>
      <c r="J86" s="209"/>
      <c r="K86" s="113"/>
      <c r="L86" s="195"/>
      <c r="M86" s="294"/>
      <c r="N86" s="294"/>
    </row>
    <row r="87" spans="1:14" ht="45" hidden="1">
      <c r="A87" s="498"/>
      <c r="B87" s="196" t="s">
        <v>14</v>
      </c>
      <c r="C87" s="199">
        <v>12000</v>
      </c>
      <c r="D87" s="196">
        <v>3748</v>
      </c>
      <c r="E87" s="196">
        <v>0.15</v>
      </c>
      <c r="F87" s="199">
        <v>1</v>
      </c>
      <c r="G87" s="199">
        <v>0</v>
      </c>
      <c r="H87" s="199">
        <v>0</v>
      </c>
      <c r="I87" s="196" t="s">
        <v>221</v>
      </c>
      <c r="J87" s="231" t="s">
        <v>589</v>
      </c>
      <c r="K87" s="232" t="s">
        <v>590</v>
      </c>
      <c r="L87" s="233">
        <v>40</v>
      </c>
      <c r="M87" s="234"/>
      <c r="N87" s="234"/>
    </row>
    <row r="88" spans="1:14" ht="22.5" hidden="1">
      <c r="A88" s="498"/>
      <c r="B88" s="311" t="s">
        <v>15</v>
      </c>
      <c r="C88" s="311">
        <v>12000</v>
      </c>
      <c r="D88" s="311">
        <v>11026</v>
      </c>
      <c r="E88" s="311">
        <v>0.19</v>
      </c>
      <c r="F88" s="311">
        <v>0</v>
      </c>
      <c r="G88" s="311">
        <v>0</v>
      </c>
      <c r="H88" s="311">
        <v>0</v>
      </c>
      <c r="I88" s="311" t="s">
        <v>28</v>
      </c>
      <c r="J88" s="48" t="s">
        <v>591</v>
      </c>
      <c r="K88" s="48" t="s">
        <v>592</v>
      </c>
      <c r="L88" s="197">
        <v>2</v>
      </c>
      <c r="M88" s="298">
        <v>12</v>
      </c>
      <c r="N88" s="298"/>
    </row>
    <row r="89" spans="1:14" hidden="1">
      <c r="A89" s="498"/>
      <c r="B89" s="312"/>
      <c r="C89" s="312"/>
      <c r="D89" s="312"/>
      <c r="E89" s="312"/>
      <c r="F89" s="312"/>
      <c r="G89" s="312"/>
      <c r="H89" s="312"/>
      <c r="I89" s="312"/>
      <c r="J89" s="48" t="s">
        <v>593</v>
      </c>
      <c r="K89" s="48" t="s">
        <v>594</v>
      </c>
      <c r="L89" s="197">
        <v>10</v>
      </c>
      <c r="M89" s="299"/>
      <c r="N89" s="299"/>
    </row>
    <row r="90" spans="1:14" ht="22.5" hidden="1">
      <c r="A90" s="498"/>
      <c r="B90" s="312"/>
      <c r="C90" s="312"/>
      <c r="D90" s="312"/>
      <c r="E90" s="312"/>
      <c r="F90" s="312"/>
      <c r="G90" s="312"/>
      <c r="H90" s="312"/>
      <c r="I90" s="312"/>
      <c r="J90" s="235" t="s">
        <v>595</v>
      </c>
      <c r="K90" s="48"/>
      <c r="M90" s="299"/>
      <c r="N90" s="299"/>
    </row>
    <row r="91" spans="1:14" hidden="1">
      <c r="A91" s="498"/>
      <c r="B91" s="312"/>
      <c r="C91" s="312"/>
      <c r="D91" s="312"/>
      <c r="E91" s="312"/>
      <c r="F91" s="312"/>
      <c r="G91" s="312"/>
      <c r="H91" s="312"/>
      <c r="I91" s="312"/>
      <c r="J91" s="52"/>
      <c r="K91" s="52"/>
      <c r="L91" s="197"/>
      <c r="M91" s="300"/>
      <c r="N91" s="300"/>
    </row>
    <row r="92" spans="1:14" hidden="1">
      <c r="A92" s="494"/>
      <c r="B92" s="313"/>
      <c r="C92" s="313"/>
      <c r="D92" s="313"/>
      <c r="E92" s="313"/>
      <c r="F92" s="313"/>
      <c r="G92" s="313"/>
      <c r="H92" s="313"/>
      <c r="I92" s="313"/>
      <c r="J92" s="48"/>
      <c r="K92" s="228"/>
      <c r="L92" s="197"/>
      <c r="M92" s="202"/>
      <c r="N92" s="202"/>
    </row>
    <row r="93" spans="1:14" ht="22.5" hidden="1">
      <c r="A93" s="494" t="s">
        <v>596</v>
      </c>
      <c r="B93" s="301" t="s">
        <v>13</v>
      </c>
      <c r="C93" s="301">
        <v>12000</v>
      </c>
      <c r="D93" s="301"/>
      <c r="E93" s="301"/>
      <c r="F93" s="301">
        <v>0</v>
      </c>
      <c r="G93" s="301">
        <v>0</v>
      </c>
      <c r="H93" s="301">
        <v>0</v>
      </c>
      <c r="I93" s="465" t="s">
        <v>245</v>
      </c>
      <c r="J93" s="110" t="s">
        <v>597</v>
      </c>
      <c r="K93" s="110" t="s">
        <v>598</v>
      </c>
      <c r="L93" s="195">
        <v>65</v>
      </c>
      <c r="M93" s="201"/>
      <c r="N93" s="201"/>
    </row>
    <row r="94" spans="1:14" hidden="1">
      <c r="A94" s="494"/>
      <c r="B94" s="293"/>
      <c r="C94" s="293"/>
      <c r="D94" s="293"/>
      <c r="E94" s="293"/>
      <c r="F94" s="293"/>
      <c r="G94" s="293"/>
      <c r="H94" s="293"/>
      <c r="I94" s="466"/>
      <c r="J94" s="237" t="s">
        <v>519</v>
      </c>
      <c r="K94" s="110" t="s">
        <v>599</v>
      </c>
      <c r="L94" s="195">
        <v>27</v>
      </c>
      <c r="M94" s="201"/>
      <c r="N94" s="201"/>
    </row>
    <row r="95" spans="1:14" ht="22.5" hidden="1">
      <c r="A95" s="494"/>
      <c r="B95" s="293"/>
      <c r="C95" s="293"/>
      <c r="D95" s="293"/>
      <c r="E95" s="293"/>
      <c r="F95" s="293"/>
      <c r="G95" s="293"/>
      <c r="H95" s="293"/>
      <c r="I95" s="466"/>
      <c r="J95" s="238" t="s">
        <v>519</v>
      </c>
      <c r="K95" s="110" t="s">
        <v>600</v>
      </c>
      <c r="M95" s="201"/>
      <c r="N95" s="201"/>
    </row>
    <row r="96" spans="1:14" hidden="1">
      <c r="A96" s="494"/>
      <c r="B96" s="294"/>
      <c r="C96" s="294"/>
      <c r="D96" s="294"/>
      <c r="E96" s="294"/>
      <c r="F96" s="294"/>
      <c r="G96" s="294"/>
      <c r="H96" s="294"/>
      <c r="I96" s="309"/>
      <c r="J96" s="222"/>
      <c r="K96" s="110"/>
      <c r="L96" s="195"/>
      <c r="M96" s="201"/>
      <c r="N96" s="201"/>
    </row>
    <row r="97" spans="1:16" hidden="1">
      <c r="A97" s="495"/>
      <c r="B97" s="291" t="s">
        <v>14</v>
      </c>
      <c r="C97" s="302">
        <v>12000</v>
      </c>
      <c r="D97" s="291"/>
      <c r="E97" s="291"/>
      <c r="F97" s="302">
        <v>0</v>
      </c>
      <c r="G97" s="302">
        <v>0</v>
      </c>
      <c r="H97" s="302">
        <v>0</v>
      </c>
      <c r="I97" s="291" t="s">
        <v>221</v>
      </c>
      <c r="J97" s="239" t="s">
        <v>601</v>
      </c>
      <c r="K97" s="239"/>
      <c r="L97" s="212"/>
      <c r="M97" s="454"/>
      <c r="N97" s="454"/>
    </row>
    <row r="98" spans="1:16" hidden="1">
      <c r="A98" s="495"/>
      <c r="B98" s="291"/>
      <c r="C98" s="303"/>
      <c r="D98" s="291"/>
      <c r="E98" s="291"/>
      <c r="F98" s="303"/>
      <c r="G98" s="303"/>
      <c r="H98" s="303"/>
      <c r="I98" s="291"/>
      <c r="J98" s="239" t="s">
        <v>602</v>
      </c>
      <c r="K98" s="239"/>
      <c r="L98" s="212"/>
      <c r="M98" s="456"/>
      <c r="N98" s="456"/>
    </row>
    <row r="99" spans="1:16" ht="22.5" hidden="1">
      <c r="A99" s="495"/>
      <c r="B99" s="291"/>
      <c r="C99" s="303"/>
      <c r="D99" s="291"/>
      <c r="E99" s="291"/>
      <c r="F99" s="303"/>
      <c r="G99" s="303"/>
      <c r="H99" s="303"/>
      <c r="I99" s="291"/>
      <c r="J99" s="239" t="s">
        <v>603</v>
      </c>
      <c r="K99" s="239" t="s">
        <v>604</v>
      </c>
      <c r="L99" s="212"/>
      <c r="M99" s="456"/>
      <c r="N99" s="456"/>
    </row>
    <row r="100" spans="1:16" hidden="1">
      <c r="A100" s="495"/>
      <c r="B100" s="291"/>
      <c r="C100" s="303"/>
      <c r="D100" s="291"/>
      <c r="E100" s="291"/>
      <c r="F100" s="303"/>
      <c r="G100" s="303"/>
      <c r="H100" s="303"/>
      <c r="I100" s="291"/>
      <c r="J100" s="239" t="s">
        <v>605</v>
      </c>
      <c r="K100" s="239" t="s">
        <v>606</v>
      </c>
      <c r="L100" s="212"/>
      <c r="M100" s="455"/>
      <c r="N100" s="455"/>
    </row>
    <row r="101" spans="1:16" hidden="1">
      <c r="A101" s="496"/>
      <c r="B101" s="311" t="s">
        <v>15</v>
      </c>
      <c r="C101" s="311">
        <v>12000</v>
      </c>
      <c r="D101" s="311">
        <v>0</v>
      </c>
      <c r="E101" s="311">
        <v>0</v>
      </c>
      <c r="F101" s="311">
        <v>0</v>
      </c>
      <c r="G101" s="311">
        <v>0</v>
      </c>
      <c r="H101" s="311">
        <v>0</v>
      </c>
      <c r="I101" s="311" t="s">
        <v>28</v>
      </c>
      <c r="J101" s="48"/>
      <c r="K101" s="48"/>
      <c r="L101" s="197"/>
      <c r="M101" s="298"/>
      <c r="N101" s="298"/>
    </row>
    <row r="102" spans="1:16" hidden="1">
      <c r="A102" s="496"/>
      <c r="B102" s="312"/>
      <c r="C102" s="312"/>
      <c r="D102" s="312"/>
      <c r="E102" s="312"/>
      <c r="F102" s="312"/>
      <c r="G102" s="312"/>
      <c r="H102" s="312"/>
      <c r="I102" s="312"/>
      <c r="J102" s="48"/>
      <c r="K102" s="48"/>
      <c r="L102" s="197"/>
      <c r="M102" s="299"/>
      <c r="N102" s="299"/>
    </row>
    <row r="103" spans="1:16" hidden="1">
      <c r="A103" s="496"/>
      <c r="B103" s="312"/>
      <c r="C103" s="312"/>
      <c r="D103" s="312"/>
      <c r="E103" s="312"/>
      <c r="F103" s="312"/>
      <c r="G103" s="312"/>
      <c r="H103" s="312"/>
      <c r="I103" s="312"/>
      <c r="J103" s="48" t="s">
        <v>559</v>
      </c>
      <c r="K103" s="48" t="s">
        <v>607</v>
      </c>
      <c r="L103" s="197"/>
      <c r="M103" s="299"/>
      <c r="N103" s="299"/>
    </row>
    <row r="104" spans="1:16" hidden="1">
      <c r="A104" s="496"/>
      <c r="B104" s="312"/>
      <c r="C104" s="312"/>
      <c r="D104" s="312"/>
      <c r="E104" s="312"/>
      <c r="F104" s="312"/>
      <c r="G104" s="312"/>
      <c r="H104" s="312"/>
      <c r="I104" s="312"/>
      <c r="J104" s="48"/>
      <c r="K104" s="48"/>
      <c r="L104" s="197"/>
      <c r="M104" s="299"/>
      <c r="N104" s="299"/>
    </row>
    <row r="105" spans="1:16" hidden="1">
      <c r="A105" s="496"/>
      <c r="B105" s="313"/>
      <c r="C105" s="313"/>
      <c r="D105" s="313"/>
      <c r="E105" s="313"/>
      <c r="F105" s="313"/>
      <c r="G105" s="313"/>
      <c r="H105" s="313"/>
      <c r="I105" s="313"/>
      <c r="J105" s="52"/>
      <c r="K105" s="52"/>
      <c r="L105" s="197"/>
      <c r="M105" s="300"/>
      <c r="N105" s="300"/>
    </row>
    <row r="106" spans="1:16" hidden="1">
      <c r="A106" s="494" t="s">
        <v>608</v>
      </c>
      <c r="B106" s="294" t="s">
        <v>13</v>
      </c>
      <c r="C106" s="294">
        <v>12000</v>
      </c>
      <c r="D106" s="294">
        <v>0</v>
      </c>
      <c r="E106" s="294">
        <v>0</v>
      </c>
      <c r="F106" s="294">
        <v>0</v>
      </c>
      <c r="G106" s="294">
        <v>0</v>
      </c>
      <c r="H106" s="294">
        <v>0</v>
      </c>
      <c r="I106" s="309" t="s">
        <v>221</v>
      </c>
      <c r="J106" s="110" t="s">
        <v>609</v>
      </c>
      <c r="K106" s="110"/>
      <c r="L106" s="195"/>
      <c r="M106" s="293"/>
      <c r="N106" s="293"/>
    </row>
    <row r="107" spans="1:16" hidden="1">
      <c r="A107" s="494"/>
      <c r="B107" s="310"/>
      <c r="C107" s="310"/>
      <c r="D107" s="310"/>
      <c r="E107" s="310"/>
      <c r="F107" s="310"/>
      <c r="G107" s="310"/>
      <c r="H107" s="310"/>
      <c r="I107" s="308"/>
      <c r="J107" s="113"/>
      <c r="K107" s="113"/>
      <c r="L107" s="195"/>
      <c r="M107" s="293"/>
      <c r="N107" s="293"/>
      <c r="P107" s="206" t="s">
        <v>398</v>
      </c>
    </row>
    <row r="108" spans="1:16" hidden="1">
      <c r="A108" s="494"/>
      <c r="B108" s="310"/>
      <c r="C108" s="310"/>
      <c r="D108" s="310"/>
      <c r="E108" s="310"/>
      <c r="F108" s="310"/>
      <c r="G108" s="310"/>
      <c r="H108" s="310"/>
      <c r="I108" s="308"/>
      <c r="J108" s="113"/>
      <c r="K108" s="113"/>
      <c r="L108" s="195"/>
      <c r="M108" s="293"/>
      <c r="N108" s="293"/>
      <c r="P108" s="206" t="s">
        <v>401</v>
      </c>
    </row>
    <row r="109" spans="1:16" hidden="1">
      <c r="A109" s="494"/>
      <c r="B109" s="310"/>
      <c r="C109" s="310"/>
      <c r="D109" s="310"/>
      <c r="E109" s="310"/>
      <c r="F109" s="310"/>
      <c r="G109" s="310"/>
      <c r="H109" s="310"/>
      <c r="I109" s="308"/>
      <c r="J109" s="209"/>
      <c r="K109" s="113"/>
      <c r="L109" s="195"/>
      <c r="M109" s="294"/>
      <c r="N109" s="294"/>
    </row>
    <row r="110" spans="1:16" hidden="1">
      <c r="A110" s="495"/>
      <c r="B110" s="291" t="s">
        <v>14</v>
      </c>
      <c r="C110" s="302">
        <v>12000</v>
      </c>
      <c r="D110" s="291"/>
      <c r="E110" s="291"/>
      <c r="F110" s="302">
        <v>0</v>
      </c>
      <c r="G110" s="302">
        <v>0</v>
      </c>
      <c r="H110" s="302">
        <v>0</v>
      </c>
      <c r="I110" s="291" t="s">
        <v>28</v>
      </c>
      <c r="J110" s="239" t="s">
        <v>610</v>
      </c>
      <c r="K110" s="239"/>
      <c r="L110" s="212"/>
      <c r="M110" s="454"/>
      <c r="N110" s="454"/>
    </row>
    <row r="111" spans="1:16" hidden="1">
      <c r="A111" s="495"/>
      <c r="B111" s="291"/>
      <c r="C111" s="303"/>
      <c r="D111" s="291"/>
      <c r="E111" s="291"/>
      <c r="F111" s="303"/>
      <c r="G111" s="303"/>
      <c r="H111" s="303"/>
      <c r="I111" s="291"/>
      <c r="J111" s="213" t="s">
        <v>611</v>
      </c>
      <c r="K111" s="213"/>
      <c r="L111" s="212"/>
      <c r="M111" s="456"/>
      <c r="N111" s="456"/>
    </row>
    <row r="112" spans="1:16" ht="22.5" hidden="1">
      <c r="A112" s="495"/>
      <c r="B112" s="291"/>
      <c r="C112" s="303"/>
      <c r="D112" s="291"/>
      <c r="E112" s="291"/>
      <c r="F112" s="303"/>
      <c r="G112" s="303"/>
      <c r="H112" s="303"/>
      <c r="I112" s="291"/>
      <c r="J112" s="213" t="s">
        <v>612</v>
      </c>
      <c r="K112" s="213" t="s">
        <v>613</v>
      </c>
      <c r="L112" s="212"/>
      <c r="M112" s="456"/>
      <c r="N112" s="456"/>
    </row>
    <row r="113" spans="1:14" hidden="1">
      <c r="A113" s="496"/>
      <c r="B113" s="291"/>
      <c r="C113" s="303"/>
      <c r="D113" s="291"/>
      <c r="E113" s="291"/>
      <c r="F113" s="303"/>
      <c r="G113" s="303"/>
      <c r="H113" s="303"/>
      <c r="I113" s="291"/>
      <c r="J113" s="213" t="s">
        <v>614</v>
      </c>
      <c r="K113" s="239"/>
      <c r="L113" s="212"/>
      <c r="M113" s="456"/>
      <c r="N113" s="456"/>
    </row>
    <row r="114" spans="1:14" ht="56.25" hidden="1">
      <c r="A114" s="496"/>
      <c r="B114" s="311" t="s">
        <v>19</v>
      </c>
      <c r="C114" s="311">
        <v>12000</v>
      </c>
      <c r="D114" s="311">
        <v>450</v>
      </c>
      <c r="E114" s="311">
        <v>0.78</v>
      </c>
      <c r="F114" s="311">
        <v>0</v>
      </c>
      <c r="G114" s="311">
        <v>0</v>
      </c>
      <c r="H114" s="311">
        <v>0</v>
      </c>
      <c r="I114" s="311" t="s">
        <v>245</v>
      </c>
      <c r="J114" s="240" t="s">
        <v>648</v>
      </c>
      <c r="K114" s="48" t="s">
        <v>615</v>
      </c>
      <c r="L114" s="197">
        <v>205</v>
      </c>
      <c r="M114" s="298">
        <v>387</v>
      </c>
      <c r="N114" s="298"/>
    </row>
    <row r="115" spans="1:14" hidden="1">
      <c r="A115" s="496"/>
      <c r="B115" s="312"/>
      <c r="C115" s="312"/>
      <c r="D115" s="312"/>
      <c r="E115" s="312"/>
      <c r="F115" s="312"/>
      <c r="G115" s="312"/>
      <c r="H115" s="312"/>
      <c r="I115" s="312"/>
      <c r="J115" s="48" t="s">
        <v>614</v>
      </c>
      <c r="K115" s="48" t="s">
        <v>616</v>
      </c>
      <c r="L115" s="197">
        <v>35</v>
      </c>
      <c r="M115" s="299"/>
      <c r="N115" s="299"/>
    </row>
    <row r="116" spans="1:14" hidden="1">
      <c r="A116" s="496"/>
      <c r="B116" s="312"/>
      <c r="C116" s="312"/>
      <c r="D116" s="312"/>
      <c r="E116" s="312"/>
      <c r="F116" s="312"/>
      <c r="G116" s="312"/>
      <c r="H116" s="312"/>
      <c r="I116" s="312"/>
      <c r="J116" s="48" t="s">
        <v>617</v>
      </c>
      <c r="K116" s="48" t="s">
        <v>618</v>
      </c>
      <c r="L116" s="197">
        <v>25</v>
      </c>
      <c r="M116" s="299"/>
      <c r="N116" s="299"/>
    </row>
    <row r="117" spans="1:14" ht="56.25" hidden="1">
      <c r="A117" s="496"/>
      <c r="B117" s="312"/>
      <c r="C117" s="312"/>
      <c r="D117" s="312"/>
      <c r="E117" s="312"/>
      <c r="F117" s="312"/>
      <c r="G117" s="312"/>
      <c r="H117" s="312"/>
      <c r="I117" s="312"/>
      <c r="J117" s="52" t="s">
        <v>619</v>
      </c>
      <c r="K117" s="52" t="s">
        <v>620</v>
      </c>
      <c r="L117" s="197">
        <v>83</v>
      </c>
      <c r="M117" s="300"/>
      <c r="N117" s="300"/>
    </row>
    <row r="118" spans="1:14" hidden="1">
      <c r="A118" s="241"/>
      <c r="B118" s="313"/>
      <c r="C118" s="313"/>
      <c r="D118" s="313"/>
      <c r="E118" s="313"/>
      <c r="F118" s="313"/>
      <c r="G118" s="313"/>
      <c r="H118" s="313"/>
      <c r="I118" s="313"/>
      <c r="J118" s="485" t="s">
        <v>621</v>
      </c>
      <c r="K118" s="486"/>
      <c r="L118" s="197">
        <v>39</v>
      </c>
      <c r="M118" s="221"/>
      <c r="N118" s="221"/>
    </row>
    <row r="119" spans="1:14" hidden="1">
      <c r="A119" s="497">
        <v>45790</v>
      </c>
      <c r="B119" s="294" t="s">
        <v>622</v>
      </c>
      <c r="C119" s="294"/>
      <c r="D119" s="294"/>
      <c r="E119" s="294"/>
      <c r="F119" s="294"/>
      <c r="G119" s="294"/>
      <c r="H119" s="294"/>
      <c r="I119" s="309"/>
      <c r="J119" s="222"/>
      <c r="K119" s="110"/>
      <c r="L119" s="195"/>
      <c r="M119" s="293"/>
      <c r="N119" s="504" t="s">
        <v>642</v>
      </c>
    </row>
    <row r="120" spans="1:14" hidden="1">
      <c r="A120" s="498"/>
      <c r="B120" s="310"/>
      <c r="C120" s="310"/>
      <c r="D120" s="310"/>
      <c r="E120" s="310"/>
      <c r="F120" s="310"/>
      <c r="G120" s="310"/>
      <c r="H120" s="310"/>
      <c r="I120" s="308"/>
      <c r="J120" s="209"/>
      <c r="K120" s="113"/>
      <c r="L120" s="195"/>
      <c r="M120" s="293"/>
      <c r="N120" s="504"/>
    </row>
    <row r="121" spans="1:14" hidden="1">
      <c r="A121" s="498"/>
      <c r="B121" s="310"/>
      <c r="C121" s="310"/>
      <c r="D121" s="310"/>
      <c r="E121" s="310"/>
      <c r="F121" s="310"/>
      <c r="G121" s="310"/>
      <c r="H121" s="310"/>
      <c r="I121" s="308"/>
      <c r="J121" s="209"/>
      <c r="K121" s="113"/>
      <c r="L121" s="195"/>
      <c r="M121" s="293"/>
      <c r="N121" s="504"/>
    </row>
    <row r="122" spans="1:14" hidden="1">
      <c r="A122" s="498"/>
      <c r="B122" s="310"/>
      <c r="C122" s="310"/>
      <c r="D122" s="310"/>
      <c r="E122" s="310"/>
      <c r="F122" s="310"/>
      <c r="G122" s="310"/>
      <c r="H122" s="310"/>
      <c r="I122" s="308"/>
      <c r="J122" s="209"/>
      <c r="K122" s="113"/>
      <c r="L122" s="195"/>
      <c r="M122" s="294"/>
      <c r="N122" s="505"/>
    </row>
    <row r="123" spans="1:14" hidden="1">
      <c r="A123" s="498"/>
      <c r="B123" s="472" t="s">
        <v>14</v>
      </c>
      <c r="C123" s="302">
        <v>12000</v>
      </c>
      <c r="D123" s="302">
        <v>7872</v>
      </c>
      <c r="E123" s="302">
        <v>0.5</v>
      </c>
      <c r="F123" s="302">
        <v>0</v>
      </c>
      <c r="G123" s="302">
        <v>0</v>
      </c>
      <c r="H123" s="302">
        <v>0</v>
      </c>
      <c r="I123" s="302" t="s">
        <v>28</v>
      </c>
      <c r="J123" s="213" t="s">
        <v>623</v>
      </c>
      <c r="K123" s="213" t="s">
        <v>626</v>
      </c>
      <c r="L123" s="212">
        <v>5</v>
      </c>
      <c r="M123" s="459">
        <v>83</v>
      </c>
      <c r="N123" s="459"/>
    </row>
    <row r="124" spans="1:14" hidden="1">
      <c r="A124" s="498"/>
      <c r="B124" s="473"/>
      <c r="C124" s="303"/>
      <c r="D124" s="303"/>
      <c r="E124" s="303"/>
      <c r="F124" s="303"/>
      <c r="G124" s="303"/>
      <c r="H124" s="303"/>
      <c r="I124" s="303"/>
      <c r="J124" s="213" t="s">
        <v>624</v>
      </c>
      <c r="K124" s="213" t="s">
        <v>627</v>
      </c>
      <c r="L124" s="212">
        <v>5</v>
      </c>
      <c r="M124" s="459"/>
      <c r="N124" s="459"/>
    </row>
    <row r="125" spans="1:14" ht="22.5" hidden="1">
      <c r="A125" s="498"/>
      <c r="B125" s="473"/>
      <c r="C125" s="303"/>
      <c r="D125" s="303"/>
      <c r="E125" s="303"/>
      <c r="F125" s="303"/>
      <c r="G125" s="303"/>
      <c r="H125" s="303"/>
      <c r="I125" s="303"/>
      <c r="J125" s="213" t="s">
        <v>625</v>
      </c>
      <c r="K125" s="213" t="s">
        <v>628</v>
      </c>
      <c r="L125" s="212">
        <v>10</v>
      </c>
      <c r="M125" s="459"/>
      <c r="N125" s="459"/>
    </row>
    <row r="126" spans="1:14" ht="22.5" hidden="1">
      <c r="A126" s="498"/>
      <c r="B126" s="473"/>
      <c r="C126" s="303"/>
      <c r="D126" s="303"/>
      <c r="E126" s="303"/>
      <c r="F126" s="303"/>
      <c r="G126" s="303"/>
      <c r="H126" s="303"/>
      <c r="I126" s="303"/>
      <c r="J126" s="242" t="s">
        <v>425</v>
      </c>
      <c r="K126" s="242" t="s">
        <v>583</v>
      </c>
      <c r="L126" s="212">
        <v>50</v>
      </c>
      <c r="M126" s="459"/>
      <c r="N126" s="459"/>
    </row>
    <row r="127" spans="1:14" ht="22.5" hidden="1">
      <c r="A127" s="498"/>
      <c r="B127" s="473"/>
      <c r="C127" s="200"/>
      <c r="D127" s="303"/>
      <c r="E127" s="303"/>
      <c r="F127" s="200"/>
      <c r="G127" s="200"/>
      <c r="H127" s="200"/>
      <c r="I127" s="303"/>
      <c r="J127" s="192" t="s">
        <v>95</v>
      </c>
      <c r="K127" s="193" t="s">
        <v>649</v>
      </c>
      <c r="L127" s="243">
        <v>8</v>
      </c>
      <c r="M127" s="459"/>
      <c r="N127" s="459"/>
    </row>
    <row r="128" spans="1:14" ht="12" hidden="1" thickBot="1">
      <c r="A128" s="498"/>
      <c r="B128" s="482"/>
      <c r="C128" s="200"/>
      <c r="D128" s="304"/>
      <c r="E128" s="304"/>
      <c r="F128" s="200"/>
      <c r="G128" s="200"/>
      <c r="H128" s="200"/>
      <c r="I128" s="304"/>
      <c r="J128" s="213" t="s">
        <v>307</v>
      </c>
      <c r="K128" s="211" t="s">
        <v>308</v>
      </c>
      <c r="L128" s="243">
        <v>5</v>
      </c>
      <c r="M128" s="459"/>
      <c r="N128" s="459"/>
    </row>
    <row r="129" spans="1:15" ht="22.5" hidden="1">
      <c r="A129" s="498"/>
      <c r="B129" s="311" t="s">
        <v>629</v>
      </c>
      <c r="C129" s="311">
        <v>12000</v>
      </c>
      <c r="D129" s="311">
        <v>8128</v>
      </c>
      <c r="E129" s="311">
        <v>0.28000000000000003</v>
      </c>
      <c r="F129" s="311">
        <v>0</v>
      </c>
      <c r="G129" s="311">
        <v>0</v>
      </c>
      <c r="H129" s="311">
        <v>0</v>
      </c>
      <c r="I129" s="311" t="s">
        <v>630</v>
      </c>
      <c r="J129" s="53" t="s">
        <v>631</v>
      </c>
      <c r="K129" s="53" t="s">
        <v>634</v>
      </c>
      <c r="L129" s="197">
        <v>15</v>
      </c>
      <c r="M129" s="460">
        <v>70</v>
      </c>
      <c r="N129" s="506" t="s">
        <v>643</v>
      </c>
      <c r="O129" s="433" t="s">
        <v>675</v>
      </c>
    </row>
    <row r="130" spans="1:15" ht="22.5" hidden="1">
      <c r="A130" s="498"/>
      <c r="B130" s="312"/>
      <c r="C130" s="312"/>
      <c r="D130" s="312"/>
      <c r="E130" s="312"/>
      <c r="F130" s="312"/>
      <c r="G130" s="312"/>
      <c r="H130" s="312"/>
      <c r="I130" s="312"/>
      <c r="J130" s="53" t="s">
        <v>633</v>
      </c>
      <c r="K130" s="53" t="s">
        <v>632</v>
      </c>
      <c r="L130" s="197">
        <v>11</v>
      </c>
      <c r="M130" s="460"/>
      <c r="N130" s="506"/>
      <c r="O130" s="434"/>
    </row>
    <row r="131" spans="1:15" ht="33.75" hidden="1">
      <c r="A131" s="498"/>
      <c r="B131" s="312"/>
      <c r="C131" s="312"/>
      <c r="D131" s="312"/>
      <c r="E131" s="312"/>
      <c r="F131" s="312"/>
      <c r="G131" s="312"/>
      <c r="H131" s="312"/>
      <c r="I131" s="312"/>
      <c r="J131" s="53" t="s">
        <v>635</v>
      </c>
      <c r="K131" s="48" t="s">
        <v>638</v>
      </c>
      <c r="L131" s="197">
        <v>21</v>
      </c>
      <c r="M131" s="460"/>
      <c r="N131" s="506"/>
      <c r="O131" s="434"/>
    </row>
    <row r="132" spans="1:15" hidden="1">
      <c r="A132" s="498"/>
      <c r="B132" s="312"/>
      <c r="C132" s="312"/>
      <c r="D132" s="312"/>
      <c r="E132" s="312"/>
      <c r="F132" s="312"/>
      <c r="G132" s="312"/>
      <c r="H132" s="312"/>
      <c r="I132" s="312"/>
      <c r="J132" s="53" t="s">
        <v>636</v>
      </c>
      <c r="K132" s="52" t="s">
        <v>637</v>
      </c>
      <c r="L132" s="197">
        <v>13</v>
      </c>
      <c r="M132" s="460"/>
      <c r="N132" s="506"/>
      <c r="O132" s="434"/>
    </row>
    <row r="133" spans="1:15" ht="34.5" hidden="1" thickBot="1">
      <c r="A133" s="494"/>
      <c r="B133" s="313"/>
      <c r="C133" s="313"/>
      <c r="D133" s="313"/>
      <c r="E133" s="313"/>
      <c r="F133" s="313"/>
      <c r="G133" s="313"/>
      <c r="H133" s="313"/>
      <c r="I133" s="313"/>
      <c r="J133" s="203" t="s">
        <v>639</v>
      </c>
      <c r="K133" s="228" t="s">
        <v>640</v>
      </c>
      <c r="L133" s="197">
        <v>10</v>
      </c>
      <c r="M133" s="460"/>
      <c r="N133" s="506"/>
      <c r="O133" s="435"/>
    </row>
    <row r="134" spans="1:15" ht="33.75" hidden="1">
      <c r="A134" s="494" t="s">
        <v>668</v>
      </c>
      <c r="B134" s="294" t="s">
        <v>650</v>
      </c>
      <c r="C134" s="294">
        <v>12000</v>
      </c>
      <c r="D134" s="294">
        <v>7250</v>
      </c>
      <c r="E134" s="294">
        <v>0.28999999999999998</v>
      </c>
      <c r="F134" s="301">
        <v>0</v>
      </c>
      <c r="G134" s="301">
        <v>0</v>
      </c>
      <c r="H134" s="301">
        <v>0</v>
      </c>
      <c r="I134" s="309" t="s">
        <v>651</v>
      </c>
      <c r="J134" s="272"/>
      <c r="K134" s="273" t="s">
        <v>652</v>
      </c>
      <c r="L134" s="195"/>
      <c r="M134" s="293"/>
      <c r="N134" s="293"/>
    </row>
    <row r="135" spans="1:15" hidden="1">
      <c r="A135" s="495"/>
      <c r="B135" s="310"/>
      <c r="C135" s="310"/>
      <c r="D135" s="310"/>
      <c r="E135" s="310"/>
      <c r="F135" s="293"/>
      <c r="G135" s="293"/>
      <c r="H135" s="293"/>
      <c r="I135" s="308"/>
      <c r="J135" s="209" t="s">
        <v>653</v>
      </c>
      <c r="K135" s="113" t="s">
        <v>654</v>
      </c>
      <c r="L135" s="195"/>
      <c r="M135" s="293"/>
      <c r="N135" s="293"/>
    </row>
    <row r="136" spans="1:15" hidden="1">
      <c r="A136" s="495"/>
      <c r="B136" s="310"/>
      <c r="C136" s="310"/>
      <c r="D136" s="310"/>
      <c r="E136" s="310"/>
      <c r="F136" s="293"/>
      <c r="G136" s="293"/>
      <c r="H136" s="293"/>
      <c r="I136" s="308"/>
      <c r="J136" s="209" t="s">
        <v>655</v>
      </c>
      <c r="K136" s="113" t="s">
        <v>656</v>
      </c>
      <c r="L136" s="195"/>
      <c r="M136" s="293"/>
      <c r="N136" s="293"/>
    </row>
    <row r="137" spans="1:15" ht="33.75" hidden="1">
      <c r="A137" s="495"/>
      <c r="B137" s="310"/>
      <c r="C137" s="310"/>
      <c r="D137" s="310"/>
      <c r="E137" s="310"/>
      <c r="F137" s="294"/>
      <c r="G137" s="294"/>
      <c r="H137" s="294"/>
      <c r="I137" s="308"/>
      <c r="J137" s="209" t="s">
        <v>657</v>
      </c>
      <c r="K137" s="113" t="s">
        <v>658</v>
      </c>
      <c r="L137" s="244"/>
      <c r="M137" s="294"/>
      <c r="N137" s="294"/>
    </row>
    <row r="138" spans="1:15" ht="11.25" hidden="1" customHeight="1">
      <c r="A138" s="495"/>
      <c r="B138" s="291" t="s">
        <v>659</v>
      </c>
      <c r="C138" s="302">
        <v>12000</v>
      </c>
      <c r="D138" s="291">
        <v>6288</v>
      </c>
      <c r="E138" s="291">
        <v>0.24</v>
      </c>
      <c r="F138" s="302">
        <v>0</v>
      </c>
      <c r="G138" s="302">
        <v>0</v>
      </c>
      <c r="H138" s="302">
        <v>0</v>
      </c>
      <c r="I138" s="291" t="s">
        <v>28</v>
      </c>
      <c r="J138" s="213" t="s">
        <v>660</v>
      </c>
      <c r="K138" s="213" t="s">
        <v>661</v>
      </c>
      <c r="L138" s="212">
        <v>15</v>
      </c>
      <c r="M138" s="439">
        <v>43</v>
      </c>
      <c r="N138" s="439"/>
    </row>
    <row r="139" spans="1:15" hidden="1">
      <c r="A139" s="495"/>
      <c r="B139" s="291"/>
      <c r="C139" s="303"/>
      <c r="D139" s="291"/>
      <c r="E139" s="291"/>
      <c r="F139" s="303"/>
      <c r="G139" s="303"/>
      <c r="H139" s="303"/>
      <c r="I139" s="291"/>
      <c r="J139" s="213" t="s">
        <v>662</v>
      </c>
      <c r="K139" s="213" t="s">
        <v>663</v>
      </c>
      <c r="L139" s="212">
        <v>5</v>
      </c>
      <c r="M139" s="436"/>
      <c r="N139" s="436"/>
    </row>
    <row r="140" spans="1:15" hidden="1">
      <c r="A140" s="495"/>
      <c r="B140" s="291"/>
      <c r="C140" s="303"/>
      <c r="D140" s="291"/>
      <c r="E140" s="291"/>
      <c r="F140" s="303"/>
      <c r="G140" s="303"/>
      <c r="H140" s="303"/>
      <c r="I140" s="291"/>
      <c r="J140" s="213" t="s">
        <v>664</v>
      </c>
      <c r="K140" s="213" t="s">
        <v>665</v>
      </c>
      <c r="L140" s="212">
        <v>15</v>
      </c>
      <c r="M140" s="436"/>
      <c r="N140" s="436"/>
    </row>
    <row r="141" spans="1:15" ht="33.75" hidden="1">
      <c r="A141" s="495"/>
      <c r="B141" s="291"/>
      <c r="C141" s="303"/>
      <c r="D141" s="291"/>
      <c r="E141" s="291"/>
      <c r="F141" s="303"/>
      <c r="G141" s="303"/>
      <c r="H141" s="303"/>
      <c r="I141" s="291"/>
      <c r="J141" s="213" t="s">
        <v>666</v>
      </c>
      <c r="K141" s="213" t="s">
        <v>667</v>
      </c>
      <c r="L141" s="212">
        <v>8</v>
      </c>
      <c r="M141" s="440"/>
      <c r="N141" s="436"/>
    </row>
    <row r="142" spans="1:15" hidden="1">
      <c r="A142" s="496"/>
      <c r="B142" s="292" t="s">
        <v>669</v>
      </c>
      <c r="C142" s="292">
        <v>12000</v>
      </c>
      <c r="D142" s="292">
        <v>7352</v>
      </c>
      <c r="E142" s="292">
        <v>0.21</v>
      </c>
      <c r="F142" s="292">
        <v>0</v>
      </c>
      <c r="G142" s="292">
        <v>0</v>
      </c>
      <c r="H142" s="292">
        <v>0</v>
      </c>
      <c r="I142" s="292" t="s">
        <v>670</v>
      </c>
      <c r="J142" s="53" t="s">
        <v>681</v>
      </c>
      <c r="K142" s="53" t="s">
        <v>683</v>
      </c>
      <c r="L142" s="221">
        <v>12</v>
      </c>
      <c r="M142" s="298">
        <v>61</v>
      </c>
      <c r="N142" s="298"/>
    </row>
    <row r="143" spans="1:15" ht="33.75" hidden="1">
      <c r="A143" s="496"/>
      <c r="B143" s="292"/>
      <c r="C143" s="292"/>
      <c r="D143" s="292"/>
      <c r="E143" s="292"/>
      <c r="F143" s="292"/>
      <c r="G143" s="292"/>
      <c r="H143" s="292"/>
      <c r="I143" s="292"/>
      <c r="J143" s="53" t="s">
        <v>672</v>
      </c>
      <c r="K143" s="53" t="s">
        <v>671</v>
      </c>
      <c r="L143" s="221">
        <v>19</v>
      </c>
      <c r="M143" s="299"/>
      <c r="N143" s="299"/>
    </row>
    <row r="144" spans="1:15" hidden="1">
      <c r="A144" s="496"/>
      <c r="B144" s="292"/>
      <c r="C144" s="292"/>
      <c r="D144" s="292"/>
      <c r="E144" s="292"/>
      <c r="F144" s="292"/>
      <c r="G144" s="292"/>
      <c r="H144" s="292"/>
      <c r="I144" s="292"/>
      <c r="J144" s="53" t="s">
        <v>673</v>
      </c>
      <c r="K144" s="53" t="s">
        <v>674</v>
      </c>
      <c r="L144" s="197">
        <v>13</v>
      </c>
      <c r="M144" s="299"/>
      <c r="N144" s="299"/>
    </row>
    <row r="145" spans="1:14" ht="45" hidden="1">
      <c r="A145" s="496"/>
      <c r="B145" s="292"/>
      <c r="C145" s="292"/>
      <c r="D145" s="292"/>
      <c r="E145" s="292"/>
      <c r="F145" s="292"/>
      <c r="G145" s="292"/>
      <c r="H145" s="292"/>
      <c r="I145" s="292"/>
      <c r="J145" s="274" t="s">
        <v>676</v>
      </c>
      <c r="K145" s="53" t="s">
        <v>677</v>
      </c>
      <c r="L145" s="197">
        <v>17</v>
      </c>
      <c r="M145" s="300"/>
      <c r="N145" s="300"/>
    </row>
    <row r="146" spans="1:14" hidden="1">
      <c r="A146" s="497" t="s">
        <v>689</v>
      </c>
      <c r="B146" s="301" t="s">
        <v>678</v>
      </c>
      <c r="C146" s="301">
        <v>12000</v>
      </c>
      <c r="D146" s="301">
        <v>7820</v>
      </c>
      <c r="E146" s="301">
        <v>0.3</v>
      </c>
      <c r="F146" s="301">
        <v>0</v>
      </c>
      <c r="G146" s="301">
        <v>0</v>
      </c>
      <c r="H146" s="301">
        <v>0</v>
      </c>
      <c r="I146" s="465" t="s">
        <v>679</v>
      </c>
      <c r="J146" s="222" t="s">
        <v>680</v>
      </c>
      <c r="K146" s="110" t="s">
        <v>682</v>
      </c>
      <c r="L146" s="195">
        <v>3</v>
      </c>
      <c r="M146" s="293">
        <f>SUM(L146:L149)</f>
        <v>20</v>
      </c>
      <c r="N146" s="293"/>
    </row>
    <row r="147" spans="1:14" hidden="1">
      <c r="A147" s="498"/>
      <c r="B147" s="293"/>
      <c r="C147" s="293"/>
      <c r="D147" s="293"/>
      <c r="E147" s="293"/>
      <c r="F147" s="293"/>
      <c r="G147" s="293"/>
      <c r="H147" s="293"/>
      <c r="I147" s="466"/>
      <c r="J147" s="209" t="s">
        <v>653</v>
      </c>
      <c r="K147" s="113" t="s">
        <v>684</v>
      </c>
      <c r="L147" s="195">
        <v>5</v>
      </c>
      <c r="M147" s="293"/>
      <c r="N147" s="293"/>
    </row>
    <row r="148" spans="1:14" ht="22.5" hidden="1">
      <c r="A148" s="498"/>
      <c r="B148" s="293"/>
      <c r="C148" s="293"/>
      <c r="D148" s="293"/>
      <c r="E148" s="293"/>
      <c r="F148" s="293"/>
      <c r="G148" s="293"/>
      <c r="H148" s="293"/>
      <c r="I148" s="466"/>
      <c r="J148" s="209" t="s">
        <v>685</v>
      </c>
      <c r="K148" s="113" t="s">
        <v>686</v>
      </c>
      <c r="L148" s="195">
        <v>7</v>
      </c>
      <c r="M148" s="293"/>
      <c r="N148" s="293"/>
    </row>
    <row r="149" spans="1:14" ht="22.5" hidden="1">
      <c r="A149" s="498"/>
      <c r="B149" s="293"/>
      <c r="C149" s="293"/>
      <c r="D149" s="293"/>
      <c r="E149" s="293"/>
      <c r="F149" s="293"/>
      <c r="G149" s="293"/>
      <c r="H149" s="293"/>
      <c r="I149" s="466"/>
      <c r="J149" s="209" t="s">
        <v>687</v>
      </c>
      <c r="K149" s="113" t="s">
        <v>688</v>
      </c>
      <c r="L149" s="195">
        <v>5</v>
      </c>
      <c r="M149" s="294"/>
      <c r="N149" s="294"/>
    </row>
    <row r="150" spans="1:14" hidden="1">
      <c r="A150" s="498"/>
      <c r="B150" s="294"/>
      <c r="C150" s="294"/>
      <c r="D150" s="294"/>
      <c r="E150" s="294"/>
      <c r="F150" s="294"/>
      <c r="G150" s="294"/>
      <c r="H150" s="294"/>
      <c r="I150" s="309"/>
      <c r="J150" s="209"/>
      <c r="K150" s="113"/>
      <c r="L150" s="276"/>
      <c r="M150" s="275"/>
      <c r="N150" s="275"/>
    </row>
    <row r="151" spans="1:14" ht="22.5" hidden="1">
      <c r="A151" s="498"/>
      <c r="B151" s="291" t="s">
        <v>690</v>
      </c>
      <c r="C151" s="302">
        <v>12000</v>
      </c>
      <c r="D151" s="291">
        <v>5142</v>
      </c>
      <c r="E151" s="291">
        <v>0.23</v>
      </c>
      <c r="F151" s="302">
        <v>0</v>
      </c>
      <c r="G151" s="302">
        <v>0</v>
      </c>
      <c r="H151" s="302">
        <v>1</v>
      </c>
      <c r="I151" s="291" t="s">
        <v>693</v>
      </c>
      <c r="J151" s="279" t="s">
        <v>691</v>
      </c>
      <c r="K151" s="279" t="s">
        <v>692</v>
      </c>
      <c r="L151" s="280">
        <v>20</v>
      </c>
      <c r="M151" s="441">
        <v>30</v>
      </c>
      <c r="N151" s="454"/>
    </row>
    <row r="152" spans="1:14" hidden="1">
      <c r="A152" s="498"/>
      <c r="B152" s="291"/>
      <c r="C152" s="303"/>
      <c r="D152" s="291"/>
      <c r="E152" s="291"/>
      <c r="F152" s="303"/>
      <c r="G152" s="303"/>
      <c r="H152" s="303"/>
      <c r="I152" s="291"/>
      <c r="J152" s="281" t="s">
        <v>695</v>
      </c>
      <c r="K152" s="279" t="s">
        <v>694</v>
      </c>
      <c r="L152" s="280">
        <v>10</v>
      </c>
      <c r="M152" s="442"/>
      <c r="N152" s="456"/>
    </row>
    <row r="153" spans="1:14" hidden="1">
      <c r="A153" s="498"/>
      <c r="B153" s="291"/>
      <c r="C153" s="303"/>
      <c r="D153" s="291"/>
      <c r="E153" s="291"/>
      <c r="F153" s="303"/>
      <c r="G153" s="303"/>
      <c r="H153" s="303"/>
      <c r="I153" s="291"/>
      <c r="J153" s="282" t="s">
        <v>696</v>
      </c>
      <c r="K153" s="279"/>
      <c r="L153" s="280"/>
      <c r="M153" s="442"/>
      <c r="N153" s="456"/>
    </row>
    <row r="154" spans="1:14" hidden="1">
      <c r="A154" s="498"/>
      <c r="B154" s="291"/>
      <c r="C154" s="303"/>
      <c r="D154" s="291"/>
      <c r="E154" s="291"/>
      <c r="F154" s="303"/>
      <c r="G154" s="303"/>
      <c r="H154" s="303"/>
      <c r="I154" s="291"/>
      <c r="J154" s="283"/>
      <c r="K154" s="279"/>
      <c r="L154" s="280"/>
      <c r="M154" s="443"/>
      <c r="N154" s="456"/>
    </row>
    <row r="155" spans="1:14" ht="22.5" hidden="1">
      <c r="A155" s="498"/>
      <c r="B155" s="311" t="s">
        <v>19</v>
      </c>
      <c r="C155" s="311">
        <v>12000</v>
      </c>
      <c r="D155" s="311">
        <v>4719</v>
      </c>
      <c r="E155" s="311">
        <v>0.45</v>
      </c>
      <c r="F155" s="311">
        <v>0</v>
      </c>
      <c r="G155" s="311">
        <v>0</v>
      </c>
      <c r="H155" s="311">
        <v>0</v>
      </c>
      <c r="I155" s="311" t="s">
        <v>245</v>
      </c>
      <c r="J155" s="48" t="s">
        <v>697</v>
      </c>
      <c r="K155" s="48" t="s">
        <v>698</v>
      </c>
      <c r="L155" s="221">
        <v>29</v>
      </c>
      <c r="M155" s="298">
        <v>194</v>
      </c>
      <c r="N155" s="298"/>
    </row>
    <row r="156" spans="1:14" ht="56.25" hidden="1">
      <c r="A156" s="498"/>
      <c r="B156" s="312"/>
      <c r="C156" s="312"/>
      <c r="D156" s="312"/>
      <c r="E156" s="312"/>
      <c r="F156" s="312"/>
      <c r="G156" s="312"/>
      <c r="H156" s="312"/>
      <c r="I156" s="312"/>
      <c r="J156" s="48" t="s">
        <v>699</v>
      </c>
      <c r="K156" s="48" t="s">
        <v>700</v>
      </c>
      <c r="L156" s="221">
        <v>94</v>
      </c>
      <c r="M156" s="299"/>
      <c r="N156" s="299"/>
    </row>
    <row r="157" spans="1:14" ht="45" hidden="1">
      <c r="A157" s="498"/>
      <c r="B157" s="312"/>
      <c r="C157" s="312"/>
      <c r="D157" s="312"/>
      <c r="E157" s="312"/>
      <c r="F157" s="312"/>
      <c r="G157" s="312"/>
      <c r="H157" s="312"/>
      <c r="I157" s="312"/>
      <c r="J157" s="53" t="s">
        <v>701</v>
      </c>
      <c r="K157" s="48" t="s">
        <v>702</v>
      </c>
      <c r="L157" s="197">
        <v>31</v>
      </c>
      <c r="M157" s="299"/>
      <c r="N157" s="299"/>
    </row>
    <row r="158" spans="1:14" hidden="1">
      <c r="A158" s="498"/>
      <c r="B158" s="312"/>
      <c r="C158" s="312"/>
      <c r="D158" s="312"/>
      <c r="E158" s="312"/>
      <c r="F158" s="312"/>
      <c r="G158" s="312"/>
      <c r="H158" s="312"/>
      <c r="I158" s="312"/>
      <c r="J158" s="54" t="s">
        <v>703</v>
      </c>
      <c r="K158" s="52" t="s">
        <v>704</v>
      </c>
      <c r="L158" s="197">
        <v>19</v>
      </c>
      <c r="M158" s="299"/>
      <c r="N158" s="300"/>
    </row>
    <row r="159" spans="1:14" hidden="1">
      <c r="A159" s="498"/>
      <c r="B159" s="312"/>
      <c r="C159" s="312"/>
      <c r="D159" s="312"/>
      <c r="E159" s="312"/>
      <c r="F159" s="312"/>
      <c r="G159" s="312"/>
      <c r="H159" s="312"/>
      <c r="I159" s="312"/>
      <c r="J159" s="284" t="s">
        <v>705</v>
      </c>
      <c r="K159" s="228" t="s">
        <v>706</v>
      </c>
      <c r="L159" s="277">
        <v>11</v>
      </c>
      <c r="M159" s="299"/>
      <c r="N159" s="278"/>
    </row>
    <row r="160" spans="1:14" ht="33.75" hidden="1">
      <c r="A160" s="494"/>
      <c r="B160" s="313"/>
      <c r="C160" s="313"/>
      <c r="D160" s="313"/>
      <c r="E160" s="313"/>
      <c r="F160" s="313"/>
      <c r="G160" s="313"/>
      <c r="H160" s="313"/>
      <c r="I160" s="313"/>
      <c r="J160" s="285" t="s">
        <v>707</v>
      </c>
      <c r="K160" s="228" t="s">
        <v>708</v>
      </c>
      <c r="L160" s="277">
        <v>10</v>
      </c>
      <c r="M160" s="299"/>
      <c r="N160" s="278"/>
    </row>
    <row r="161" spans="1:14">
      <c r="A161" s="511" t="s">
        <v>723</v>
      </c>
      <c r="B161" s="294" t="s">
        <v>709</v>
      </c>
      <c r="C161" s="294">
        <v>12000</v>
      </c>
      <c r="D161" s="294">
        <v>6560</v>
      </c>
      <c r="E161" s="294">
        <v>0.59</v>
      </c>
      <c r="F161" s="301">
        <v>0</v>
      </c>
      <c r="G161" s="301">
        <v>0</v>
      </c>
      <c r="H161" s="301">
        <v>0</v>
      </c>
      <c r="I161" s="309" t="s">
        <v>710</v>
      </c>
      <c r="J161" s="222" t="s">
        <v>711</v>
      </c>
      <c r="K161" s="110" t="s">
        <v>712</v>
      </c>
      <c r="L161" s="195">
        <v>30</v>
      </c>
      <c r="M161" s="293">
        <f>SUM(L161:L165)</f>
        <v>140</v>
      </c>
      <c r="N161" s="293"/>
    </row>
    <row r="162" spans="1:14">
      <c r="A162" s="512"/>
      <c r="B162" s="310"/>
      <c r="C162" s="310"/>
      <c r="D162" s="310"/>
      <c r="E162" s="310"/>
      <c r="F162" s="293"/>
      <c r="G162" s="293"/>
      <c r="H162" s="293"/>
      <c r="I162" s="308"/>
      <c r="J162" s="209" t="s">
        <v>713</v>
      </c>
      <c r="K162" s="113" t="s">
        <v>714</v>
      </c>
      <c r="L162" s="195">
        <v>20</v>
      </c>
      <c r="M162" s="293"/>
      <c r="N162" s="293"/>
    </row>
    <row r="163" spans="1:14" ht="22.5">
      <c r="A163" s="512"/>
      <c r="B163" s="310"/>
      <c r="C163" s="310"/>
      <c r="D163" s="310"/>
      <c r="E163" s="310"/>
      <c r="F163" s="293"/>
      <c r="G163" s="293"/>
      <c r="H163" s="293"/>
      <c r="I163" s="308"/>
      <c r="J163" s="209" t="s">
        <v>715</v>
      </c>
      <c r="K163" s="113" t="s">
        <v>720</v>
      </c>
      <c r="L163" s="195">
        <v>15</v>
      </c>
      <c r="M163" s="293"/>
      <c r="N163" s="293"/>
    </row>
    <row r="164" spans="1:14" ht="22.5">
      <c r="A164" s="512"/>
      <c r="B164" s="310"/>
      <c r="C164" s="310"/>
      <c r="D164" s="310"/>
      <c r="E164" s="310"/>
      <c r="F164" s="293"/>
      <c r="G164" s="293"/>
      <c r="H164" s="293"/>
      <c r="I164" s="308"/>
      <c r="J164" s="209" t="s">
        <v>718</v>
      </c>
      <c r="K164" s="245" t="s">
        <v>719</v>
      </c>
      <c r="L164" s="246">
        <v>70</v>
      </c>
      <c r="M164" s="293"/>
      <c r="N164" s="293"/>
    </row>
    <row r="165" spans="1:14" ht="22.5" customHeight="1">
      <c r="A165" s="512"/>
      <c r="B165" s="310"/>
      <c r="C165" s="310"/>
      <c r="D165" s="310"/>
      <c r="E165" s="310"/>
      <c r="F165" s="294"/>
      <c r="G165" s="294"/>
      <c r="H165" s="294"/>
      <c r="I165" s="308"/>
      <c r="J165" s="209" t="s">
        <v>716</v>
      </c>
      <c r="K165" s="247" t="s">
        <v>717</v>
      </c>
      <c r="L165" s="244">
        <v>5</v>
      </c>
      <c r="M165" s="294"/>
      <c r="N165" s="294"/>
    </row>
    <row r="166" spans="1:14">
      <c r="A166" s="512"/>
      <c r="B166" s="291"/>
      <c r="C166" s="302"/>
      <c r="D166" s="291"/>
      <c r="E166" s="291"/>
      <c r="F166" s="302"/>
      <c r="G166" s="302"/>
      <c r="H166" s="302"/>
      <c r="I166" s="291"/>
      <c r="J166" s="487"/>
      <c r="K166" s="488"/>
      <c r="L166" s="248"/>
      <c r="M166" s="444"/>
      <c r="N166" s="444"/>
    </row>
    <row r="167" spans="1:14">
      <c r="A167" s="512"/>
      <c r="B167" s="291"/>
      <c r="C167" s="303"/>
      <c r="D167" s="291"/>
      <c r="E167" s="291"/>
      <c r="F167" s="303"/>
      <c r="G167" s="303"/>
      <c r="H167" s="303"/>
      <c r="I167" s="291"/>
      <c r="J167" s="249"/>
      <c r="K167" s="249"/>
      <c r="L167" s="248"/>
      <c r="M167" s="445"/>
      <c r="N167" s="445"/>
    </row>
    <row r="168" spans="1:14">
      <c r="A168" s="512"/>
      <c r="B168" s="291"/>
      <c r="C168" s="303"/>
      <c r="D168" s="291"/>
      <c r="E168" s="291"/>
      <c r="F168" s="303"/>
      <c r="G168" s="303"/>
      <c r="H168" s="303"/>
      <c r="I168" s="291"/>
      <c r="J168" s="249"/>
      <c r="K168" s="249"/>
      <c r="L168" s="248"/>
      <c r="M168" s="445"/>
      <c r="N168" s="445"/>
    </row>
    <row r="169" spans="1:14">
      <c r="A169" s="512"/>
      <c r="B169" s="291"/>
      <c r="C169" s="303"/>
      <c r="D169" s="291"/>
      <c r="E169" s="291"/>
      <c r="F169" s="303"/>
      <c r="G169" s="303"/>
      <c r="H169" s="303"/>
      <c r="I169" s="291"/>
      <c r="J169" s="249"/>
      <c r="K169" s="249"/>
      <c r="L169" s="248"/>
      <c r="M169" s="445"/>
      <c r="N169" s="445"/>
    </row>
    <row r="170" spans="1:14">
      <c r="A170" s="512"/>
      <c r="B170" s="291"/>
      <c r="C170" s="303"/>
      <c r="D170" s="291"/>
      <c r="E170" s="291"/>
      <c r="F170" s="303"/>
      <c r="G170" s="303"/>
      <c r="H170" s="303"/>
      <c r="I170" s="291"/>
      <c r="J170" s="249"/>
      <c r="K170" s="249"/>
      <c r="L170" s="248"/>
      <c r="M170" s="445"/>
      <c r="N170" s="445"/>
    </row>
    <row r="171" spans="1:14">
      <c r="A171" s="512"/>
      <c r="B171" s="291"/>
      <c r="C171" s="303"/>
      <c r="D171" s="291"/>
      <c r="E171" s="291"/>
      <c r="F171" s="303"/>
      <c r="G171" s="303"/>
      <c r="H171" s="303"/>
      <c r="I171" s="291"/>
      <c r="J171" s="249"/>
      <c r="K171" s="249"/>
      <c r="L171" s="248"/>
      <c r="M171" s="445"/>
      <c r="N171" s="445"/>
    </row>
    <row r="172" spans="1:14">
      <c r="A172" s="512"/>
      <c r="B172" s="513" t="s">
        <v>721</v>
      </c>
      <c r="C172" s="311">
        <v>12000</v>
      </c>
      <c r="D172" s="311">
        <v>10752</v>
      </c>
      <c r="E172" s="311">
        <v>0.02</v>
      </c>
      <c r="F172" s="311">
        <v>0</v>
      </c>
      <c r="G172" s="311">
        <v>0</v>
      </c>
      <c r="H172" s="311">
        <v>0</v>
      </c>
      <c r="I172" s="311" t="s">
        <v>722</v>
      </c>
      <c r="J172" s="53" t="s">
        <v>727</v>
      </c>
      <c r="K172" s="48" t="s">
        <v>724</v>
      </c>
      <c r="L172" s="221">
        <v>11</v>
      </c>
      <c r="M172" s="298">
        <v>53</v>
      </c>
      <c r="N172" s="507"/>
    </row>
    <row r="173" spans="1:14" ht="22.5">
      <c r="A173" s="512"/>
      <c r="B173" s="514"/>
      <c r="C173" s="312"/>
      <c r="D173" s="312"/>
      <c r="E173" s="312"/>
      <c r="F173" s="312"/>
      <c r="G173" s="312"/>
      <c r="H173" s="312"/>
      <c r="I173" s="312"/>
      <c r="J173" s="53" t="s">
        <v>725</v>
      </c>
      <c r="K173" s="286" t="s">
        <v>726</v>
      </c>
      <c r="L173" s="221">
        <v>8</v>
      </c>
      <c r="M173" s="299"/>
      <c r="N173" s="508"/>
    </row>
    <row r="174" spans="1:14" ht="33.75">
      <c r="A174" s="512"/>
      <c r="B174" s="514"/>
      <c r="C174" s="312"/>
      <c r="D174" s="312"/>
      <c r="E174" s="312"/>
      <c r="F174" s="312"/>
      <c r="G174" s="312"/>
      <c r="H174" s="312"/>
      <c r="I174" s="312"/>
      <c r="J174" s="53" t="s">
        <v>728</v>
      </c>
      <c r="K174" s="157" t="s">
        <v>731</v>
      </c>
      <c r="L174" s="197">
        <v>12</v>
      </c>
      <c r="M174" s="299"/>
      <c r="N174" s="508"/>
    </row>
    <row r="175" spans="1:14" ht="33.75">
      <c r="A175" s="512"/>
      <c r="B175" s="514"/>
      <c r="C175" s="312"/>
      <c r="D175" s="312"/>
      <c r="E175" s="312"/>
      <c r="F175" s="312"/>
      <c r="G175" s="312"/>
      <c r="H175" s="312"/>
      <c r="I175" s="312"/>
      <c r="J175" s="53" t="s">
        <v>729</v>
      </c>
      <c r="K175" s="250" t="s">
        <v>730</v>
      </c>
      <c r="L175" s="198">
        <v>12</v>
      </c>
      <c r="M175" s="299"/>
      <c r="N175" s="508"/>
    </row>
    <row r="176" spans="1:14" ht="14.25" customHeight="1">
      <c r="A176" s="512"/>
      <c r="B176" s="514"/>
      <c r="C176" s="312"/>
      <c r="D176" s="312"/>
      <c r="E176" s="312"/>
      <c r="F176" s="312"/>
      <c r="G176" s="312"/>
      <c r="H176" s="312"/>
      <c r="I176" s="312"/>
      <c r="J176" s="53" t="s">
        <v>732</v>
      </c>
      <c r="K176" s="251" t="s">
        <v>733</v>
      </c>
      <c r="L176" s="198">
        <v>5</v>
      </c>
      <c r="M176" s="299"/>
      <c r="N176" s="508"/>
    </row>
    <row r="177" spans="1:14" ht="15" customHeight="1">
      <c r="A177" s="512"/>
      <c r="B177" s="514"/>
      <c r="C177" s="312"/>
      <c r="D177" s="312"/>
      <c r="E177" s="312"/>
      <c r="F177" s="312"/>
      <c r="G177" s="312"/>
      <c r="H177" s="312"/>
      <c r="I177" s="312"/>
      <c r="J177" s="53" t="s">
        <v>734</v>
      </c>
      <c r="K177" s="125" t="s">
        <v>735</v>
      </c>
      <c r="L177" s="287">
        <v>5</v>
      </c>
      <c r="M177" s="299"/>
      <c r="N177" s="508"/>
    </row>
    <row r="178" spans="1:14" ht="23.25" thickBot="1">
      <c r="A178" s="502"/>
      <c r="B178" s="515"/>
      <c r="C178" s="510"/>
      <c r="D178" s="510"/>
      <c r="E178" s="510"/>
      <c r="F178" s="510"/>
      <c r="G178" s="510"/>
      <c r="H178" s="510"/>
      <c r="I178" s="510"/>
      <c r="J178" s="203" t="s">
        <v>736</v>
      </c>
      <c r="K178" s="290" t="s">
        <v>737</v>
      </c>
      <c r="L178" s="289"/>
      <c r="M178" s="446"/>
      <c r="N178" s="509"/>
    </row>
    <row r="179" spans="1:14">
      <c r="A179" s="502"/>
      <c r="B179" s="478"/>
      <c r="C179" s="474"/>
      <c r="D179" s="474"/>
      <c r="E179" s="474"/>
      <c r="F179" s="431"/>
      <c r="G179" s="431"/>
      <c r="H179" s="431"/>
      <c r="I179" s="457"/>
      <c r="J179" s="252"/>
      <c r="K179" s="110"/>
      <c r="L179" s="288"/>
      <c r="M179" s="437"/>
      <c r="N179" s="437"/>
    </row>
    <row r="180" spans="1:14">
      <c r="A180" s="503"/>
      <c r="B180" s="480"/>
      <c r="C180" s="310"/>
      <c r="D180" s="310"/>
      <c r="E180" s="310"/>
      <c r="F180" s="293"/>
      <c r="G180" s="293"/>
      <c r="H180" s="293"/>
      <c r="I180" s="308"/>
      <c r="J180" s="489"/>
      <c r="K180" s="490"/>
      <c r="L180" s="491"/>
      <c r="M180" s="438"/>
      <c r="N180" s="438"/>
    </row>
    <row r="181" spans="1:14">
      <c r="A181" s="503"/>
      <c r="B181" s="480"/>
      <c r="C181" s="310"/>
      <c r="D181" s="310"/>
      <c r="E181" s="310"/>
      <c r="F181" s="293"/>
      <c r="G181" s="293"/>
      <c r="H181" s="293"/>
      <c r="I181" s="308"/>
      <c r="J181" s="254"/>
      <c r="K181" s="254"/>
      <c r="L181" s="255"/>
      <c r="M181" s="461"/>
      <c r="N181" s="461"/>
    </row>
    <row r="182" spans="1:14" ht="12" thickBot="1">
      <c r="A182" s="503"/>
      <c r="B182" s="481"/>
      <c r="C182" s="475"/>
      <c r="D182" s="475"/>
      <c r="E182" s="475"/>
      <c r="F182" s="432"/>
      <c r="G182" s="432"/>
      <c r="H182" s="432"/>
      <c r="I182" s="458"/>
      <c r="J182" s="256"/>
      <c r="K182" s="256"/>
      <c r="L182" s="257"/>
      <c r="M182" s="462"/>
      <c r="N182" s="462"/>
    </row>
    <row r="183" spans="1:14">
      <c r="A183" s="495"/>
      <c r="B183" s="304"/>
      <c r="C183" s="303"/>
      <c r="D183" s="304"/>
      <c r="E183" s="304"/>
      <c r="F183" s="303"/>
      <c r="G183" s="303"/>
      <c r="H183" s="303"/>
      <c r="I183" s="304"/>
      <c r="J183" s="258"/>
      <c r="K183" s="258"/>
      <c r="L183" s="259"/>
      <c r="M183" s="436"/>
      <c r="N183" s="436"/>
    </row>
    <row r="184" spans="1:14">
      <c r="A184" s="495"/>
      <c r="B184" s="291"/>
      <c r="C184" s="303"/>
      <c r="D184" s="291"/>
      <c r="E184" s="291"/>
      <c r="F184" s="303"/>
      <c r="G184" s="303"/>
      <c r="H184" s="303"/>
      <c r="I184" s="291"/>
      <c r="J184" s="213"/>
      <c r="K184" s="213"/>
      <c r="L184" s="212"/>
      <c r="M184" s="436"/>
      <c r="N184" s="436"/>
    </row>
    <row r="185" spans="1:14">
      <c r="A185" s="496"/>
      <c r="B185" s="292"/>
      <c r="C185" s="292"/>
      <c r="D185" s="292"/>
      <c r="E185" s="292"/>
      <c r="F185" s="292"/>
      <c r="G185" s="292"/>
      <c r="H185" s="292"/>
      <c r="I185" s="292"/>
      <c r="J185" s="48"/>
      <c r="K185" s="48"/>
      <c r="L185" s="221"/>
      <c r="M185" s="298"/>
      <c r="N185" s="298"/>
    </row>
    <row r="186" spans="1:14">
      <c r="A186" s="496"/>
      <c r="B186" s="292"/>
      <c r="C186" s="292"/>
      <c r="D186" s="292"/>
      <c r="E186" s="292"/>
      <c r="F186" s="292"/>
      <c r="G186" s="292"/>
      <c r="H186" s="292"/>
      <c r="I186" s="292"/>
      <c r="J186" s="54"/>
      <c r="K186" s="52"/>
      <c r="L186" s="197"/>
      <c r="M186" s="299"/>
      <c r="N186" s="299"/>
    </row>
    <row r="187" spans="1:14" ht="12" thickBot="1">
      <c r="A187" s="496"/>
      <c r="B187" s="311"/>
      <c r="C187" s="311"/>
      <c r="D187" s="311"/>
      <c r="E187" s="311"/>
      <c r="F187" s="311"/>
      <c r="G187" s="311"/>
      <c r="H187" s="311"/>
      <c r="I187" s="311"/>
      <c r="J187" s="75"/>
      <c r="K187" s="76"/>
      <c r="L187" s="198"/>
      <c r="M187" s="299"/>
      <c r="N187" s="299"/>
    </row>
    <row r="188" spans="1:14">
      <c r="A188" s="502"/>
      <c r="B188" s="478"/>
      <c r="C188" s="474"/>
      <c r="D188" s="474"/>
      <c r="E188" s="474"/>
      <c r="F188" s="431"/>
      <c r="G188" s="431"/>
      <c r="H188" s="431"/>
      <c r="I188" s="457"/>
      <c r="J188" s="492"/>
      <c r="K188" s="493"/>
      <c r="L188" s="253"/>
      <c r="M188" s="260"/>
      <c r="N188" s="260"/>
    </row>
    <row r="189" spans="1:14">
      <c r="A189" s="502"/>
      <c r="B189" s="479"/>
      <c r="C189" s="294"/>
      <c r="D189" s="294"/>
      <c r="E189" s="294"/>
      <c r="F189" s="293"/>
      <c r="G189" s="293"/>
      <c r="H189" s="293"/>
      <c r="I189" s="309"/>
      <c r="J189" s="261"/>
      <c r="K189" s="262"/>
      <c r="L189" s="263"/>
      <c r="M189" s="463"/>
      <c r="N189" s="463"/>
    </row>
    <row r="190" spans="1:14">
      <c r="A190" s="503"/>
      <c r="B190" s="480"/>
      <c r="C190" s="310"/>
      <c r="D190" s="310"/>
      <c r="E190" s="310"/>
      <c r="F190" s="293"/>
      <c r="G190" s="293"/>
      <c r="H190" s="293"/>
      <c r="I190" s="308"/>
      <c r="J190" s="261"/>
      <c r="K190" s="264"/>
      <c r="L190" s="265"/>
      <c r="M190" s="463"/>
      <c r="N190" s="463"/>
    </row>
    <row r="191" spans="1:14" ht="12" thickBot="1">
      <c r="A191" s="503"/>
      <c r="B191" s="481"/>
      <c r="C191" s="475"/>
      <c r="D191" s="475"/>
      <c r="E191" s="475"/>
      <c r="F191" s="432"/>
      <c r="G191" s="432"/>
      <c r="H191" s="432"/>
      <c r="I191" s="458"/>
      <c r="J191" s="266"/>
      <c r="K191" s="267"/>
      <c r="L191" s="268"/>
      <c r="M191" s="464"/>
      <c r="N191" s="464"/>
    </row>
    <row r="192" spans="1:14">
      <c r="A192" s="495"/>
      <c r="B192" s="304"/>
      <c r="C192" s="303"/>
      <c r="D192" s="304"/>
      <c r="E192" s="304"/>
      <c r="F192" s="303"/>
      <c r="G192" s="303"/>
      <c r="H192" s="303"/>
      <c r="I192" s="304"/>
      <c r="J192" s="87"/>
      <c r="K192" s="88"/>
      <c r="L192" s="269"/>
      <c r="M192" s="436"/>
      <c r="N192" s="436"/>
    </row>
    <row r="193" spans="1:14">
      <c r="A193" s="495"/>
      <c r="B193" s="291"/>
      <c r="C193" s="303"/>
      <c r="D193" s="291"/>
      <c r="E193" s="291"/>
      <c r="F193" s="303"/>
      <c r="G193" s="303"/>
      <c r="H193" s="303"/>
      <c r="I193" s="291"/>
      <c r="J193" s="213"/>
      <c r="K193" s="213"/>
      <c r="L193" s="212"/>
      <c r="M193" s="436"/>
      <c r="N193" s="436"/>
    </row>
    <row r="194" spans="1:14">
      <c r="A194" s="496"/>
      <c r="B194" s="292"/>
      <c r="C194" s="292"/>
      <c r="D194" s="292"/>
      <c r="E194" s="292"/>
      <c r="F194" s="292"/>
      <c r="G194" s="292"/>
      <c r="H194" s="292"/>
      <c r="I194" s="292"/>
      <c r="J194" s="220"/>
      <c r="K194" s="52"/>
      <c r="L194" s="221"/>
      <c r="M194" s="298"/>
      <c r="N194" s="298"/>
    </row>
    <row r="195" spans="1:14">
      <c r="A195" s="496"/>
      <c r="B195" s="292"/>
      <c r="C195" s="292"/>
      <c r="D195" s="292"/>
      <c r="E195" s="292"/>
      <c r="F195" s="292"/>
      <c r="G195" s="292"/>
      <c r="H195" s="292"/>
      <c r="I195" s="292"/>
      <c r="J195" s="48"/>
      <c r="K195" s="48"/>
      <c r="L195" s="221"/>
      <c r="M195" s="299"/>
      <c r="N195" s="299"/>
    </row>
    <row r="196" spans="1:14">
      <c r="A196" s="496"/>
      <c r="B196" s="292"/>
      <c r="C196" s="292"/>
      <c r="D196" s="292"/>
      <c r="E196" s="292"/>
      <c r="F196" s="292"/>
      <c r="G196" s="292"/>
      <c r="H196" s="292"/>
      <c r="I196" s="292"/>
      <c r="J196" s="51"/>
      <c r="K196" s="52"/>
      <c r="L196" s="197"/>
      <c r="M196" s="299"/>
      <c r="N196" s="299"/>
    </row>
    <row r="197" spans="1:14">
      <c r="A197" s="496"/>
      <c r="B197" s="292"/>
      <c r="C197" s="292"/>
      <c r="D197" s="292"/>
      <c r="E197" s="292"/>
      <c r="F197" s="292"/>
      <c r="G197" s="292"/>
      <c r="H197" s="292"/>
      <c r="I197" s="292"/>
      <c r="J197" s="54"/>
      <c r="K197" s="52"/>
      <c r="L197" s="197"/>
      <c r="M197" s="300"/>
      <c r="N197" s="300"/>
    </row>
  </sheetData>
  <mergeCells count="463">
    <mergeCell ref="G172:G178"/>
    <mergeCell ref="H172:H178"/>
    <mergeCell ref="I172:I178"/>
    <mergeCell ref="B179:B182"/>
    <mergeCell ref="A146:A160"/>
    <mergeCell ref="B155:B160"/>
    <mergeCell ref="C155:C160"/>
    <mergeCell ref="D155:D160"/>
    <mergeCell ref="E155:E160"/>
    <mergeCell ref="F155:F160"/>
    <mergeCell ref="G155:G160"/>
    <mergeCell ref="H155:H160"/>
    <mergeCell ref="C161:C165"/>
    <mergeCell ref="C166:C171"/>
    <mergeCell ref="E179:E182"/>
    <mergeCell ref="F179:F182"/>
    <mergeCell ref="G146:G150"/>
    <mergeCell ref="G179:G182"/>
    <mergeCell ref="A161:A178"/>
    <mergeCell ref="B172:B178"/>
    <mergeCell ref="C172:C178"/>
    <mergeCell ref="D172:D178"/>
    <mergeCell ref="E172:E178"/>
    <mergeCell ref="F172:F178"/>
    <mergeCell ref="N185:N187"/>
    <mergeCell ref="N189:N191"/>
    <mergeCell ref="N192:N193"/>
    <mergeCell ref="N194:N197"/>
    <mergeCell ref="N123:N128"/>
    <mergeCell ref="N129:N133"/>
    <mergeCell ref="N134:N137"/>
    <mergeCell ref="N138:N141"/>
    <mergeCell ref="N142:N145"/>
    <mergeCell ref="N146:N149"/>
    <mergeCell ref="N151:N154"/>
    <mergeCell ref="N155:N158"/>
    <mergeCell ref="N161:N165"/>
    <mergeCell ref="N166:N171"/>
    <mergeCell ref="N172:N178"/>
    <mergeCell ref="N82:N86"/>
    <mergeCell ref="N88:N91"/>
    <mergeCell ref="N97:N100"/>
    <mergeCell ref="N101:N105"/>
    <mergeCell ref="N106:N109"/>
    <mergeCell ref="N110:N113"/>
    <mergeCell ref="N114:N117"/>
    <mergeCell ref="N119:N122"/>
    <mergeCell ref="N45:N48"/>
    <mergeCell ref="N49:N52"/>
    <mergeCell ref="N53:N56"/>
    <mergeCell ref="N57:N61"/>
    <mergeCell ref="N62:N65"/>
    <mergeCell ref="N66:N71"/>
    <mergeCell ref="N72:N75"/>
    <mergeCell ref="N76:N77"/>
    <mergeCell ref="N78:N81"/>
    <mergeCell ref="N3:N6"/>
    <mergeCell ref="N7:N12"/>
    <mergeCell ref="N13:N16"/>
    <mergeCell ref="N17:N20"/>
    <mergeCell ref="N21:N26"/>
    <mergeCell ref="N27:N30"/>
    <mergeCell ref="N31:N34"/>
    <mergeCell ref="N35:N40"/>
    <mergeCell ref="N41:N44"/>
    <mergeCell ref="A1:K1"/>
    <mergeCell ref="J118:K118"/>
    <mergeCell ref="J166:K166"/>
    <mergeCell ref="J180:L180"/>
    <mergeCell ref="J188:K188"/>
    <mergeCell ref="A3:A16"/>
    <mergeCell ref="A17:A30"/>
    <mergeCell ref="A31:A44"/>
    <mergeCell ref="A45:A56"/>
    <mergeCell ref="A57:A71"/>
    <mergeCell ref="A72:A81"/>
    <mergeCell ref="A82:A92"/>
    <mergeCell ref="A93:A105"/>
    <mergeCell ref="A106:A117"/>
    <mergeCell ref="A134:A145"/>
    <mergeCell ref="A179:A187"/>
    <mergeCell ref="A188:A197"/>
    <mergeCell ref="B3:B6"/>
    <mergeCell ref="B7:B12"/>
    <mergeCell ref="B13:B16"/>
    <mergeCell ref="B17:B20"/>
    <mergeCell ref="B21:B26"/>
    <mergeCell ref="A119:A133"/>
    <mergeCell ref="I155:I160"/>
    <mergeCell ref="B27:B30"/>
    <mergeCell ref="B31:B34"/>
    <mergeCell ref="B35:B40"/>
    <mergeCell ref="B41:B44"/>
    <mergeCell ref="B45:B48"/>
    <mergeCell ref="B49:B52"/>
    <mergeCell ref="B53:B56"/>
    <mergeCell ref="B57:B61"/>
    <mergeCell ref="B62:B65"/>
    <mergeCell ref="B66:B71"/>
    <mergeCell ref="B72:B75"/>
    <mergeCell ref="B76:B77"/>
    <mergeCell ref="B78:B81"/>
    <mergeCell ref="B82:B86"/>
    <mergeCell ref="B88:B92"/>
    <mergeCell ref="B93:B96"/>
    <mergeCell ref="B97:B100"/>
    <mergeCell ref="B101:B105"/>
    <mergeCell ref="B188:B191"/>
    <mergeCell ref="B192:B193"/>
    <mergeCell ref="B194:B197"/>
    <mergeCell ref="C3:C6"/>
    <mergeCell ref="C7:C12"/>
    <mergeCell ref="C13:C16"/>
    <mergeCell ref="C17:C20"/>
    <mergeCell ref="C21:C26"/>
    <mergeCell ref="C27:C30"/>
    <mergeCell ref="C31:C34"/>
    <mergeCell ref="C35:C40"/>
    <mergeCell ref="C41:C44"/>
    <mergeCell ref="C45:C48"/>
    <mergeCell ref="C49:C52"/>
    <mergeCell ref="C53:C56"/>
    <mergeCell ref="C57:C61"/>
    <mergeCell ref="C62:C65"/>
    <mergeCell ref="C66:C71"/>
    <mergeCell ref="C72:C75"/>
    <mergeCell ref="C76:C77"/>
    <mergeCell ref="C78:C81"/>
    <mergeCell ref="C82:C86"/>
    <mergeCell ref="B151:B154"/>
    <mergeCell ref="B161:B165"/>
    <mergeCell ref="D82:D86"/>
    <mergeCell ref="D88:D92"/>
    <mergeCell ref="D93:D96"/>
    <mergeCell ref="D97:D100"/>
    <mergeCell ref="D101:D105"/>
    <mergeCell ref="D106:D109"/>
    <mergeCell ref="D110:D113"/>
    <mergeCell ref="B183:B184"/>
    <mergeCell ref="B185:B187"/>
    <mergeCell ref="B166:B171"/>
    <mergeCell ref="B106:B109"/>
    <mergeCell ref="B110:B113"/>
    <mergeCell ref="B114:B118"/>
    <mergeCell ref="B119:B122"/>
    <mergeCell ref="B134:B137"/>
    <mergeCell ref="B123:B128"/>
    <mergeCell ref="B129:B133"/>
    <mergeCell ref="B138:B141"/>
    <mergeCell ref="B146:B150"/>
    <mergeCell ref="B142:B145"/>
    <mergeCell ref="C146:C150"/>
    <mergeCell ref="C114:C118"/>
    <mergeCell ref="C119:C122"/>
    <mergeCell ref="C123:C126"/>
    <mergeCell ref="C134:C137"/>
    <mergeCell ref="C138:C141"/>
    <mergeCell ref="C142:C145"/>
    <mergeCell ref="C151:C154"/>
    <mergeCell ref="C88:C92"/>
    <mergeCell ref="C93:C96"/>
    <mergeCell ref="C97:C100"/>
    <mergeCell ref="C101:C105"/>
    <mergeCell ref="C106:C109"/>
    <mergeCell ref="C110:C113"/>
    <mergeCell ref="D45:D48"/>
    <mergeCell ref="D49:D52"/>
    <mergeCell ref="D53:D56"/>
    <mergeCell ref="D57:D61"/>
    <mergeCell ref="D62:D65"/>
    <mergeCell ref="D66:D71"/>
    <mergeCell ref="D72:D75"/>
    <mergeCell ref="D76:D77"/>
    <mergeCell ref="D78:D81"/>
    <mergeCell ref="D3:D6"/>
    <mergeCell ref="D7:D12"/>
    <mergeCell ref="D13:D16"/>
    <mergeCell ref="D17:D20"/>
    <mergeCell ref="D21:D26"/>
    <mergeCell ref="D27:D30"/>
    <mergeCell ref="D31:D34"/>
    <mergeCell ref="D35:D40"/>
    <mergeCell ref="D41:D44"/>
    <mergeCell ref="D114:D118"/>
    <mergeCell ref="D119:D122"/>
    <mergeCell ref="D134:D137"/>
    <mergeCell ref="D138:D141"/>
    <mergeCell ref="D142:D145"/>
    <mergeCell ref="D151:D154"/>
    <mergeCell ref="C194:C197"/>
    <mergeCell ref="C179:C182"/>
    <mergeCell ref="C183:C184"/>
    <mergeCell ref="C185:C187"/>
    <mergeCell ref="C188:C191"/>
    <mergeCell ref="C192:C193"/>
    <mergeCell ref="D123:D128"/>
    <mergeCell ref="D129:D133"/>
    <mergeCell ref="D161:D165"/>
    <mergeCell ref="D166:D171"/>
    <mergeCell ref="D179:D182"/>
    <mergeCell ref="D183:D184"/>
    <mergeCell ref="D185:D187"/>
    <mergeCell ref="D188:D191"/>
    <mergeCell ref="D192:D193"/>
    <mergeCell ref="D194:D197"/>
    <mergeCell ref="D146:D150"/>
    <mergeCell ref="C129:C133"/>
    <mergeCell ref="E3:E6"/>
    <mergeCell ref="E7:E12"/>
    <mergeCell ref="E13:E16"/>
    <mergeCell ref="E17:E20"/>
    <mergeCell ref="E21:E26"/>
    <mergeCell ref="E27:E30"/>
    <mergeCell ref="E31:E34"/>
    <mergeCell ref="E35:E40"/>
    <mergeCell ref="E41:E44"/>
    <mergeCell ref="E45:E48"/>
    <mergeCell ref="E49:E52"/>
    <mergeCell ref="E53:E56"/>
    <mergeCell ref="E57:E61"/>
    <mergeCell ref="E62:E65"/>
    <mergeCell ref="E66:E71"/>
    <mergeCell ref="E72:E75"/>
    <mergeCell ref="E76:E77"/>
    <mergeCell ref="E78:E81"/>
    <mergeCell ref="E146:E150"/>
    <mergeCell ref="F88:F92"/>
    <mergeCell ref="E82:E86"/>
    <mergeCell ref="E88:E92"/>
    <mergeCell ref="E93:E96"/>
    <mergeCell ref="E151:E154"/>
    <mergeCell ref="E161:E165"/>
    <mergeCell ref="E123:E128"/>
    <mergeCell ref="E129:E133"/>
    <mergeCell ref="F142:F145"/>
    <mergeCell ref="F151:F154"/>
    <mergeCell ref="F161:F165"/>
    <mergeCell ref="F134:F137"/>
    <mergeCell ref="F129:F133"/>
    <mergeCell ref="E97:E100"/>
    <mergeCell ref="E101:E105"/>
    <mergeCell ref="E106:E109"/>
    <mergeCell ref="E110:E113"/>
    <mergeCell ref="E114:E118"/>
    <mergeCell ref="E119:E122"/>
    <mergeCell ref="E134:E137"/>
    <mergeCell ref="E138:E141"/>
    <mergeCell ref="E142:E145"/>
    <mergeCell ref="E166:E171"/>
    <mergeCell ref="E183:E184"/>
    <mergeCell ref="E185:E187"/>
    <mergeCell ref="E188:E191"/>
    <mergeCell ref="E192:E193"/>
    <mergeCell ref="E194:E197"/>
    <mergeCell ref="F3:F6"/>
    <mergeCell ref="F7:F12"/>
    <mergeCell ref="F13:F16"/>
    <mergeCell ref="F17:F20"/>
    <mergeCell ref="F21:F26"/>
    <mergeCell ref="F27:F30"/>
    <mergeCell ref="F31:F34"/>
    <mergeCell ref="F41:F44"/>
    <mergeCell ref="F45:F48"/>
    <mergeCell ref="F49:F52"/>
    <mergeCell ref="F53:F56"/>
    <mergeCell ref="F57:F61"/>
    <mergeCell ref="F62:F65"/>
    <mergeCell ref="F66:F69"/>
    <mergeCell ref="F72:F75"/>
    <mergeCell ref="F76:F77"/>
    <mergeCell ref="F78:F81"/>
    <mergeCell ref="F82:F86"/>
    <mergeCell ref="F166:F171"/>
    <mergeCell ref="F93:F96"/>
    <mergeCell ref="F97:F100"/>
    <mergeCell ref="F101:F105"/>
    <mergeCell ref="F106:F109"/>
    <mergeCell ref="F110:F113"/>
    <mergeCell ref="F114:F118"/>
    <mergeCell ref="F119:F122"/>
    <mergeCell ref="F123:F126"/>
    <mergeCell ref="F138:F141"/>
    <mergeCell ref="F146:F150"/>
    <mergeCell ref="F183:F184"/>
    <mergeCell ref="F185:F187"/>
    <mergeCell ref="F188:F191"/>
    <mergeCell ref="F192:F193"/>
    <mergeCell ref="F194:F197"/>
    <mergeCell ref="G3:G6"/>
    <mergeCell ref="G7:G12"/>
    <mergeCell ref="G13:G16"/>
    <mergeCell ref="G17:G20"/>
    <mergeCell ref="G21:G26"/>
    <mergeCell ref="G27:G30"/>
    <mergeCell ref="G31:G34"/>
    <mergeCell ref="G41:G44"/>
    <mergeCell ref="G45:G48"/>
    <mergeCell ref="G49:G52"/>
    <mergeCell ref="G53:G56"/>
    <mergeCell ref="G57:G61"/>
    <mergeCell ref="G62:G65"/>
    <mergeCell ref="G66:G69"/>
    <mergeCell ref="G72:G75"/>
    <mergeCell ref="G76:G77"/>
    <mergeCell ref="G78:G81"/>
    <mergeCell ref="G82:G86"/>
    <mergeCell ref="G166:G171"/>
    <mergeCell ref="G88:G92"/>
    <mergeCell ref="G93:G96"/>
    <mergeCell ref="G97:G100"/>
    <mergeCell ref="G101:G105"/>
    <mergeCell ref="G106:G109"/>
    <mergeCell ref="G110:G113"/>
    <mergeCell ref="G114:G118"/>
    <mergeCell ref="G119:G122"/>
    <mergeCell ref="G123:G126"/>
    <mergeCell ref="H194:H197"/>
    <mergeCell ref="H142:H145"/>
    <mergeCell ref="H151:H154"/>
    <mergeCell ref="H161:H165"/>
    <mergeCell ref="H146:H150"/>
    <mergeCell ref="G194:G197"/>
    <mergeCell ref="H3:H6"/>
    <mergeCell ref="H7:H12"/>
    <mergeCell ref="H13:H16"/>
    <mergeCell ref="H17:H20"/>
    <mergeCell ref="H21:H26"/>
    <mergeCell ref="H27:H30"/>
    <mergeCell ref="H31:H34"/>
    <mergeCell ref="H41:H44"/>
    <mergeCell ref="H45:H48"/>
    <mergeCell ref="H49:H52"/>
    <mergeCell ref="H53:H56"/>
    <mergeCell ref="H57:H61"/>
    <mergeCell ref="H62:H65"/>
    <mergeCell ref="H66:H69"/>
    <mergeCell ref="H72:H75"/>
    <mergeCell ref="H76:H77"/>
    <mergeCell ref="H78:H81"/>
    <mergeCell ref="G138:G141"/>
    <mergeCell ref="I3:I6"/>
    <mergeCell ref="I7:I12"/>
    <mergeCell ref="I13:I16"/>
    <mergeCell ref="I17:I20"/>
    <mergeCell ref="I21:I26"/>
    <mergeCell ref="I27:I30"/>
    <mergeCell ref="I31:I34"/>
    <mergeCell ref="I35:I40"/>
    <mergeCell ref="I41:I44"/>
    <mergeCell ref="I45:I48"/>
    <mergeCell ref="I49:I52"/>
    <mergeCell ref="I53:I56"/>
    <mergeCell ref="I57:I61"/>
    <mergeCell ref="I62:I65"/>
    <mergeCell ref="I66:I71"/>
    <mergeCell ref="I72:I75"/>
    <mergeCell ref="H123:H126"/>
    <mergeCell ref="H138:H141"/>
    <mergeCell ref="H134:H137"/>
    <mergeCell ref="I114:I118"/>
    <mergeCell ref="I119:I122"/>
    <mergeCell ref="I134:I137"/>
    <mergeCell ref="I138:I141"/>
    <mergeCell ref="H88:H92"/>
    <mergeCell ref="H93:H96"/>
    <mergeCell ref="H97:H100"/>
    <mergeCell ref="H101:H105"/>
    <mergeCell ref="H106:H109"/>
    <mergeCell ref="H110:H113"/>
    <mergeCell ref="H114:H118"/>
    <mergeCell ref="H119:H122"/>
    <mergeCell ref="H82:H86"/>
    <mergeCell ref="I123:I128"/>
    <mergeCell ref="I76:I77"/>
    <mergeCell ref="I78:I81"/>
    <mergeCell ref="I82:I86"/>
    <mergeCell ref="I88:I92"/>
    <mergeCell ref="I93:I96"/>
    <mergeCell ref="I97:I100"/>
    <mergeCell ref="I101:I105"/>
    <mergeCell ref="I106:I109"/>
    <mergeCell ref="I110:I113"/>
    <mergeCell ref="M78:M81"/>
    <mergeCell ref="I161:I165"/>
    <mergeCell ref="I166:I171"/>
    <mergeCell ref="I179:I182"/>
    <mergeCell ref="I183:I184"/>
    <mergeCell ref="I185:I187"/>
    <mergeCell ref="I188:I191"/>
    <mergeCell ref="M123:M128"/>
    <mergeCell ref="M129:M133"/>
    <mergeCell ref="M88:M91"/>
    <mergeCell ref="M97:M100"/>
    <mergeCell ref="M101:M105"/>
    <mergeCell ref="M106:M109"/>
    <mergeCell ref="M110:M113"/>
    <mergeCell ref="M114:M117"/>
    <mergeCell ref="M119:M122"/>
    <mergeCell ref="M179:M180"/>
    <mergeCell ref="M181:M182"/>
    <mergeCell ref="M183:M184"/>
    <mergeCell ref="M185:M187"/>
    <mergeCell ref="M189:M191"/>
    <mergeCell ref="I146:I150"/>
    <mergeCell ref="I129:I133"/>
    <mergeCell ref="I194:I197"/>
    <mergeCell ref="J72:J75"/>
    <mergeCell ref="J76:J77"/>
    <mergeCell ref="K76:K77"/>
    <mergeCell ref="L9:L10"/>
    <mergeCell ref="L76:L77"/>
    <mergeCell ref="M3:M6"/>
    <mergeCell ref="M7:M12"/>
    <mergeCell ref="M13:M16"/>
    <mergeCell ref="M17:M20"/>
    <mergeCell ref="M21:M26"/>
    <mergeCell ref="M27:M30"/>
    <mergeCell ref="M31:M34"/>
    <mergeCell ref="M35:M40"/>
    <mergeCell ref="M41:M44"/>
    <mergeCell ref="M45:M48"/>
    <mergeCell ref="M49:M52"/>
    <mergeCell ref="M53:M56"/>
    <mergeCell ref="M57:M61"/>
    <mergeCell ref="M62:M65"/>
    <mergeCell ref="M66:M71"/>
    <mergeCell ref="M72:M75"/>
    <mergeCell ref="M76:M77"/>
    <mergeCell ref="M82:M86"/>
    <mergeCell ref="M194:M197"/>
    <mergeCell ref="M134:M137"/>
    <mergeCell ref="M138:M141"/>
    <mergeCell ref="M142:M145"/>
    <mergeCell ref="M146:M149"/>
    <mergeCell ref="M151:M154"/>
    <mergeCell ref="M161:M165"/>
    <mergeCell ref="M166:M171"/>
    <mergeCell ref="M155:M160"/>
    <mergeCell ref="M172:M178"/>
    <mergeCell ref="G183:G184"/>
    <mergeCell ref="G185:G187"/>
    <mergeCell ref="G188:G191"/>
    <mergeCell ref="G192:G193"/>
    <mergeCell ref="O129:O133"/>
    <mergeCell ref="M192:M193"/>
    <mergeCell ref="I192:I193"/>
    <mergeCell ref="H166:H171"/>
    <mergeCell ref="H179:H182"/>
    <mergeCell ref="H183:H184"/>
    <mergeCell ref="H185:H187"/>
    <mergeCell ref="H188:H191"/>
    <mergeCell ref="H192:H193"/>
    <mergeCell ref="H129:H133"/>
    <mergeCell ref="I142:I145"/>
    <mergeCell ref="I151:I154"/>
    <mergeCell ref="G142:G145"/>
    <mergeCell ref="G151:G154"/>
    <mergeCell ref="G161:G165"/>
    <mergeCell ref="G134:G137"/>
    <mergeCell ref="G129:G133"/>
    <mergeCell ref="N179:N180"/>
    <mergeCell ref="N181:N182"/>
    <mergeCell ref="N183:N184"/>
  </mergeCells>
  <phoneticPr fontId="18" type="noConversion"/>
  <conditionalFormatting sqref="F3:H3 F7:H7 F17:H17 F21:H21 F35:H40 F49:H49 F45:H45 F57:H57 F62:H62 F70:H72 F76:H76 F82:H82 F97:H100 F87:H93 F119:H129 F138:H146 F134:H134 F106:H114 F151:H155 F161:H172 F179:H197">
    <cfRule type="cellIs" dxfId="27" priority="2" stopIfTrue="1" operator="greaterThan">
      <formula>0</formula>
    </cfRule>
  </conditionalFormatting>
  <conditionalFormatting sqref="E3:E26 E35:E44 E97:E100 E49:E93 E119:E123 E129 E134:E146 E106:E114 E151:E155 E161:E172 E179:E197">
    <cfRule type="cellIs" dxfId="26" priority="3" stopIfTrue="1" operator="greaterThan">
      <formula>0.3</formula>
    </cfRule>
  </conditionalFormatting>
  <conditionalFormatting sqref="F13:F16">
    <cfRule type="cellIs" dxfId="25" priority="4" stopIfTrue="1" operator="greaterThan">
      <formula>0</formula>
    </cfRule>
  </conditionalFormatting>
  <conditionalFormatting sqref="G13:G16">
    <cfRule type="cellIs" dxfId="24" priority="5" stopIfTrue="1" operator="greaterThan">
      <formula>0</formula>
    </cfRule>
  </conditionalFormatting>
  <conditionalFormatting sqref="H13:H16">
    <cfRule type="cellIs" dxfId="23" priority="6" stopIfTrue="1" operator="greaterThan">
      <formula>0</formula>
    </cfRule>
  </conditionalFormatting>
  <conditionalFormatting sqref="M13:M16">
    <cfRule type="cellIs" dxfId="22" priority="7" stopIfTrue="1" operator="greaterThan">
      <formula>0</formula>
    </cfRule>
  </conditionalFormatting>
  <conditionalFormatting sqref="E27:E30">
    <cfRule type="cellIs" dxfId="21" priority="8" stopIfTrue="1" operator="greaterThan">
      <formula>0.3</formula>
    </cfRule>
  </conditionalFormatting>
  <conditionalFormatting sqref="F27:F30">
    <cfRule type="cellIs" dxfId="20" priority="9" stopIfTrue="1" operator="greaterThan">
      <formula>0</formula>
    </cfRule>
  </conditionalFormatting>
  <conditionalFormatting sqref="G27:G30">
    <cfRule type="cellIs" dxfId="19" priority="10" stopIfTrue="1" operator="greaterThan">
      <formula>0</formula>
    </cfRule>
  </conditionalFormatting>
  <conditionalFormatting sqref="H27:H30">
    <cfRule type="cellIs" dxfId="18" priority="11" stopIfTrue="1" operator="greaterThan">
      <formula>0</formula>
    </cfRule>
  </conditionalFormatting>
  <conditionalFormatting sqref="F31:H31">
    <cfRule type="cellIs" dxfId="17" priority="12" stopIfTrue="1" operator="greaterThan">
      <formula>0</formula>
    </cfRule>
  </conditionalFormatting>
  <conditionalFormatting sqref="E31:E34">
    <cfRule type="cellIs" dxfId="16" priority="13" stopIfTrue="1" operator="greaterThan">
      <formula>0.3</formula>
    </cfRule>
  </conditionalFormatting>
  <conditionalFormatting sqref="E45:E48">
    <cfRule type="cellIs" dxfId="15" priority="14" stopIfTrue="1" operator="greaterThan">
      <formula>0.3</formula>
    </cfRule>
  </conditionalFormatting>
  <conditionalFormatting sqref="F41:F44">
    <cfRule type="cellIs" dxfId="14" priority="15" stopIfTrue="1" operator="greaterThan">
      <formula>0</formula>
    </cfRule>
  </conditionalFormatting>
  <conditionalFormatting sqref="G41:G44">
    <cfRule type="cellIs" dxfId="13" priority="16" stopIfTrue="1" operator="greaterThan">
      <formula>0</formula>
    </cfRule>
  </conditionalFormatting>
  <conditionalFormatting sqref="H41:H44">
    <cfRule type="cellIs" dxfId="12" priority="17" stopIfTrue="1" operator="greaterThan">
      <formula>0</formula>
    </cfRule>
  </conditionalFormatting>
  <conditionalFormatting sqref="F53:F56">
    <cfRule type="cellIs" dxfId="11" priority="18" stopIfTrue="1" operator="greaterThan">
      <formula>0</formula>
    </cfRule>
  </conditionalFormatting>
  <conditionalFormatting sqref="G53:G56">
    <cfRule type="cellIs" dxfId="10" priority="19" stopIfTrue="1" operator="greaterThan">
      <formula>0</formula>
    </cfRule>
  </conditionalFormatting>
  <conditionalFormatting sqref="H53:H56">
    <cfRule type="cellIs" dxfId="9" priority="20" stopIfTrue="1" operator="greaterThan">
      <formula>0</formula>
    </cfRule>
  </conditionalFormatting>
  <conditionalFormatting sqref="F66:F69">
    <cfRule type="cellIs" dxfId="8" priority="21" stopIfTrue="1" operator="greaterThan">
      <formula>0</formula>
    </cfRule>
  </conditionalFormatting>
  <conditionalFormatting sqref="G66:G69">
    <cfRule type="cellIs" dxfId="7" priority="22" stopIfTrue="1" operator="greaterThan">
      <formula>0</formula>
    </cfRule>
  </conditionalFormatting>
  <conditionalFormatting sqref="H66:H69">
    <cfRule type="cellIs" dxfId="6" priority="23" stopIfTrue="1" operator="greaterThan">
      <formula>0</formula>
    </cfRule>
  </conditionalFormatting>
  <conditionalFormatting sqref="F78:F81">
    <cfRule type="cellIs" dxfId="5" priority="24" stopIfTrue="1" operator="greaterThan">
      <formula>0</formula>
    </cfRule>
  </conditionalFormatting>
  <conditionalFormatting sqref="G78:G81">
    <cfRule type="cellIs" dxfId="4" priority="25" stopIfTrue="1" operator="greaterThan">
      <formula>0</formula>
    </cfRule>
  </conditionalFormatting>
  <conditionalFormatting sqref="H78:H81">
    <cfRule type="cellIs" dxfId="3" priority="26" stopIfTrue="1" operator="greaterThan">
      <formula>0</formula>
    </cfRule>
  </conditionalFormatting>
  <conditionalFormatting sqref="F101:H105">
    <cfRule type="cellIs" dxfId="2" priority="27" stopIfTrue="1" operator="greaterThan">
      <formula>0</formula>
    </cfRule>
  </conditionalFormatting>
  <conditionalFormatting sqref="E101:E105">
    <cfRule type="cellIs" dxfId="1" priority="28" stopIfTrue="1" operator="greaterThan">
      <formula>0.3</formula>
    </cfRule>
  </conditionalFormatting>
  <conditionalFormatting sqref="N13:N16">
    <cfRule type="cellIs" dxfId="0" priority="1" stopIfTrue="1" operator="greaterThan">
      <formula>0</formula>
    </cfRule>
  </conditionalFormatting>
  <pageMargins left="0.69930555555555596" right="0.69930555555555596" top="0.75" bottom="0.75" header="0.3" footer="0.3"/>
  <pageSetup paperSize="9" scale="7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Original</vt:lpstr>
      <vt:lpstr>Feb-Pad</vt:lpstr>
      <vt:lpstr>March-pad</vt:lpstr>
      <vt:lpstr> Apr-pad</vt:lpstr>
      <vt:lpstr>May-pad</vt:lpstr>
      <vt:lpstr>' Apr-pad'!Print_Area</vt:lpstr>
      <vt:lpstr>'May-pad'!Print_Area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Sachin Kumar(Maintenance)</cp:lastModifiedBy>
  <cp:lastPrinted>2025-05-17T03:14:10Z</cp:lastPrinted>
  <dcterms:created xsi:type="dcterms:W3CDTF">2015-06-05T18:17:00Z</dcterms:created>
  <dcterms:modified xsi:type="dcterms:W3CDTF">2025-05-17T03:14:13Z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2052-10.8.0.5391</vt:lpwstr>
  </property>
</Properties>
</file>