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8235" tabRatio="522" firstSheet="1" activeTab="1"/>
  </bookViews>
  <sheets>
    <sheet name="Downtime Details" sheetId="14" state="hidden" r:id="rId1"/>
    <sheet name="Downtime Details 1" sheetId="88" r:id="rId2"/>
    <sheet name="Pivot" sheetId="86" state="hidden" r:id="rId3"/>
    <sheet name="Breakdowns" sheetId="1" state="hidden" r:id="rId4"/>
    <sheet name="29.01.2018" sheetId="2" state="hidden" r:id="rId5"/>
    <sheet name="Sheet1" sheetId="4" state="hidden" r:id="rId6"/>
    <sheet name="BREAK DOWN AFTER MARCH 2018" sheetId="5" state="hidden" r:id="rId7"/>
    <sheet name="Sheet2" sheetId="6" state="hidden" r:id="rId8"/>
    <sheet name="Old BD Card " sheetId="8" state="hidden" r:id="rId9"/>
    <sheet name="Total Downtime mx" sheetId="7" state="hidden" r:id="rId10"/>
    <sheet name="May_18" sheetId="11" state="hidden" r:id="rId11"/>
    <sheet name="June_18" sheetId="13" state="hidden" r:id="rId12"/>
    <sheet name="July_18" sheetId="9" state="hidden" r:id="rId13"/>
  </sheets>
  <externalReferences>
    <externalReference r:id="rId14"/>
  </externalReferences>
  <definedNames>
    <definedName name="_xlnm._FilterDatabase" localSheetId="3" hidden="1">Breakdowns!$A$1:$K$1</definedName>
    <definedName name="_xlnm._FilterDatabase" localSheetId="0" hidden="1">'Downtime Details'!$A$2:$AB$1413</definedName>
    <definedName name="_xlnm._FilterDatabase" localSheetId="1" hidden="1">'Downtime Details 1'!$A$2:$F$60</definedName>
    <definedName name="_xlnm._FilterDatabase" localSheetId="8" hidden="1">'Old BD Card '!$A$51:$K$67</definedName>
    <definedName name="_xlnm._FilterDatabase" localSheetId="5" hidden="1">Sheet1!$G$1:$L$7</definedName>
    <definedName name="_xlnm._FilterDatabase" localSheetId="7" hidden="1">Sheet2!$A$50:$K$66</definedName>
    <definedName name="_xlnm._FilterDatabase" localSheetId="9" hidden="1">'Total Downtime mx'!$A$1:$I$150</definedName>
    <definedName name="ASSEMBLY" localSheetId="1">#REF!</definedName>
    <definedName name="ASSEMBLY">#REF!</definedName>
    <definedName name="Cause">#REF!</definedName>
    <definedName name="CCT">#REF!</definedName>
    <definedName name="CHAMBER">#REF!</definedName>
    <definedName name="CRIMPING">#REF!</definedName>
    <definedName name="GROOVING">#REF!</definedName>
    <definedName name="main_pump" localSheetId="1">[1]Scheduler!#REF!</definedName>
    <definedName name="main_pump">[1]Scheduler!#REF!</definedName>
    <definedName name="METALLISER">#REF!</definedName>
    <definedName name="SEAMING">#REF!</definedName>
    <definedName name="shift">#REF!</definedName>
    <definedName name="Slitter">#REF!</definedName>
    <definedName name="SPRAY">#REF!</definedName>
    <definedName name="TESTING">#REF!</definedName>
    <definedName name="Winding">#REF!</definedName>
    <definedName name="대우_differential" localSheetId="1">[1]Scheduler!#REF!</definedName>
    <definedName name="대우_differential">[1]Scheduler!#REF!</definedName>
    <definedName name="동력전달_driveline" localSheetId="1">[1]Scheduler!#REF!</definedName>
    <definedName name="동력전달_driveline">[1]Scheduler!#REF!</definedName>
    <definedName name="메인펌프_main_pump" localSheetId="1">[1]Scheduler!#REF!</definedName>
    <definedName name="메인펌프_main_pump">[1]Scheduler!#REF!</definedName>
    <definedName name="서스펜션_suspension" localSheetId="1">[1]Scheduler!#REF!</definedName>
    <definedName name="서스펜션_suspension">[1]Scheduler!#REF!</definedName>
    <definedName name="스윙장치_Swing_equipment" localSheetId="1">[1]Scheduler!#REF!</definedName>
    <definedName name="스윙장치_Swing_equipment">[1]Scheduler!#REF!</definedName>
    <definedName name="어테치먼트_attachment" localSheetId="1">[1]Scheduler!#REF!</definedName>
    <definedName name="어테치먼트_attachment">[1]Scheduler!#REF!</definedName>
    <definedName name="엔_진_engine" localSheetId="1">[1]Scheduler!#REF!</definedName>
    <definedName name="엔_진_engine">[1]Scheduler!#REF!</definedName>
    <definedName name="오일_교환_Oil_exchange" localSheetId="1">[1]Scheduler!#REF!</definedName>
    <definedName name="오일_교환_Oil_exchange">[1]Scheduler!#REF!</definedName>
    <definedName name="용접_welding" localSheetId="1">[1]Scheduler!#REF!</definedName>
    <definedName name="용접_welding">[1]Scheduler!#REF!</definedName>
    <definedName name="전_륜_front_wheel" localSheetId="1">[1]Scheduler!#REF!</definedName>
    <definedName name="전_륜_front_wheel">[1]Scheduler!#REF!</definedName>
    <definedName name="전기장치_electronic_parts" localSheetId="1">[1]Scheduler!#REF!</definedName>
    <definedName name="전기장치_electronic_parts">[1]Scheduler!#REF!</definedName>
    <definedName name="조_향_steering_mechanism" localSheetId="1">[1]Scheduler!#REF!</definedName>
    <definedName name="조_향_steering_mechanism">[1]Scheduler!#REF!</definedName>
    <definedName name="주행장치_travelling_mechanism" localSheetId="1">[1]Scheduler!#REF!</definedName>
    <definedName name="주행장치_travelling_mechanism">[1]Scheduler!#REF!</definedName>
    <definedName name="천공장치_Drill_parts" localSheetId="1">[1]Scheduler!#REF!</definedName>
    <definedName name="천공장치_Drill_parts">[1]Scheduler!#REF!</definedName>
    <definedName name="콤프레셔_compressor" localSheetId="1">[1]Scheduler!#REF!</definedName>
    <definedName name="콤프레셔_compressor">[1]Scheduler!#REF!</definedName>
    <definedName name="토크컨버터_torque_converter" localSheetId="1">[1]Scheduler!#REF!</definedName>
    <definedName name="토크컨버터_torque_converter">[1]Scheduler!#REF!</definedName>
    <definedName name="트랜스밋션_transmission" localSheetId="1">[1]Scheduler!#REF!</definedName>
    <definedName name="트랜스밋션_transmission">[1]Scheduler!#REF!</definedName>
    <definedName name="편의_장치_equipment_for_convenience" localSheetId="1">[1]Scheduler!#REF!</definedName>
    <definedName name="편의_장치_equipment_for_convenience">[1]Scheduler!#REF!</definedName>
    <definedName name="후_륜_rear_wheel" localSheetId="1">[1]Scheduler!#REF!</definedName>
    <definedName name="후_륜_rear_wheel">[1]Scheduler!#REF!</definedName>
  </definedNames>
  <calcPr calcId="162913"/>
  <pivotCaches>
    <pivotCache cacheId="0" r:id="rId15"/>
  </pivotCaches>
</workbook>
</file>

<file path=xl/calcChain.xml><?xml version="1.0" encoding="utf-8"?>
<calcChain xmlns="http://schemas.openxmlformats.org/spreadsheetml/2006/main">
  <c r="D8" i="14" l="1"/>
  <c r="D9" i="14"/>
  <c r="D4" i="14"/>
  <c r="D10" i="14"/>
  <c r="D11" i="14"/>
  <c r="D13" i="14"/>
  <c r="D12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991" i="14"/>
  <c r="D992" i="14"/>
  <c r="D993" i="14"/>
  <c r="D994" i="14"/>
  <c r="D995" i="14"/>
  <c r="D996" i="14"/>
  <c r="D997" i="14"/>
  <c r="D998" i="14"/>
  <c r="D999" i="14"/>
  <c r="D1000" i="14"/>
  <c r="D1001" i="14"/>
  <c r="D1002" i="14"/>
  <c r="D1003" i="14"/>
  <c r="D1004" i="14"/>
  <c r="D1005" i="14"/>
  <c r="D1006" i="14"/>
  <c r="D1007" i="14"/>
  <c r="D1008" i="14"/>
  <c r="D1009" i="14"/>
  <c r="D1010" i="14"/>
  <c r="D1011" i="14"/>
  <c r="D1012" i="14"/>
  <c r="D1013" i="14"/>
  <c r="D1014" i="14"/>
  <c r="D1015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1" i="14"/>
  <c r="D1032" i="14"/>
  <c r="D1033" i="14"/>
  <c r="D1034" i="14"/>
  <c r="D1035" i="14"/>
  <c r="D1036" i="14"/>
  <c r="D1037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6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79" i="14"/>
  <c r="D1080" i="14"/>
  <c r="D1081" i="14"/>
  <c r="D1082" i="14"/>
  <c r="D1083" i="14"/>
  <c r="D1084" i="14"/>
  <c r="D1085" i="14"/>
  <c r="D1086" i="14"/>
  <c r="D1087" i="14"/>
  <c r="D1088" i="14"/>
  <c r="D1089" i="14"/>
  <c r="D1090" i="14"/>
  <c r="D1091" i="14"/>
  <c r="D1092" i="14"/>
  <c r="D1093" i="14"/>
  <c r="D1094" i="14"/>
  <c r="D1095" i="14"/>
  <c r="D1096" i="14"/>
  <c r="D1097" i="14"/>
  <c r="D1098" i="14"/>
  <c r="D1099" i="14"/>
  <c r="D1100" i="14"/>
  <c r="D1101" i="14"/>
  <c r="D1102" i="14"/>
  <c r="D1103" i="14"/>
  <c r="D1104" i="14"/>
  <c r="D1105" i="14"/>
  <c r="D1106" i="14"/>
  <c r="D1107" i="14"/>
  <c r="D1108" i="14"/>
  <c r="D1109" i="14"/>
  <c r="D1110" i="14"/>
  <c r="D1111" i="14"/>
  <c r="D1112" i="14"/>
  <c r="D1113" i="14"/>
  <c r="D1114" i="14"/>
  <c r="D1115" i="14"/>
  <c r="D1116" i="14"/>
  <c r="D1117" i="14"/>
  <c r="D1118" i="14"/>
  <c r="D1119" i="14"/>
  <c r="D1120" i="14"/>
  <c r="D1121" i="14"/>
  <c r="D1122" i="14"/>
  <c r="D1123" i="14"/>
  <c r="D1124" i="14"/>
  <c r="D1125" i="14"/>
  <c r="D1126" i="14"/>
  <c r="D1127" i="14"/>
  <c r="D1128" i="14"/>
  <c r="D1129" i="14"/>
  <c r="D1130" i="14"/>
  <c r="D1131" i="14"/>
  <c r="D1132" i="14"/>
  <c r="D1133" i="14"/>
  <c r="D1134" i="14"/>
  <c r="D1135" i="14"/>
  <c r="D1136" i="14"/>
  <c r="D1137" i="14"/>
  <c r="D1138" i="14"/>
  <c r="D1139" i="14"/>
  <c r="D1140" i="14"/>
  <c r="D1141" i="14"/>
  <c r="D1142" i="14"/>
  <c r="D1143" i="14"/>
  <c r="D1144" i="14"/>
  <c r="D1145" i="14"/>
  <c r="D1146" i="14"/>
  <c r="D1147" i="14"/>
  <c r="D1148" i="14"/>
  <c r="D1149" i="14"/>
  <c r="D1150" i="14"/>
  <c r="D1151" i="14"/>
  <c r="D1152" i="14"/>
  <c r="D1153" i="14"/>
  <c r="D1154" i="14"/>
  <c r="D1155" i="14"/>
  <c r="D1156" i="14"/>
  <c r="D1157" i="14"/>
  <c r="D1158" i="14"/>
  <c r="D1159" i="14"/>
  <c r="D1160" i="14"/>
  <c r="D1161" i="14"/>
  <c r="D1162" i="14"/>
  <c r="D1163" i="14"/>
  <c r="D1164" i="14"/>
  <c r="D1165" i="14"/>
  <c r="D1166" i="14"/>
  <c r="D1167" i="14"/>
  <c r="D1168" i="14"/>
  <c r="D1169" i="14"/>
  <c r="D1170" i="14"/>
  <c r="D1171" i="14"/>
  <c r="D1172" i="14"/>
  <c r="D1173" i="14"/>
  <c r="D1174" i="14"/>
  <c r="D1175" i="14"/>
  <c r="D1176" i="14"/>
  <c r="D1177" i="14"/>
  <c r="D1178" i="14"/>
  <c r="D1179" i="14"/>
  <c r="D1180" i="14"/>
  <c r="D1181" i="14"/>
  <c r="D1182" i="14"/>
  <c r="D1183" i="14"/>
  <c r="D1184" i="14"/>
  <c r="D1185" i="14"/>
  <c r="D1186" i="14"/>
  <c r="D1187" i="14"/>
  <c r="D1188" i="14"/>
  <c r="D1189" i="14"/>
  <c r="D1190" i="14"/>
  <c r="D1191" i="14"/>
  <c r="D1192" i="14"/>
  <c r="D1193" i="14"/>
  <c r="D1194" i="14"/>
  <c r="D1195" i="14"/>
  <c r="D1196" i="14"/>
  <c r="D1197" i="14"/>
  <c r="D1198" i="14"/>
  <c r="D1199" i="14"/>
  <c r="D1200" i="14"/>
  <c r="D1201" i="14"/>
  <c r="D1202" i="14"/>
  <c r="D1203" i="14"/>
  <c r="D1204" i="14"/>
  <c r="D1205" i="14"/>
  <c r="D1206" i="14"/>
  <c r="D1207" i="14"/>
  <c r="D1208" i="14"/>
  <c r="D1209" i="14"/>
  <c r="D1210" i="14"/>
  <c r="D1211" i="14"/>
  <c r="D1212" i="14"/>
  <c r="D1213" i="14"/>
  <c r="D1214" i="14"/>
  <c r="D1215" i="14"/>
  <c r="D1216" i="14"/>
  <c r="D1217" i="14"/>
  <c r="D1218" i="14"/>
  <c r="D1219" i="14"/>
  <c r="D1220" i="14"/>
  <c r="D1221" i="14"/>
  <c r="D1222" i="14"/>
  <c r="D1223" i="14"/>
  <c r="D1224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43" i="14"/>
  <c r="D1244" i="14"/>
  <c r="D1245" i="14"/>
  <c r="D1246" i="14"/>
  <c r="D1247" i="14"/>
  <c r="D1248" i="14"/>
  <c r="D1249" i="14"/>
  <c r="D1250" i="14"/>
  <c r="D1251" i="14"/>
  <c r="D1252" i="14"/>
  <c r="D1253" i="14"/>
  <c r="D1254" i="14"/>
  <c r="D1255" i="14"/>
  <c r="D1256" i="14"/>
  <c r="D1257" i="14"/>
  <c r="D1258" i="14"/>
  <c r="D1259" i="14"/>
  <c r="D1260" i="14"/>
  <c r="D1261" i="14"/>
  <c r="D1262" i="14"/>
  <c r="D1263" i="14"/>
  <c r="D1264" i="14"/>
  <c r="D1265" i="14"/>
  <c r="D1266" i="14"/>
  <c r="D1267" i="14"/>
  <c r="D1268" i="14"/>
  <c r="D1269" i="14"/>
  <c r="D1270" i="14"/>
  <c r="D1271" i="14"/>
  <c r="D1272" i="14"/>
  <c r="D1273" i="14"/>
  <c r="D1274" i="14"/>
  <c r="D1275" i="14"/>
  <c r="D1276" i="14"/>
  <c r="D1277" i="14"/>
  <c r="D1278" i="14"/>
  <c r="D1279" i="14"/>
  <c r="D1280" i="14"/>
  <c r="D1281" i="14"/>
  <c r="D1282" i="14"/>
  <c r="D1283" i="14"/>
  <c r="D1284" i="14"/>
  <c r="D1285" i="14"/>
  <c r="D1286" i="14"/>
  <c r="D1287" i="14"/>
  <c r="D1288" i="14"/>
  <c r="D1289" i="14"/>
  <c r="D1290" i="14"/>
  <c r="D1291" i="14"/>
  <c r="D1292" i="14"/>
  <c r="D1293" i="14"/>
  <c r="D1294" i="14"/>
  <c r="D1295" i="14"/>
  <c r="D1296" i="14"/>
  <c r="D1297" i="14"/>
  <c r="D1298" i="14"/>
  <c r="D1299" i="14"/>
  <c r="D1300" i="14"/>
  <c r="D1301" i="14"/>
  <c r="D1302" i="14"/>
  <c r="D1303" i="14"/>
  <c r="D1304" i="14"/>
  <c r="D1305" i="14"/>
  <c r="D1306" i="14"/>
  <c r="D1307" i="14"/>
  <c r="D1308" i="14"/>
  <c r="D1309" i="14"/>
  <c r="D1310" i="14"/>
  <c r="D1311" i="14"/>
  <c r="D1312" i="14"/>
  <c r="D1313" i="14"/>
  <c r="D1314" i="14"/>
  <c r="D1315" i="14"/>
  <c r="D1316" i="14"/>
  <c r="D1317" i="14"/>
  <c r="D1318" i="14"/>
  <c r="D1319" i="14"/>
  <c r="D1320" i="14"/>
  <c r="D1321" i="14"/>
  <c r="D1322" i="14"/>
  <c r="D1323" i="14"/>
  <c r="D1324" i="14"/>
  <c r="D1325" i="14"/>
  <c r="D1326" i="14"/>
  <c r="D1327" i="14"/>
  <c r="D1328" i="14"/>
  <c r="D1329" i="14"/>
  <c r="D1330" i="14"/>
  <c r="D1331" i="14"/>
  <c r="D1332" i="14"/>
  <c r="D1333" i="14"/>
  <c r="D1334" i="14"/>
  <c r="D1335" i="14"/>
  <c r="D1336" i="14"/>
  <c r="D1337" i="14"/>
  <c r="D1338" i="14"/>
  <c r="D1339" i="14"/>
  <c r="D1340" i="14"/>
  <c r="D1341" i="14"/>
  <c r="D1342" i="14"/>
  <c r="D1343" i="14"/>
  <c r="D1344" i="14"/>
  <c r="D1345" i="14"/>
  <c r="D1346" i="14"/>
  <c r="D1347" i="14"/>
  <c r="D1348" i="14"/>
  <c r="D1349" i="14"/>
  <c r="D1350" i="14"/>
  <c r="D1351" i="14"/>
  <c r="D1352" i="14"/>
  <c r="D1353" i="14"/>
  <c r="D1354" i="14"/>
  <c r="D1355" i="14"/>
  <c r="D1356" i="14"/>
  <c r="D1357" i="14"/>
  <c r="D1358" i="14"/>
  <c r="D1359" i="14"/>
  <c r="D1360" i="14"/>
  <c r="D1361" i="14"/>
  <c r="D1362" i="14"/>
  <c r="D1363" i="14"/>
  <c r="D1364" i="14"/>
  <c r="D1365" i="14"/>
  <c r="D1366" i="14"/>
  <c r="D1367" i="14"/>
  <c r="D1368" i="14"/>
  <c r="D1369" i="14"/>
  <c r="D1370" i="14"/>
  <c r="D1371" i="14"/>
  <c r="D1372" i="14"/>
  <c r="D1373" i="14"/>
  <c r="D1374" i="14"/>
  <c r="D1375" i="14"/>
  <c r="D1376" i="14"/>
  <c r="D1377" i="14"/>
  <c r="D1378" i="14"/>
  <c r="D1379" i="14"/>
  <c r="D1380" i="14"/>
  <c r="D1381" i="14"/>
  <c r="D1382" i="14"/>
  <c r="D1383" i="14"/>
  <c r="D1384" i="14"/>
  <c r="D1385" i="14"/>
  <c r="D1386" i="14"/>
  <c r="D1387" i="14"/>
  <c r="D1388" i="14"/>
  <c r="D1389" i="14"/>
  <c r="D1390" i="14"/>
  <c r="D1391" i="14"/>
  <c r="D1392" i="14"/>
  <c r="D1393" i="14"/>
  <c r="D1394" i="14"/>
  <c r="D1395" i="14"/>
  <c r="D1396" i="14"/>
  <c r="D1397" i="14"/>
  <c r="D1398" i="14"/>
  <c r="D1399" i="14"/>
  <c r="D1400" i="14"/>
  <c r="D1401" i="14"/>
  <c r="D1402" i="14"/>
  <c r="D1403" i="14"/>
  <c r="D1404" i="14"/>
  <c r="D1405" i="14"/>
  <c r="D1406" i="14"/>
  <c r="D1407" i="14"/>
  <c r="D1408" i="14"/>
  <c r="D1409" i="14"/>
  <c r="D1410" i="14"/>
  <c r="D1411" i="14"/>
  <c r="D1412" i="14"/>
  <c r="D1413" i="14"/>
  <c r="D7" i="14"/>
  <c r="C9" i="14"/>
  <c r="C4" i="14"/>
  <c r="C10" i="14"/>
  <c r="C11" i="14"/>
  <c r="C13" i="14"/>
  <c r="C12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1" i="14"/>
  <c r="C812" i="14"/>
  <c r="C813" i="14"/>
  <c r="C814" i="14"/>
  <c r="C815" i="14"/>
  <c r="C816" i="14"/>
  <c r="C817" i="14"/>
  <c r="C818" i="14"/>
  <c r="C819" i="14"/>
  <c r="C820" i="14"/>
  <c r="C821" i="14"/>
  <c r="C822" i="14"/>
  <c r="C823" i="14"/>
  <c r="C824" i="14"/>
  <c r="C825" i="14"/>
  <c r="C826" i="14"/>
  <c r="C827" i="14"/>
  <c r="C828" i="14"/>
  <c r="C829" i="14"/>
  <c r="C830" i="14"/>
  <c r="C831" i="14"/>
  <c r="C832" i="14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C857" i="14"/>
  <c r="C858" i="14"/>
  <c r="C859" i="14"/>
  <c r="C860" i="14"/>
  <c r="C861" i="14"/>
  <c r="C862" i="14"/>
  <c r="C863" i="14"/>
  <c r="C864" i="14"/>
  <c r="C865" i="14"/>
  <c r="C866" i="14"/>
  <c r="C867" i="14"/>
  <c r="C868" i="14"/>
  <c r="C869" i="14"/>
  <c r="C870" i="14"/>
  <c r="C871" i="14"/>
  <c r="C872" i="14"/>
  <c r="C873" i="14"/>
  <c r="C874" i="14"/>
  <c r="C875" i="14"/>
  <c r="C876" i="14"/>
  <c r="C877" i="14"/>
  <c r="C878" i="14"/>
  <c r="C879" i="14"/>
  <c r="C880" i="14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C905" i="14"/>
  <c r="C906" i="14"/>
  <c r="C907" i="14"/>
  <c r="C908" i="14"/>
  <c r="C909" i="14"/>
  <c r="C910" i="14"/>
  <c r="C911" i="14"/>
  <c r="C912" i="14"/>
  <c r="C913" i="14"/>
  <c r="C914" i="14"/>
  <c r="C915" i="14"/>
  <c r="C916" i="14"/>
  <c r="C917" i="14"/>
  <c r="C918" i="14"/>
  <c r="C919" i="14"/>
  <c r="C920" i="14"/>
  <c r="C921" i="14"/>
  <c r="C922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6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991" i="14"/>
  <c r="C992" i="14"/>
  <c r="C993" i="14"/>
  <c r="C994" i="14"/>
  <c r="C995" i="14"/>
  <c r="C996" i="14"/>
  <c r="C997" i="14"/>
  <c r="C998" i="14"/>
  <c r="C999" i="14"/>
  <c r="C1000" i="14"/>
  <c r="C1001" i="14"/>
  <c r="C1002" i="14"/>
  <c r="C1003" i="14"/>
  <c r="C1004" i="14"/>
  <c r="C1005" i="14"/>
  <c r="C1006" i="14"/>
  <c r="C1007" i="14"/>
  <c r="C1008" i="14"/>
  <c r="C1009" i="14"/>
  <c r="C1010" i="14"/>
  <c r="C1011" i="14"/>
  <c r="C1012" i="14"/>
  <c r="C1013" i="14"/>
  <c r="C1014" i="14"/>
  <c r="C1015" i="14"/>
  <c r="C1016" i="14"/>
  <c r="C1017" i="14"/>
  <c r="C1018" i="14"/>
  <c r="C1019" i="14"/>
  <c r="C1020" i="14"/>
  <c r="C1021" i="14"/>
  <c r="C1022" i="14"/>
  <c r="C1023" i="14"/>
  <c r="C1024" i="14"/>
  <c r="C1025" i="14"/>
  <c r="C1026" i="14"/>
  <c r="C1027" i="14"/>
  <c r="C1028" i="14"/>
  <c r="C1029" i="14"/>
  <c r="C1030" i="14"/>
  <c r="C1031" i="14"/>
  <c r="C1032" i="14"/>
  <c r="C1033" i="14"/>
  <c r="C1034" i="14"/>
  <c r="C1035" i="14"/>
  <c r="C1036" i="14"/>
  <c r="C1037" i="14"/>
  <c r="C1038" i="14"/>
  <c r="C1039" i="14"/>
  <c r="C1040" i="14"/>
  <c r="C1041" i="14"/>
  <c r="C1042" i="14"/>
  <c r="C1043" i="14"/>
  <c r="C1044" i="14"/>
  <c r="C1045" i="14"/>
  <c r="C1046" i="14"/>
  <c r="C1047" i="14"/>
  <c r="C1048" i="14"/>
  <c r="C1049" i="14"/>
  <c r="C1050" i="14"/>
  <c r="C1051" i="14"/>
  <c r="C1052" i="14"/>
  <c r="C1053" i="14"/>
  <c r="C1054" i="14"/>
  <c r="C1055" i="14"/>
  <c r="C1056" i="14"/>
  <c r="C1057" i="14"/>
  <c r="C1058" i="14"/>
  <c r="C1059" i="14"/>
  <c r="C1060" i="14"/>
  <c r="C1061" i="14"/>
  <c r="C1062" i="14"/>
  <c r="C1063" i="14"/>
  <c r="C1064" i="14"/>
  <c r="C1065" i="14"/>
  <c r="C1066" i="14"/>
  <c r="C1067" i="14"/>
  <c r="C1068" i="14"/>
  <c r="C1069" i="14"/>
  <c r="C1070" i="14"/>
  <c r="C1071" i="14"/>
  <c r="C1072" i="14"/>
  <c r="C1073" i="14"/>
  <c r="C1074" i="14"/>
  <c r="C1075" i="14"/>
  <c r="C1076" i="14"/>
  <c r="C1077" i="14"/>
  <c r="C1078" i="14"/>
  <c r="C1079" i="14"/>
  <c r="C1080" i="14"/>
  <c r="C1081" i="14"/>
  <c r="C1082" i="14"/>
  <c r="C1083" i="14"/>
  <c r="C1084" i="14"/>
  <c r="C1085" i="14"/>
  <c r="C1086" i="14"/>
  <c r="C1087" i="14"/>
  <c r="C1088" i="14"/>
  <c r="C1089" i="14"/>
  <c r="C1090" i="14"/>
  <c r="C1091" i="14"/>
  <c r="C1092" i="14"/>
  <c r="C1093" i="14"/>
  <c r="C1094" i="14"/>
  <c r="C1095" i="14"/>
  <c r="C1096" i="14"/>
  <c r="C1097" i="14"/>
  <c r="C1098" i="14"/>
  <c r="C1099" i="14"/>
  <c r="C1100" i="14"/>
  <c r="C1101" i="14"/>
  <c r="C1102" i="14"/>
  <c r="C1103" i="14"/>
  <c r="C1104" i="14"/>
  <c r="C1105" i="14"/>
  <c r="C1106" i="14"/>
  <c r="C1107" i="14"/>
  <c r="C1108" i="14"/>
  <c r="C1109" i="14"/>
  <c r="C1110" i="14"/>
  <c r="C1111" i="14"/>
  <c r="C1112" i="14"/>
  <c r="C1113" i="14"/>
  <c r="C1114" i="14"/>
  <c r="C1115" i="14"/>
  <c r="C1116" i="14"/>
  <c r="C1117" i="14"/>
  <c r="C1118" i="14"/>
  <c r="C1119" i="14"/>
  <c r="C1120" i="14"/>
  <c r="C1121" i="14"/>
  <c r="C1122" i="14"/>
  <c r="C1123" i="14"/>
  <c r="C1124" i="14"/>
  <c r="C1125" i="14"/>
  <c r="C1126" i="14"/>
  <c r="C1127" i="14"/>
  <c r="C1128" i="14"/>
  <c r="C1129" i="14"/>
  <c r="C1130" i="14"/>
  <c r="C1131" i="14"/>
  <c r="C1132" i="14"/>
  <c r="C1133" i="14"/>
  <c r="C1134" i="14"/>
  <c r="C1135" i="14"/>
  <c r="C1136" i="14"/>
  <c r="C1137" i="14"/>
  <c r="C1138" i="14"/>
  <c r="C1139" i="14"/>
  <c r="C1140" i="14"/>
  <c r="C1141" i="14"/>
  <c r="C1142" i="14"/>
  <c r="C1143" i="14"/>
  <c r="C1144" i="14"/>
  <c r="C1145" i="14"/>
  <c r="C1146" i="14"/>
  <c r="C1147" i="14"/>
  <c r="C1148" i="14"/>
  <c r="C1149" i="14"/>
  <c r="C1150" i="14"/>
  <c r="C1151" i="14"/>
  <c r="C1152" i="14"/>
  <c r="C1153" i="14"/>
  <c r="C1154" i="14"/>
  <c r="C1155" i="14"/>
  <c r="C1156" i="14"/>
  <c r="C1157" i="14"/>
  <c r="C1158" i="14"/>
  <c r="C1159" i="14"/>
  <c r="C1160" i="14"/>
  <c r="C1161" i="14"/>
  <c r="C1162" i="14"/>
  <c r="C1163" i="14"/>
  <c r="C1164" i="14"/>
  <c r="C1165" i="14"/>
  <c r="C1166" i="14"/>
  <c r="C1167" i="14"/>
  <c r="C1168" i="14"/>
  <c r="C1169" i="14"/>
  <c r="C1170" i="14"/>
  <c r="C1171" i="14"/>
  <c r="C1172" i="14"/>
  <c r="C1173" i="14"/>
  <c r="C1174" i="14"/>
  <c r="C1175" i="14"/>
  <c r="C1176" i="14"/>
  <c r="C1177" i="14"/>
  <c r="C1178" i="14"/>
  <c r="C1179" i="14"/>
  <c r="C1180" i="14"/>
  <c r="C1181" i="14"/>
  <c r="C1182" i="14"/>
  <c r="C1183" i="14"/>
  <c r="C1184" i="14"/>
  <c r="C1185" i="14"/>
  <c r="C1186" i="14"/>
  <c r="C1187" i="14"/>
  <c r="C1188" i="14"/>
  <c r="C1189" i="14"/>
  <c r="C1190" i="14"/>
  <c r="C1191" i="14"/>
  <c r="C1192" i="14"/>
  <c r="C1193" i="14"/>
  <c r="C1194" i="14"/>
  <c r="C1195" i="14"/>
  <c r="C1196" i="14"/>
  <c r="C1197" i="14"/>
  <c r="C1198" i="14"/>
  <c r="C1199" i="14"/>
  <c r="C1200" i="14"/>
  <c r="C1201" i="14"/>
  <c r="C1202" i="14"/>
  <c r="C1203" i="14"/>
  <c r="C1204" i="14"/>
  <c r="C1205" i="14"/>
  <c r="C1206" i="14"/>
  <c r="C1207" i="14"/>
  <c r="C1208" i="14"/>
  <c r="C1209" i="14"/>
  <c r="C1210" i="14"/>
  <c r="C1211" i="14"/>
  <c r="C1212" i="14"/>
  <c r="C1213" i="14"/>
  <c r="C1214" i="14"/>
  <c r="C1215" i="14"/>
  <c r="C1216" i="14"/>
  <c r="C1217" i="14"/>
  <c r="C1218" i="14"/>
  <c r="C1219" i="14"/>
  <c r="C1220" i="14"/>
  <c r="C1221" i="14"/>
  <c r="C1222" i="14"/>
  <c r="C1223" i="14"/>
  <c r="C1224" i="14"/>
  <c r="C1225" i="14"/>
  <c r="C1226" i="14"/>
  <c r="C1227" i="14"/>
  <c r="C1228" i="14"/>
  <c r="C1229" i="14"/>
  <c r="C1230" i="14"/>
  <c r="C1231" i="14"/>
  <c r="C1232" i="14"/>
  <c r="C1233" i="14"/>
  <c r="C1234" i="14"/>
  <c r="C1235" i="14"/>
  <c r="C1236" i="14"/>
  <c r="C1237" i="14"/>
  <c r="C1238" i="14"/>
  <c r="C1239" i="14"/>
  <c r="C1240" i="14"/>
  <c r="C1241" i="14"/>
  <c r="C1242" i="14"/>
  <c r="C1243" i="14"/>
  <c r="C1244" i="14"/>
  <c r="C1245" i="14"/>
  <c r="C1246" i="14"/>
  <c r="C1247" i="14"/>
  <c r="C1248" i="14"/>
  <c r="C1249" i="14"/>
  <c r="C1250" i="14"/>
  <c r="C1251" i="14"/>
  <c r="C1252" i="14"/>
  <c r="C1253" i="14"/>
  <c r="C1254" i="14"/>
  <c r="C1255" i="14"/>
  <c r="C1256" i="14"/>
  <c r="C1257" i="14"/>
  <c r="C1258" i="14"/>
  <c r="C1259" i="14"/>
  <c r="C1260" i="14"/>
  <c r="C1261" i="14"/>
  <c r="C1262" i="14"/>
  <c r="C1263" i="14"/>
  <c r="C1264" i="14"/>
  <c r="C1265" i="14"/>
  <c r="C1266" i="14"/>
  <c r="C1267" i="14"/>
  <c r="C1268" i="14"/>
  <c r="C1269" i="14"/>
  <c r="C1270" i="14"/>
  <c r="C1271" i="14"/>
  <c r="C1272" i="14"/>
  <c r="C1273" i="14"/>
  <c r="C1274" i="14"/>
  <c r="C1275" i="14"/>
  <c r="C1276" i="14"/>
  <c r="C1277" i="14"/>
  <c r="C1278" i="14"/>
  <c r="C1279" i="14"/>
  <c r="C1280" i="14"/>
  <c r="C1281" i="14"/>
  <c r="C1282" i="14"/>
  <c r="C1283" i="14"/>
  <c r="C1284" i="14"/>
  <c r="C1285" i="14"/>
  <c r="C1286" i="14"/>
  <c r="C1287" i="14"/>
  <c r="C1288" i="14"/>
  <c r="C1289" i="14"/>
  <c r="C1290" i="14"/>
  <c r="C1291" i="14"/>
  <c r="C1292" i="14"/>
  <c r="C1293" i="14"/>
  <c r="C1294" i="14"/>
  <c r="C1295" i="14"/>
  <c r="C1296" i="14"/>
  <c r="C1297" i="14"/>
  <c r="C1298" i="14"/>
  <c r="C1299" i="14"/>
  <c r="C1300" i="14"/>
  <c r="C1301" i="14"/>
  <c r="C1302" i="14"/>
  <c r="C1303" i="14"/>
  <c r="C1304" i="14"/>
  <c r="C1305" i="14"/>
  <c r="C1306" i="14"/>
  <c r="C1307" i="14"/>
  <c r="C1308" i="14"/>
  <c r="C1309" i="14"/>
  <c r="C1310" i="14"/>
  <c r="C1311" i="14"/>
  <c r="C1312" i="14"/>
  <c r="C1313" i="14"/>
  <c r="C1314" i="14"/>
  <c r="C1315" i="14"/>
  <c r="C1316" i="14"/>
  <c r="C1317" i="14"/>
  <c r="C1318" i="14"/>
  <c r="C1319" i="14"/>
  <c r="C1320" i="14"/>
  <c r="C1321" i="14"/>
  <c r="C1322" i="14"/>
  <c r="C1323" i="14"/>
  <c r="C1324" i="14"/>
  <c r="C1325" i="14"/>
  <c r="C1326" i="14"/>
  <c r="C1327" i="14"/>
  <c r="C1328" i="14"/>
  <c r="C1329" i="14"/>
  <c r="C1330" i="14"/>
  <c r="C1331" i="14"/>
  <c r="C1332" i="14"/>
  <c r="C1333" i="14"/>
  <c r="C1334" i="14"/>
  <c r="C1335" i="14"/>
  <c r="C1336" i="14"/>
  <c r="C1337" i="14"/>
  <c r="C1338" i="14"/>
  <c r="C1339" i="14"/>
  <c r="C1340" i="14"/>
  <c r="C1341" i="14"/>
  <c r="C1342" i="14"/>
  <c r="C1343" i="14"/>
  <c r="C1344" i="14"/>
  <c r="C1345" i="14"/>
  <c r="C1346" i="14"/>
  <c r="C1347" i="14"/>
  <c r="C1348" i="14"/>
  <c r="C1349" i="14"/>
  <c r="C1350" i="14"/>
  <c r="C1351" i="14"/>
  <c r="C1352" i="14"/>
  <c r="C1353" i="14"/>
  <c r="C1354" i="14"/>
  <c r="C1355" i="14"/>
  <c r="C1356" i="14"/>
  <c r="C1357" i="14"/>
  <c r="C1358" i="14"/>
  <c r="C1359" i="14"/>
  <c r="C1360" i="14"/>
  <c r="C1361" i="14"/>
  <c r="C1362" i="14"/>
  <c r="C1363" i="14"/>
  <c r="C1364" i="14"/>
  <c r="C1365" i="14"/>
  <c r="C1366" i="14"/>
  <c r="C1367" i="14"/>
  <c r="C1368" i="14"/>
  <c r="C1369" i="14"/>
  <c r="C1370" i="14"/>
  <c r="C1371" i="14"/>
  <c r="C1372" i="14"/>
  <c r="C1373" i="14"/>
  <c r="C1374" i="14"/>
  <c r="C1375" i="14"/>
  <c r="C1376" i="14"/>
  <c r="C1377" i="14"/>
  <c r="C1378" i="14"/>
  <c r="C1379" i="14"/>
  <c r="C1380" i="14"/>
  <c r="C1381" i="14"/>
  <c r="C1382" i="14"/>
  <c r="C1383" i="14"/>
  <c r="C1384" i="14"/>
  <c r="C1385" i="14"/>
  <c r="C1386" i="14"/>
  <c r="C1387" i="14"/>
  <c r="C1388" i="14"/>
  <c r="C1389" i="14"/>
  <c r="C1390" i="14"/>
  <c r="C1391" i="14"/>
  <c r="C1392" i="14"/>
  <c r="C1393" i="14"/>
  <c r="C1394" i="14"/>
  <c r="C1395" i="14"/>
  <c r="C1396" i="14"/>
  <c r="C1397" i="14"/>
  <c r="C1398" i="14"/>
  <c r="C1399" i="14"/>
  <c r="C1400" i="14"/>
  <c r="C1401" i="14"/>
  <c r="C1402" i="14"/>
  <c r="C1403" i="14"/>
  <c r="C1404" i="14"/>
  <c r="C1405" i="14"/>
  <c r="C1406" i="14"/>
  <c r="C1407" i="14"/>
  <c r="C1408" i="14"/>
  <c r="C1409" i="14"/>
  <c r="C1410" i="14"/>
  <c r="C1411" i="14"/>
  <c r="C1412" i="14"/>
  <c r="C1413" i="14"/>
  <c r="C8" i="14"/>
  <c r="C7" i="14"/>
  <c r="N6" i="14"/>
  <c r="N7" i="14"/>
  <c r="N8" i="14"/>
  <c r="N9" i="14"/>
  <c r="N4" i="14"/>
  <c r="N10" i="14"/>
  <c r="N11" i="14"/>
  <c r="N13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0" i="14"/>
  <c r="N1251" i="14"/>
  <c r="N1252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N1271" i="14"/>
  <c r="N1272" i="14"/>
  <c r="N1273" i="14"/>
  <c r="N1274" i="14"/>
  <c r="N1275" i="14"/>
  <c r="N1276" i="14"/>
  <c r="N1277" i="14"/>
  <c r="N1278" i="14"/>
  <c r="N1279" i="14"/>
  <c r="N1280" i="14"/>
  <c r="N1281" i="14"/>
  <c r="N1282" i="14"/>
  <c r="N1283" i="14"/>
  <c r="N1284" i="14"/>
  <c r="N1285" i="14"/>
  <c r="N1286" i="14"/>
  <c r="N1287" i="14"/>
  <c r="N1288" i="14"/>
  <c r="N1289" i="14"/>
  <c r="N1290" i="14"/>
  <c r="N1291" i="14"/>
  <c r="N1292" i="14"/>
  <c r="N1293" i="14"/>
  <c r="N1294" i="14"/>
  <c r="N1295" i="14"/>
  <c r="N1296" i="14"/>
  <c r="N1297" i="14"/>
  <c r="N1298" i="14"/>
  <c r="N1299" i="14"/>
  <c r="N1300" i="14"/>
  <c r="N1301" i="14"/>
  <c r="N1302" i="14"/>
  <c r="N1303" i="14"/>
  <c r="N1304" i="14"/>
  <c r="N1305" i="14"/>
  <c r="N1306" i="14"/>
  <c r="N1307" i="14"/>
  <c r="N1308" i="14"/>
  <c r="N1309" i="14"/>
  <c r="N1310" i="14"/>
  <c r="N1311" i="14"/>
  <c r="N1312" i="14"/>
  <c r="N1313" i="14"/>
  <c r="N1314" i="14"/>
  <c r="N1315" i="14"/>
  <c r="N1316" i="14"/>
  <c r="N1317" i="14"/>
  <c r="N1318" i="14"/>
  <c r="N1319" i="14"/>
  <c r="N1320" i="14"/>
  <c r="N1321" i="14"/>
  <c r="N1322" i="14"/>
  <c r="N1323" i="14"/>
  <c r="N1324" i="14"/>
  <c r="N1325" i="14"/>
  <c r="N1326" i="14"/>
  <c r="N1327" i="14"/>
  <c r="N1328" i="14"/>
  <c r="N1329" i="14"/>
  <c r="N1330" i="14"/>
  <c r="N1331" i="14"/>
  <c r="N1332" i="14"/>
  <c r="N1333" i="14"/>
  <c r="N1334" i="14"/>
  <c r="N1335" i="14"/>
  <c r="N1336" i="14"/>
  <c r="N1337" i="14"/>
  <c r="N1338" i="14"/>
  <c r="N1339" i="14"/>
  <c r="N1340" i="14"/>
  <c r="N1341" i="14"/>
  <c r="N1342" i="14"/>
  <c r="N1343" i="14"/>
  <c r="N1344" i="14"/>
  <c r="N1345" i="14"/>
  <c r="N1346" i="14"/>
  <c r="N1347" i="14"/>
  <c r="N1348" i="14"/>
  <c r="N1349" i="14"/>
  <c r="N1350" i="14"/>
  <c r="N1351" i="14"/>
  <c r="N1352" i="14"/>
  <c r="N1353" i="14"/>
  <c r="N1354" i="14"/>
  <c r="N1355" i="14"/>
  <c r="N1356" i="14"/>
  <c r="N1357" i="14"/>
  <c r="N1358" i="14"/>
  <c r="N1359" i="14"/>
  <c r="N1360" i="14"/>
  <c r="N1361" i="14"/>
  <c r="N1362" i="14"/>
  <c r="N1363" i="14"/>
  <c r="N1364" i="14"/>
  <c r="N1365" i="14"/>
  <c r="N1366" i="14"/>
  <c r="N1367" i="14"/>
  <c r="N1368" i="14"/>
  <c r="N1369" i="14"/>
  <c r="N1370" i="14"/>
  <c r="N1371" i="14"/>
  <c r="N1372" i="14"/>
  <c r="N1373" i="14"/>
  <c r="N1374" i="14"/>
  <c r="N1375" i="14"/>
  <c r="N1376" i="14"/>
  <c r="N1377" i="14"/>
  <c r="N1378" i="14"/>
  <c r="N1379" i="14"/>
  <c r="N1380" i="14"/>
  <c r="N1381" i="14"/>
  <c r="N1382" i="14"/>
  <c r="N1383" i="14"/>
  <c r="N1384" i="14"/>
  <c r="N1385" i="14"/>
  <c r="N1386" i="14"/>
  <c r="N1387" i="14"/>
  <c r="N1388" i="14"/>
  <c r="N1389" i="14"/>
  <c r="N1390" i="14"/>
  <c r="N1391" i="14"/>
  <c r="N1392" i="14"/>
  <c r="N1393" i="14"/>
  <c r="N1394" i="14"/>
  <c r="N1395" i="14"/>
  <c r="N1396" i="14"/>
  <c r="N1397" i="14"/>
  <c r="N1398" i="14"/>
  <c r="N1399" i="14"/>
  <c r="N1400" i="14"/>
  <c r="N1401" i="14"/>
  <c r="N1402" i="14"/>
  <c r="N1403" i="14"/>
  <c r="N1404" i="14"/>
  <c r="N1405" i="14"/>
  <c r="N1406" i="14"/>
  <c r="N1407" i="14"/>
  <c r="N1408" i="14"/>
  <c r="N1409" i="14"/>
  <c r="N1410" i="14"/>
  <c r="N1411" i="14"/>
  <c r="N1412" i="14"/>
  <c r="N1413" i="14"/>
  <c r="D6" i="14"/>
  <c r="C6" i="14"/>
  <c r="C5" i="14" l="1"/>
  <c r="D5" i="14"/>
  <c r="N5" i="14"/>
  <c r="AB180" i="14" l="1"/>
  <c r="AA180" i="14"/>
  <c r="AB179" i="14"/>
  <c r="AA179" i="14"/>
  <c r="AB178" i="14"/>
  <c r="AA178" i="14"/>
  <c r="AA1370" i="14" l="1"/>
  <c r="AB1370" i="14"/>
  <c r="AA1371" i="14"/>
  <c r="AB1371" i="14"/>
  <c r="AA1372" i="14"/>
  <c r="AB1372" i="14"/>
  <c r="AA1373" i="14"/>
  <c r="AB1373" i="14"/>
  <c r="AA1374" i="14"/>
  <c r="AB1374" i="14"/>
  <c r="AA1375" i="14"/>
  <c r="AB1375" i="14"/>
  <c r="AA1376" i="14"/>
  <c r="AB1376" i="14"/>
  <c r="AA1377" i="14"/>
  <c r="AB1377" i="14"/>
  <c r="AA1378" i="14"/>
  <c r="AB1378" i="14"/>
  <c r="AA1379" i="14"/>
  <c r="AB1379" i="14"/>
  <c r="AA1380" i="14"/>
  <c r="AB1380" i="14"/>
  <c r="AA1381" i="14"/>
  <c r="AB1381" i="14"/>
  <c r="AA1382" i="14"/>
  <c r="AB1382" i="14"/>
  <c r="AA1383" i="14"/>
  <c r="AB1383" i="14"/>
  <c r="AA1384" i="14"/>
  <c r="AB1384" i="14"/>
  <c r="AA1385" i="14"/>
  <c r="AB1385" i="14"/>
  <c r="AA1386" i="14"/>
  <c r="AB1386" i="14"/>
  <c r="AA1387" i="14"/>
  <c r="AB1387" i="14"/>
  <c r="AA1388" i="14"/>
  <c r="AB1388" i="14"/>
  <c r="AA1389" i="14"/>
  <c r="AB1389" i="14"/>
  <c r="AA1390" i="14"/>
  <c r="AB1390" i="14"/>
  <c r="AA1391" i="14"/>
  <c r="AB1391" i="14"/>
  <c r="AA1392" i="14"/>
  <c r="AB1392" i="14"/>
  <c r="AA1393" i="14"/>
  <c r="AB1393" i="14"/>
  <c r="AA1394" i="14"/>
  <c r="AB1394" i="14"/>
  <c r="AA1395" i="14"/>
  <c r="AB1395" i="14"/>
  <c r="AA1396" i="14"/>
  <c r="AB1396" i="14"/>
  <c r="AA1397" i="14"/>
  <c r="AB1397" i="14"/>
  <c r="AA1398" i="14"/>
  <c r="AB1398" i="14"/>
  <c r="AA1399" i="14"/>
  <c r="AB1399" i="14"/>
  <c r="AA1400" i="14"/>
  <c r="AB1400" i="14"/>
  <c r="AA1401" i="14"/>
  <c r="AB1401" i="14"/>
  <c r="AA1402" i="14"/>
  <c r="AB1402" i="14"/>
  <c r="AA1403" i="14"/>
  <c r="AB1403" i="14"/>
  <c r="AA1404" i="14"/>
  <c r="AB1404" i="14"/>
  <c r="AA1405" i="14"/>
  <c r="AB1405" i="14"/>
  <c r="AA1406" i="14"/>
  <c r="AB1406" i="14"/>
  <c r="AA1407" i="14"/>
  <c r="AB1407" i="14"/>
  <c r="AA1408" i="14"/>
  <c r="AB1408" i="14"/>
  <c r="AA1409" i="14"/>
  <c r="AB1409" i="14"/>
  <c r="AA1410" i="14"/>
  <c r="AB1410" i="14"/>
  <c r="AA1411" i="14"/>
  <c r="AB1411" i="14"/>
  <c r="AA1412" i="14"/>
  <c r="AB1412" i="14"/>
  <c r="AA1413" i="14"/>
  <c r="AB1413" i="14"/>
  <c r="AA1351" i="14" l="1"/>
  <c r="AB1351" i="14"/>
  <c r="AA1352" i="14"/>
  <c r="AB1352" i="14"/>
  <c r="AA1353" i="14"/>
  <c r="AB1353" i="14"/>
  <c r="AA1354" i="14"/>
  <c r="AB1354" i="14"/>
  <c r="AA1355" i="14"/>
  <c r="AB1355" i="14"/>
  <c r="AA1356" i="14"/>
  <c r="AB1356" i="14"/>
  <c r="AA1357" i="14"/>
  <c r="AB1357" i="14"/>
  <c r="AA1358" i="14"/>
  <c r="AB1358" i="14"/>
  <c r="AA1359" i="14"/>
  <c r="AB1359" i="14"/>
  <c r="AA1360" i="14"/>
  <c r="AB1360" i="14"/>
  <c r="AA1361" i="14"/>
  <c r="AB1361" i="14"/>
  <c r="AA1362" i="14"/>
  <c r="AB1362" i="14"/>
  <c r="AA1363" i="14"/>
  <c r="AB1363" i="14"/>
  <c r="AA1364" i="14"/>
  <c r="AB1364" i="14"/>
  <c r="AA1365" i="14"/>
  <c r="AB1365" i="14"/>
  <c r="AA1366" i="14"/>
  <c r="AB1366" i="14"/>
  <c r="AA1367" i="14"/>
  <c r="AB1367" i="14"/>
  <c r="AA1368" i="14"/>
  <c r="AB1368" i="14"/>
  <c r="AA1369" i="14"/>
  <c r="AB1369" i="14"/>
  <c r="AA1225" i="14" l="1"/>
  <c r="AB1225" i="14"/>
  <c r="AA1226" i="14"/>
  <c r="AB1226" i="14"/>
  <c r="AA1255" i="14" l="1"/>
  <c r="AB1255" i="14"/>
  <c r="AA1256" i="14"/>
  <c r="AB1256" i="14"/>
  <c r="AA1257" i="14"/>
  <c r="AB1257" i="14"/>
  <c r="AA1258" i="14"/>
  <c r="AB1258" i="14"/>
  <c r="AA1259" i="14"/>
  <c r="AB1259" i="14"/>
  <c r="AA1260" i="14"/>
  <c r="AB1260" i="14"/>
  <c r="AA1261" i="14"/>
  <c r="AB1261" i="14"/>
  <c r="AA1262" i="14"/>
  <c r="AB1262" i="14"/>
  <c r="AA1263" i="14"/>
  <c r="AB1263" i="14"/>
  <c r="AA1264" i="14"/>
  <c r="AB1264" i="14"/>
  <c r="AA1265" i="14"/>
  <c r="AB1265" i="14"/>
  <c r="AA1266" i="14"/>
  <c r="AB1266" i="14"/>
  <c r="AA1267" i="14"/>
  <c r="AB1267" i="14"/>
  <c r="AA1268" i="14"/>
  <c r="AB1268" i="14"/>
  <c r="AA1269" i="14"/>
  <c r="AB1269" i="14"/>
  <c r="AA1270" i="14"/>
  <c r="AB1270" i="14"/>
  <c r="AA1271" i="14"/>
  <c r="AB1271" i="14"/>
  <c r="AA1272" i="14"/>
  <c r="AB1272" i="14"/>
  <c r="AA1273" i="14"/>
  <c r="AB1273" i="14"/>
  <c r="AA1274" i="14"/>
  <c r="AB1274" i="14"/>
  <c r="AA1275" i="14"/>
  <c r="AB1275" i="14"/>
  <c r="AA1276" i="14"/>
  <c r="AB1276" i="14"/>
  <c r="AA1277" i="14"/>
  <c r="AB1277" i="14"/>
  <c r="AA1278" i="14"/>
  <c r="AB1278" i="14"/>
  <c r="AA1279" i="14"/>
  <c r="AB1279" i="14"/>
  <c r="AA1280" i="14"/>
  <c r="AB1280" i="14"/>
  <c r="AA1281" i="14"/>
  <c r="AB1281" i="14"/>
  <c r="AA1282" i="14"/>
  <c r="AB1282" i="14"/>
  <c r="AA1283" i="14"/>
  <c r="AB1283" i="14"/>
  <c r="AA1284" i="14"/>
  <c r="AB1284" i="14"/>
  <c r="AA1285" i="14"/>
  <c r="AB1285" i="14"/>
  <c r="AA1286" i="14"/>
  <c r="AB1286" i="14"/>
  <c r="AA1287" i="14"/>
  <c r="AB1287" i="14"/>
  <c r="AA1288" i="14"/>
  <c r="AB1288" i="14"/>
  <c r="AA1289" i="14"/>
  <c r="AB1289" i="14"/>
  <c r="AA1290" i="14"/>
  <c r="AB1290" i="14"/>
  <c r="AA1291" i="14"/>
  <c r="AB1291" i="14"/>
  <c r="AA1292" i="14"/>
  <c r="AB1292" i="14"/>
  <c r="AA1293" i="14"/>
  <c r="AB1293" i="14"/>
  <c r="AA1294" i="14"/>
  <c r="AB1294" i="14"/>
  <c r="AA1295" i="14"/>
  <c r="AB1295" i="14"/>
  <c r="AA1296" i="14"/>
  <c r="AB1296" i="14"/>
  <c r="AA1297" i="14"/>
  <c r="AB1297" i="14"/>
  <c r="AA1298" i="14"/>
  <c r="AB1298" i="14"/>
  <c r="AA1299" i="14"/>
  <c r="AB1299" i="14"/>
  <c r="AA1300" i="14"/>
  <c r="AB1300" i="14"/>
  <c r="AA1301" i="14"/>
  <c r="AB1301" i="14"/>
  <c r="AA1302" i="14"/>
  <c r="AB1302" i="14"/>
  <c r="AA1303" i="14"/>
  <c r="AB1303" i="14"/>
  <c r="AA1304" i="14"/>
  <c r="AB1304" i="14"/>
  <c r="AA1305" i="14"/>
  <c r="AB1305" i="14"/>
  <c r="AA1306" i="14"/>
  <c r="AB1306" i="14"/>
  <c r="AA1307" i="14"/>
  <c r="AB1307" i="14"/>
  <c r="AA1308" i="14"/>
  <c r="AB1308" i="14"/>
  <c r="AA1309" i="14"/>
  <c r="AB1309" i="14"/>
  <c r="AA1310" i="14"/>
  <c r="AB1310" i="14"/>
  <c r="AA1311" i="14"/>
  <c r="AB1311" i="14"/>
  <c r="AA1312" i="14"/>
  <c r="AB1312" i="14"/>
  <c r="AA1313" i="14"/>
  <c r="AB1313" i="14"/>
  <c r="AA1314" i="14"/>
  <c r="AB1314" i="14"/>
  <c r="AA1315" i="14"/>
  <c r="AB1315" i="14"/>
  <c r="AA1316" i="14"/>
  <c r="AB1316" i="14"/>
  <c r="AA1317" i="14"/>
  <c r="AB1317" i="14"/>
  <c r="AA1318" i="14"/>
  <c r="AB1318" i="14"/>
  <c r="AA1319" i="14"/>
  <c r="AB1319" i="14"/>
  <c r="AA1320" i="14"/>
  <c r="AB1320" i="14"/>
  <c r="AA1321" i="14"/>
  <c r="AB1321" i="14"/>
  <c r="AA1322" i="14"/>
  <c r="AB1322" i="14"/>
  <c r="AA1323" i="14"/>
  <c r="AB1323" i="14"/>
  <c r="AA1324" i="14"/>
  <c r="AB1324" i="14"/>
  <c r="AA1325" i="14"/>
  <c r="AB1325" i="14"/>
  <c r="AA1326" i="14"/>
  <c r="AB1326" i="14"/>
  <c r="AA1327" i="14"/>
  <c r="AB1327" i="14"/>
  <c r="AA1328" i="14"/>
  <c r="AB1328" i="14"/>
  <c r="AA1329" i="14"/>
  <c r="AB1329" i="14"/>
  <c r="AA1330" i="14"/>
  <c r="AB1330" i="14"/>
  <c r="AA1331" i="14"/>
  <c r="AB1331" i="14"/>
  <c r="AA1332" i="14"/>
  <c r="AB1332" i="14"/>
  <c r="AA1333" i="14"/>
  <c r="AB1333" i="14"/>
  <c r="AA1334" i="14"/>
  <c r="AB1334" i="14"/>
  <c r="AA1335" i="14"/>
  <c r="AB1335" i="14"/>
  <c r="AA1336" i="14"/>
  <c r="AB1336" i="14"/>
  <c r="AA1337" i="14"/>
  <c r="AB1337" i="14"/>
  <c r="AA1338" i="14"/>
  <c r="AB1338" i="14"/>
  <c r="AA1339" i="14"/>
  <c r="AB1339" i="14"/>
  <c r="AA1340" i="14"/>
  <c r="AB1340" i="14"/>
  <c r="AA1341" i="14"/>
  <c r="AB1341" i="14"/>
  <c r="AA1342" i="14"/>
  <c r="AB1342" i="14"/>
  <c r="AA1343" i="14"/>
  <c r="AB1343" i="14"/>
  <c r="AA1344" i="14"/>
  <c r="AB1344" i="14"/>
  <c r="AA1345" i="14"/>
  <c r="AB1345" i="14"/>
  <c r="AA1346" i="14"/>
  <c r="AB1346" i="14"/>
  <c r="AA1347" i="14"/>
  <c r="AB1347" i="14"/>
  <c r="AA1348" i="14"/>
  <c r="AB1348" i="14"/>
  <c r="AA1349" i="14"/>
  <c r="AB1349" i="14"/>
  <c r="AA1350" i="14"/>
  <c r="AB1350" i="14"/>
  <c r="AB1187" i="14" l="1"/>
  <c r="AA1149" i="14" l="1"/>
  <c r="AB1149" i="14"/>
  <c r="AA1150" i="14"/>
  <c r="AB1150" i="14"/>
  <c r="AA1151" i="14"/>
  <c r="AB1151" i="14"/>
  <c r="AA1152" i="14"/>
  <c r="AB1152" i="14"/>
  <c r="AA1153" i="14"/>
  <c r="AB1153" i="14"/>
  <c r="AA1154" i="14"/>
  <c r="AB1154" i="14"/>
  <c r="AA1155" i="14"/>
  <c r="AB1155" i="14"/>
  <c r="AA1156" i="14"/>
  <c r="AB1156" i="14"/>
  <c r="AA1157" i="14"/>
  <c r="AB1157" i="14"/>
  <c r="AA1158" i="14"/>
  <c r="AB1158" i="14"/>
  <c r="AA1159" i="14"/>
  <c r="AB1159" i="14"/>
  <c r="AA1160" i="14"/>
  <c r="AB1160" i="14"/>
  <c r="AA1161" i="14"/>
  <c r="AB1161" i="14"/>
  <c r="AA1162" i="14"/>
  <c r="AB1162" i="14"/>
  <c r="AA1163" i="14"/>
  <c r="AB1163" i="14"/>
  <c r="AA1164" i="14"/>
  <c r="AB1164" i="14"/>
  <c r="AA1165" i="14"/>
  <c r="AB1165" i="14"/>
  <c r="AA1166" i="14"/>
  <c r="AB1166" i="14"/>
  <c r="AA1167" i="14"/>
  <c r="AB1167" i="14"/>
  <c r="AA1168" i="14"/>
  <c r="AB1168" i="14"/>
  <c r="AA1169" i="14"/>
  <c r="AB1169" i="14"/>
  <c r="AA1170" i="14"/>
  <c r="AB1170" i="14"/>
  <c r="AA1171" i="14"/>
  <c r="AB1171" i="14"/>
  <c r="AA1172" i="14"/>
  <c r="AB1172" i="14"/>
  <c r="AA1173" i="14"/>
  <c r="AB1173" i="14"/>
  <c r="AA1174" i="14"/>
  <c r="AB1174" i="14"/>
  <c r="AA1175" i="14"/>
  <c r="AB1175" i="14"/>
  <c r="AA1176" i="14"/>
  <c r="AB1176" i="14"/>
  <c r="AA1177" i="14"/>
  <c r="AB1177" i="14"/>
  <c r="AA1178" i="14"/>
  <c r="AB1178" i="14"/>
  <c r="AA1179" i="14"/>
  <c r="AB1179" i="14"/>
  <c r="AA1180" i="14"/>
  <c r="AB1180" i="14"/>
  <c r="AA1181" i="14"/>
  <c r="AB1181" i="14"/>
  <c r="AA1182" i="14"/>
  <c r="AB1182" i="14"/>
  <c r="AA1183" i="14"/>
  <c r="AB1183" i="14"/>
  <c r="AA1184" i="14"/>
  <c r="AB1184" i="14"/>
  <c r="AA1185" i="14"/>
  <c r="AB1185" i="14"/>
  <c r="AA1186" i="14"/>
  <c r="AB1186" i="14"/>
  <c r="AA1188" i="14"/>
  <c r="AB1188" i="14"/>
  <c r="AA1189" i="14"/>
  <c r="AB1189" i="14"/>
  <c r="AA1190" i="14"/>
  <c r="AB1190" i="14"/>
  <c r="AA1191" i="14"/>
  <c r="AB1191" i="14"/>
  <c r="AA1192" i="14"/>
  <c r="AB1192" i="14"/>
  <c r="AA1193" i="14"/>
  <c r="AB1193" i="14"/>
  <c r="AA1194" i="14"/>
  <c r="AB1194" i="14"/>
  <c r="AA1195" i="14"/>
  <c r="AB1195" i="14"/>
  <c r="AA1196" i="14"/>
  <c r="AB1196" i="14"/>
  <c r="AA1197" i="14"/>
  <c r="AB1197" i="14"/>
  <c r="AA1198" i="14"/>
  <c r="AB1198" i="14"/>
  <c r="AA1199" i="14"/>
  <c r="AB1199" i="14"/>
  <c r="AA1200" i="14"/>
  <c r="AB1200" i="14"/>
  <c r="AA1201" i="14"/>
  <c r="AB1201" i="14"/>
  <c r="AA1202" i="14"/>
  <c r="AB1202" i="14"/>
  <c r="AA1203" i="14"/>
  <c r="AB1203" i="14"/>
  <c r="AA1204" i="14"/>
  <c r="AB1204" i="14"/>
  <c r="AA1205" i="14"/>
  <c r="AB1205" i="14"/>
  <c r="AA1206" i="14"/>
  <c r="AB1206" i="14"/>
  <c r="AA1207" i="14"/>
  <c r="AB1207" i="14"/>
  <c r="AA1208" i="14"/>
  <c r="AB1208" i="14"/>
  <c r="AA1209" i="14"/>
  <c r="AB1209" i="14"/>
  <c r="AA1210" i="14"/>
  <c r="AB1210" i="14"/>
  <c r="AA1211" i="14"/>
  <c r="AB1211" i="14"/>
  <c r="AA1212" i="14"/>
  <c r="AB1212" i="14"/>
  <c r="AA1213" i="14"/>
  <c r="AB1213" i="14"/>
  <c r="AA1214" i="14"/>
  <c r="AB1214" i="14"/>
  <c r="AA1215" i="14"/>
  <c r="AB1215" i="14"/>
  <c r="AA1216" i="14"/>
  <c r="AB1216" i="14"/>
  <c r="AA1217" i="14"/>
  <c r="AB1217" i="14"/>
  <c r="AA1218" i="14"/>
  <c r="AB1218" i="14"/>
  <c r="AA1219" i="14"/>
  <c r="AB1219" i="14"/>
  <c r="AA1220" i="14"/>
  <c r="AB1220" i="14"/>
  <c r="AA1221" i="14"/>
  <c r="AB1221" i="14"/>
  <c r="AA1222" i="14"/>
  <c r="AB1222" i="14"/>
  <c r="AA1223" i="14"/>
  <c r="AB1223" i="14"/>
  <c r="AA1224" i="14"/>
  <c r="AB1224" i="14"/>
  <c r="AA1227" i="14"/>
  <c r="AB1227" i="14"/>
  <c r="AA1228" i="14"/>
  <c r="AB1228" i="14"/>
  <c r="AA1229" i="14"/>
  <c r="AB1229" i="14"/>
  <c r="AA1230" i="14"/>
  <c r="AB1230" i="14"/>
  <c r="AA1231" i="14"/>
  <c r="AB1231" i="14"/>
  <c r="AA1232" i="14"/>
  <c r="AB1232" i="14"/>
  <c r="AA1233" i="14"/>
  <c r="AB1233" i="14"/>
  <c r="AA1234" i="14"/>
  <c r="AB1234" i="14"/>
  <c r="AA1235" i="14"/>
  <c r="AB1235" i="14"/>
  <c r="AA1236" i="14"/>
  <c r="AB1236" i="14"/>
  <c r="AA1237" i="14"/>
  <c r="AB1237" i="14"/>
  <c r="AA1238" i="14"/>
  <c r="AB1238" i="14"/>
  <c r="AA1239" i="14"/>
  <c r="AB1239" i="14"/>
  <c r="AA1240" i="14"/>
  <c r="AB1240" i="14"/>
  <c r="AA1241" i="14"/>
  <c r="AB1241" i="14"/>
  <c r="AA1242" i="14"/>
  <c r="AB1242" i="14"/>
  <c r="AA1243" i="14"/>
  <c r="AB1243" i="14"/>
  <c r="AA1244" i="14"/>
  <c r="AB1244" i="14"/>
  <c r="AA1245" i="14"/>
  <c r="AB1245" i="14"/>
  <c r="AA1246" i="14"/>
  <c r="AB1246" i="14"/>
  <c r="AA1247" i="14"/>
  <c r="AB1247" i="14"/>
  <c r="AA1248" i="14"/>
  <c r="AB1248" i="14"/>
  <c r="AA1249" i="14"/>
  <c r="AB1249" i="14"/>
  <c r="AA1250" i="14"/>
  <c r="AB1250" i="14"/>
  <c r="AA1251" i="14"/>
  <c r="AB1251" i="14"/>
  <c r="AA1252" i="14"/>
  <c r="AB1252" i="14"/>
  <c r="AA1253" i="14"/>
  <c r="AB1253" i="14"/>
  <c r="AA1254" i="14"/>
  <c r="AB1254" i="14"/>
  <c r="AA1082" i="14" l="1"/>
  <c r="AB1082" i="14"/>
  <c r="AA1083" i="14"/>
  <c r="AB1083" i="14"/>
  <c r="AA1084" i="14"/>
  <c r="AB1084" i="14"/>
  <c r="AA1085" i="14"/>
  <c r="AB1085" i="14"/>
  <c r="AA1086" i="14"/>
  <c r="AB1086" i="14"/>
  <c r="AA1087" i="14"/>
  <c r="AB1087" i="14"/>
  <c r="AA1088" i="14"/>
  <c r="AB1088" i="14"/>
  <c r="AA1089" i="14"/>
  <c r="AB1089" i="14"/>
  <c r="AA1090" i="14"/>
  <c r="AB1090" i="14"/>
  <c r="AA1091" i="14"/>
  <c r="AB1091" i="14"/>
  <c r="AA1092" i="14"/>
  <c r="AB1092" i="14"/>
  <c r="AA1093" i="14"/>
  <c r="AB1093" i="14"/>
  <c r="AA1094" i="14"/>
  <c r="AB1094" i="14"/>
  <c r="AA1095" i="14"/>
  <c r="AB1095" i="14"/>
  <c r="AA1096" i="14"/>
  <c r="AB1096" i="14"/>
  <c r="AA1097" i="14"/>
  <c r="AB1097" i="14"/>
  <c r="AA1098" i="14"/>
  <c r="AB1098" i="14"/>
  <c r="AA1099" i="14"/>
  <c r="AB1099" i="14"/>
  <c r="AA1100" i="14"/>
  <c r="AB1100" i="14"/>
  <c r="AA1101" i="14"/>
  <c r="AB1101" i="14"/>
  <c r="AA1102" i="14"/>
  <c r="AB1102" i="14"/>
  <c r="AA1103" i="14"/>
  <c r="AB1103" i="14"/>
  <c r="AA1104" i="14"/>
  <c r="AB1104" i="14"/>
  <c r="AA1105" i="14"/>
  <c r="AB1105" i="14"/>
  <c r="AA1106" i="14"/>
  <c r="AB1106" i="14"/>
  <c r="AA1107" i="14"/>
  <c r="AB1107" i="14"/>
  <c r="AA1108" i="14"/>
  <c r="AB1108" i="14"/>
  <c r="AA1109" i="14"/>
  <c r="AB1109" i="14"/>
  <c r="AA1110" i="14"/>
  <c r="AB1110" i="14"/>
  <c r="AA1111" i="14"/>
  <c r="AB1111" i="14"/>
  <c r="AA1112" i="14"/>
  <c r="AB1112" i="14"/>
  <c r="AA1113" i="14"/>
  <c r="AB1113" i="14"/>
  <c r="AA1114" i="14"/>
  <c r="AB1114" i="14"/>
  <c r="AA1115" i="14"/>
  <c r="AB1115" i="14"/>
  <c r="AA1116" i="14"/>
  <c r="AB1116" i="14"/>
  <c r="AA1117" i="14"/>
  <c r="AB1117" i="14"/>
  <c r="AA1118" i="14"/>
  <c r="AB1118" i="14"/>
  <c r="AA1119" i="14"/>
  <c r="AB1119" i="14"/>
  <c r="AA1120" i="14"/>
  <c r="AB1120" i="14"/>
  <c r="AA1121" i="14"/>
  <c r="AB1121" i="14"/>
  <c r="AA1122" i="14"/>
  <c r="AB1122" i="14"/>
  <c r="AA1123" i="14"/>
  <c r="AB1123" i="14"/>
  <c r="AA1124" i="14"/>
  <c r="AB1124" i="14"/>
  <c r="AA1125" i="14"/>
  <c r="AB1125" i="14"/>
  <c r="AA1126" i="14"/>
  <c r="AB1126" i="14"/>
  <c r="AA1127" i="14"/>
  <c r="AB1127" i="14"/>
  <c r="AA1128" i="14"/>
  <c r="AB1128" i="14"/>
  <c r="AA1129" i="14"/>
  <c r="AB1129" i="14"/>
  <c r="AA1130" i="14"/>
  <c r="AB1130" i="14"/>
  <c r="AA1131" i="14"/>
  <c r="AB1131" i="14"/>
  <c r="AA1132" i="14"/>
  <c r="AB1132" i="14"/>
  <c r="AA1133" i="14"/>
  <c r="AB1133" i="14"/>
  <c r="AA1134" i="14"/>
  <c r="AB1134" i="14"/>
  <c r="AA1135" i="14"/>
  <c r="AB1135" i="14"/>
  <c r="AA1136" i="14"/>
  <c r="AB1136" i="14"/>
  <c r="AA1137" i="14"/>
  <c r="AB1137" i="14"/>
  <c r="AA1138" i="14"/>
  <c r="AB1138" i="14"/>
  <c r="AA1139" i="14"/>
  <c r="AB1139" i="14"/>
  <c r="AA1140" i="14"/>
  <c r="AB1140" i="14"/>
  <c r="AA1141" i="14"/>
  <c r="AB1141" i="14"/>
  <c r="AA1142" i="14"/>
  <c r="AB1142" i="14"/>
  <c r="AA1143" i="14"/>
  <c r="AB1143" i="14"/>
  <c r="AA1144" i="14"/>
  <c r="AB1144" i="14"/>
  <c r="AA1145" i="14"/>
  <c r="AB1145" i="14"/>
  <c r="AA1146" i="14"/>
  <c r="AB1146" i="14"/>
  <c r="AA1147" i="14"/>
  <c r="AB1147" i="14"/>
  <c r="AA1148" i="14"/>
  <c r="AB1148" i="14"/>
  <c r="AA1053" i="14" l="1"/>
  <c r="AB1053" i="14"/>
  <c r="AA1054" i="14"/>
  <c r="AB1054" i="14"/>
  <c r="AA1055" i="14"/>
  <c r="AB1055" i="14"/>
  <c r="AA1056" i="14"/>
  <c r="AB1056" i="14"/>
  <c r="AA1057" i="14"/>
  <c r="AB1057" i="14"/>
  <c r="AA1058" i="14"/>
  <c r="AB1058" i="14"/>
  <c r="AA1059" i="14"/>
  <c r="AB1059" i="14"/>
  <c r="AA1060" i="14"/>
  <c r="AB1060" i="14"/>
  <c r="AA1061" i="14"/>
  <c r="AB1061" i="14"/>
  <c r="AA1062" i="14"/>
  <c r="AB1062" i="14"/>
  <c r="AA1063" i="14"/>
  <c r="AB1063" i="14"/>
  <c r="AA1064" i="14"/>
  <c r="AB1064" i="14"/>
  <c r="AA1065" i="14"/>
  <c r="AB1065" i="14"/>
  <c r="AA1066" i="14"/>
  <c r="AB1066" i="14"/>
  <c r="AA1067" i="14"/>
  <c r="AB1067" i="14"/>
  <c r="AA1068" i="14"/>
  <c r="AB1068" i="14"/>
  <c r="AA1069" i="14"/>
  <c r="AB1069" i="14"/>
  <c r="AA1070" i="14"/>
  <c r="AB1070" i="14"/>
  <c r="AA1071" i="14"/>
  <c r="AB1071" i="14"/>
  <c r="AA1072" i="14"/>
  <c r="AB1072" i="14"/>
  <c r="AA1073" i="14"/>
  <c r="AB1073" i="14"/>
  <c r="AA1074" i="14"/>
  <c r="AB1074" i="14"/>
  <c r="AA1075" i="14"/>
  <c r="AB1075" i="14"/>
  <c r="AA1076" i="14"/>
  <c r="AB1076" i="14"/>
  <c r="AA1077" i="14"/>
  <c r="AB1077" i="14"/>
  <c r="AA1078" i="14"/>
  <c r="AB1078" i="14"/>
  <c r="AA1079" i="14"/>
  <c r="AB1079" i="14"/>
  <c r="AA1080" i="14"/>
  <c r="AB1080" i="14"/>
  <c r="AA1081" i="14"/>
  <c r="AB1081" i="14"/>
  <c r="AA1004" i="14" l="1"/>
  <c r="AB1004" i="14"/>
  <c r="AA1005" i="14"/>
  <c r="AB1005" i="14"/>
  <c r="AA1006" i="14"/>
  <c r="AB1006" i="14"/>
  <c r="AA1007" i="14"/>
  <c r="AB1007" i="14"/>
  <c r="AA1008" i="14"/>
  <c r="AB1008" i="14"/>
  <c r="AA1009" i="14"/>
  <c r="AB1009" i="14"/>
  <c r="AA1010" i="14"/>
  <c r="AB1010" i="14"/>
  <c r="AA1011" i="14"/>
  <c r="AB1011" i="14"/>
  <c r="AA1012" i="14"/>
  <c r="AB1012" i="14"/>
  <c r="AA1013" i="14"/>
  <c r="AB1013" i="14"/>
  <c r="AA1014" i="14"/>
  <c r="AB1014" i="14"/>
  <c r="AA1015" i="14"/>
  <c r="AB1015" i="14"/>
  <c r="AA1016" i="14"/>
  <c r="AB1016" i="14"/>
  <c r="AA1017" i="14"/>
  <c r="AB1017" i="14"/>
  <c r="AA1018" i="14"/>
  <c r="AB1018" i="14"/>
  <c r="AA1019" i="14"/>
  <c r="AB1019" i="14"/>
  <c r="AA1020" i="14"/>
  <c r="AB1020" i="14"/>
  <c r="AA1021" i="14"/>
  <c r="AB1021" i="14"/>
  <c r="AA1022" i="14"/>
  <c r="AB1022" i="14"/>
  <c r="AA1023" i="14"/>
  <c r="AB1023" i="14"/>
  <c r="AA1024" i="14"/>
  <c r="AB1024" i="14"/>
  <c r="AA1025" i="14"/>
  <c r="AB1025" i="14"/>
  <c r="AA1026" i="14"/>
  <c r="AB1026" i="14"/>
  <c r="AA1027" i="14"/>
  <c r="AB1027" i="14"/>
  <c r="AA1028" i="14"/>
  <c r="AB1028" i="14"/>
  <c r="AA1029" i="14"/>
  <c r="AB1029" i="14"/>
  <c r="AA1030" i="14"/>
  <c r="AB1030" i="14"/>
  <c r="AA1031" i="14"/>
  <c r="AB1031" i="14"/>
  <c r="AA1033" i="14"/>
  <c r="AB1033" i="14"/>
  <c r="AA1032" i="14"/>
  <c r="AB1032" i="14"/>
  <c r="AA1034" i="14"/>
  <c r="AB1034" i="14"/>
  <c r="AA1035" i="14"/>
  <c r="AB1035" i="14"/>
  <c r="AA1036" i="14"/>
  <c r="AB1036" i="14"/>
  <c r="AA1037" i="14"/>
  <c r="AB1037" i="14"/>
  <c r="AA1038" i="14"/>
  <c r="AB1038" i="14"/>
  <c r="AA1039" i="14"/>
  <c r="AB1039" i="14"/>
  <c r="AA1040" i="14"/>
  <c r="AB1040" i="14"/>
  <c r="AA1041" i="14"/>
  <c r="AB1041" i="14"/>
  <c r="AA1042" i="14"/>
  <c r="AB1042" i="14"/>
  <c r="AA1043" i="14"/>
  <c r="AB1043" i="14"/>
  <c r="AA1044" i="14"/>
  <c r="AB1044" i="14"/>
  <c r="AA1045" i="14"/>
  <c r="AB1045" i="14"/>
  <c r="AA1046" i="14"/>
  <c r="AB1046" i="14"/>
  <c r="AA1047" i="14"/>
  <c r="AB1047" i="14"/>
  <c r="AA1048" i="14"/>
  <c r="AB1048" i="14"/>
  <c r="AA1049" i="14"/>
  <c r="AB1049" i="14"/>
  <c r="AA1050" i="14"/>
  <c r="AB1050" i="14"/>
  <c r="AA1051" i="14"/>
  <c r="AB1051" i="14"/>
  <c r="AA1052" i="14"/>
  <c r="AB1052" i="14"/>
  <c r="AB988" i="14" l="1"/>
  <c r="AB987" i="14"/>
  <c r="AA985" i="14"/>
  <c r="AA986" i="14"/>
  <c r="AA987" i="14"/>
  <c r="AA989" i="14"/>
  <c r="AA990" i="14"/>
  <c r="AA991" i="14"/>
  <c r="AA992" i="14"/>
  <c r="AB986" i="14"/>
  <c r="AB985" i="14"/>
  <c r="AB960" i="14" l="1"/>
  <c r="AB946" i="14" l="1"/>
  <c r="AA964" i="14"/>
  <c r="AB964" i="14"/>
  <c r="AA965" i="14"/>
  <c r="AB965" i="14"/>
  <c r="AA966" i="14"/>
  <c r="AB966" i="14"/>
  <c r="AA967" i="14"/>
  <c r="AB967" i="14"/>
  <c r="AA968" i="14"/>
  <c r="AB968" i="14"/>
  <c r="AA969" i="14"/>
  <c r="AB969" i="14"/>
  <c r="AA970" i="14"/>
  <c r="AB970" i="14"/>
  <c r="AA971" i="14"/>
  <c r="AB971" i="14"/>
  <c r="AA972" i="14"/>
  <c r="AB972" i="14"/>
  <c r="AA973" i="14"/>
  <c r="AB973" i="14"/>
  <c r="AA974" i="14"/>
  <c r="AB974" i="14"/>
  <c r="AA975" i="14"/>
  <c r="AB975" i="14"/>
  <c r="AA976" i="14"/>
  <c r="AB976" i="14"/>
  <c r="AA977" i="14"/>
  <c r="AB977" i="14"/>
  <c r="AA978" i="14"/>
  <c r="AB978" i="14"/>
  <c r="AA979" i="14"/>
  <c r="AB979" i="14"/>
  <c r="AA980" i="14"/>
  <c r="AB980" i="14"/>
  <c r="AA981" i="14"/>
  <c r="AB981" i="14"/>
  <c r="AA982" i="14"/>
  <c r="AB982" i="14"/>
  <c r="AA983" i="14"/>
  <c r="AB983" i="14"/>
  <c r="AA984" i="14"/>
  <c r="AB984" i="14"/>
  <c r="AB989" i="14"/>
  <c r="AB990" i="14"/>
  <c r="AB991" i="14"/>
  <c r="AB992" i="14"/>
  <c r="AA993" i="14"/>
  <c r="AB993" i="14"/>
  <c r="AA994" i="14"/>
  <c r="AB994" i="14"/>
  <c r="AA995" i="14"/>
  <c r="AB995" i="14"/>
  <c r="AA996" i="14"/>
  <c r="AB996" i="14"/>
  <c r="AA997" i="14"/>
  <c r="AB997" i="14"/>
  <c r="AA998" i="14"/>
  <c r="AB998" i="14"/>
  <c r="AA999" i="14"/>
  <c r="AB999" i="14"/>
  <c r="AA1000" i="14"/>
  <c r="AB1000" i="14"/>
  <c r="AA1001" i="14"/>
  <c r="AB1001" i="14"/>
  <c r="AA1002" i="14"/>
  <c r="AB1002" i="14"/>
  <c r="AA1003" i="14"/>
  <c r="AB1003" i="14"/>
  <c r="AA923" i="14" l="1"/>
  <c r="AB923" i="14"/>
  <c r="AA924" i="14"/>
  <c r="AB924" i="14"/>
  <c r="AA925" i="14"/>
  <c r="AB925" i="14"/>
  <c r="AA926" i="14"/>
  <c r="AB926" i="14"/>
  <c r="AA927" i="14"/>
  <c r="AB927" i="14"/>
  <c r="AA928" i="14"/>
  <c r="AB928" i="14"/>
  <c r="AA929" i="14"/>
  <c r="AB929" i="14"/>
  <c r="AA930" i="14"/>
  <c r="AB930" i="14"/>
  <c r="AA931" i="14"/>
  <c r="AB931" i="14"/>
  <c r="AA932" i="14"/>
  <c r="AB932" i="14"/>
  <c r="AA933" i="14"/>
  <c r="AB933" i="14"/>
  <c r="AA934" i="14"/>
  <c r="AB934" i="14"/>
  <c r="AA935" i="14"/>
  <c r="AB935" i="14"/>
  <c r="AA936" i="14"/>
  <c r="AB936" i="14"/>
  <c r="AA937" i="14"/>
  <c r="AB937" i="14"/>
  <c r="AA938" i="14"/>
  <c r="AB938" i="14"/>
  <c r="AA939" i="14"/>
  <c r="AB939" i="14"/>
  <c r="AA940" i="14"/>
  <c r="AB940" i="14"/>
  <c r="AA941" i="14"/>
  <c r="AB941" i="14"/>
  <c r="AA942" i="14"/>
  <c r="AB942" i="14"/>
  <c r="AA943" i="14"/>
  <c r="AB943" i="14"/>
  <c r="AA944" i="14"/>
  <c r="AB944" i="14"/>
  <c r="AA945" i="14"/>
  <c r="AB945" i="14"/>
  <c r="AA946" i="14"/>
  <c r="AA947" i="14"/>
  <c r="AB947" i="14"/>
  <c r="AA948" i="14"/>
  <c r="AB948" i="14"/>
  <c r="AA949" i="14"/>
  <c r="AB949" i="14"/>
  <c r="AA950" i="14"/>
  <c r="AB950" i="14"/>
  <c r="AA951" i="14"/>
  <c r="AB951" i="14"/>
  <c r="AA952" i="14"/>
  <c r="AB952" i="14"/>
  <c r="AA953" i="14"/>
  <c r="AB953" i="14"/>
  <c r="AA954" i="14"/>
  <c r="AB954" i="14"/>
  <c r="AA955" i="14"/>
  <c r="AB955" i="14"/>
  <c r="AA956" i="14"/>
  <c r="AB956" i="14"/>
  <c r="AA957" i="14"/>
  <c r="AB957" i="14"/>
  <c r="AA958" i="14"/>
  <c r="AB958" i="14"/>
  <c r="AA959" i="14"/>
  <c r="AB959" i="14"/>
  <c r="AA961" i="14"/>
  <c r="AB961" i="14"/>
  <c r="AA962" i="14"/>
  <c r="AB962" i="14"/>
  <c r="AA963" i="14"/>
  <c r="AB963" i="14"/>
  <c r="AB898" i="14" l="1"/>
  <c r="AA898" i="14"/>
  <c r="AA823" i="14" l="1"/>
  <c r="AB823" i="14"/>
  <c r="AA824" i="14"/>
  <c r="AB824" i="14"/>
  <c r="AA825" i="14"/>
  <c r="AB825" i="14"/>
  <c r="AA826" i="14"/>
  <c r="AB826" i="14"/>
  <c r="AA827" i="14"/>
  <c r="AB827" i="14"/>
  <c r="AA828" i="14"/>
  <c r="AB828" i="14"/>
  <c r="AA829" i="14"/>
  <c r="AB829" i="14"/>
  <c r="AA830" i="14"/>
  <c r="AB830" i="14"/>
  <c r="AA831" i="14"/>
  <c r="AB831" i="14"/>
  <c r="AA832" i="14"/>
  <c r="AB832" i="14"/>
  <c r="AA833" i="14"/>
  <c r="AB833" i="14"/>
  <c r="AA834" i="14"/>
  <c r="AB834" i="14"/>
  <c r="AA835" i="14"/>
  <c r="AB835" i="14"/>
  <c r="AA836" i="14"/>
  <c r="AB836" i="14"/>
  <c r="AA837" i="14"/>
  <c r="AB837" i="14"/>
  <c r="AA838" i="14"/>
  <c r="AB838" i="14"/>
  <c r="AA839" i="14"/>
  <c r="AB839" i="14"/>
  <c r="AA840" i="14"/>
  <c r="AB840" i="14"/>
  <c r="AA841" i="14"/>
  <c r="AB841" i="14"/>
  <c r="AA842" i="14"/>
  <c r="AB842" i="14"/>
  <c r="AA843" i="14"/>
  <c r="AB843" i="14"/>
  <c r="AA844" i="14"/>
  <c r="AB844" i="14"/>
  <c r="AA845" i="14"/>
  <c r="AB845" i="14"/>
  <c r="AA846" i="14"/>
  <c r="AB846" i="14"/>
  <c r="AA847" i="14"/>
  <c r="AB847" i="14"/>
  <c r="AA848" i="14"/>
  <c r="AB848" i="14"/>
  <c r="AA849" i="14"/>
  <c r="AB849" i="14"/>
  <c r="AA850" i="14"/>
  <c r="AB850" i="14"/>
  <c r="AA851" i="14"/>
  <c r="AB851" i="14"/>
  <c r="AA852" i="14"/>
  <c r="AB852" i="14"/>
  <c r="AA853" i="14"/>
  <c r="AB853" i="14"/>
  <c r="AA854" i="14"/>
  <c r="AB854" i="14"/>
  <c r="AA855" i="14"/>
  <c r="AB855" i="14"/>
  <c r="AA856" i="14"/>
  <c r="AB856" i="14"/>
  <c r="AA857" i="14"/>
  <c r="AB857" i="14"/>
  <c r="AA858" i="14"/>
  <c r="AB858" i="14"/>
  <c r="AA859" i="14"/>
  <c r="AB859" i="14"/>
  <c r="AA860" i="14"/>
  <c r="AB860" i="14"/>
  <c r="AA861" i="14"/>
  <c r="AB861" i="14"/>
  <c r="AA862" i="14"/>
  <c r="AB862" i="14"/>
  <c r="AA863" i="14"/>
  <c r="AB863" i="14"/>
  <c r="AA864" i="14"/>
  <c r="AB864" i="14"/>
  <c r="AA865" i="14"/>
  <c r="AB865" i="14"/>
  <c r="AA866" i="14"/>
  <c r="AB866" i="14"/>
  <c r="AA867" i="14"/>
  <c r="AB867" i="14"/>
  <c r="AA868" i="14"/>
  <c r="AB868" i="14"/>
  <c r="AA869" i="14"/>
  <c r="AB869" i="14"/>
  <c r="AA870" i="14"/>
  <c r="AB870" i="14"/>
  <c r="AA871" i="14"/>
  <c r="AB871" i="14"/>
  <c r="AA872" i="14"/>
  <c r="AB872" i="14"/>
  <c r="AA873" i="14"/>
  <c r="AB873" i="14"/>
  <c r="AA874" i="14"/>
  <c r="AB874" i="14"/>
  <c r="AA875" i="14"/>
  <c r="AB875" i="14"/>
  <c r="AA876" i="14"/>
  <c r="AB876" i="14"/>
  <c r="AA877" i="14"/>
  <c r="AB877" i="14"/>
  <c r="AA878" i="14"/>
  <c r="AB878" i="14"/>
  <c r="AA879" i="14"/>
  <c r="AB879" i="14"/>
  <c r="AA880" i="14"/>
  <c r="AB880" i="14"/>
  <c r="AA881" i="14"/>
  <c r="AB881" i="14"/>
  <c r="AA882" i="14"/>
  <c r="AB882" i="14"/>
  <c r="AA883" i="14"/>
  <c r="AB883" i="14"/>
  <c r="AA884" i="14"/>
  <c r="AB884" i="14"/>
  <c r="AA885" i="14"/>
  <c r="AB885" i="14"/>
  <c r="AA886" i="14"/>
  <c r="AB886" i="14"/>
  <c r="AA887" i="14"/>
  <c r="AB887" i="14"/>
  <c r="AA888" i="14"/>
  <c r="AB888" i="14"/>
  <c r="AA889" i="14"/>
  <c r="AB889" i="14"/>
  <c r="AA890" i="14"/>
  <c r="AB890" i="14"/>
  <c r="AA891" i="14"/>
  <c r="AB891" i="14"/>
  <c r="AA892" i="14"/>
  <c r="AB892" i="14"/>
  <c r="AA893" i="14"/>
  <c r="AB893" i="14"/>
  <c r="AA894" i="14"/>
  <c r="AB894" i="14"/>
  <c r="AA895" i="14"/>
  <c r="AB895" i="14"/>
  <c r="AA896" i="14"/>
  <c r="AB896" i="14"/>
  <c r="AA897" i="14"/>
  <c r="AB897" i="14"/>
  <c r="AA899" i="14"/>
  <c r="AB899" i="14"/>
  <c r="AA900" i="14"/>
  <c r="AB900" i="14"/>
  <c r="AA901" i="14"/>
  <c r="AB901" i="14"/>
  <c r="AA902" i="14"/>
  <c r="AB902" i="14"/>
  <c r="AA903" i="14"/>
  <c r="AB903" i="14"/>
  <c r="AA904" i="14"/>
  <c r="AB904" i="14"/>
  <c r="AA905" i="14"/>
  <c r="AB905" i="14"/>
  <c r="AA906" i="14"/>
  <c r="AB906" i="14"/>
  <c r="AA907" i="14"/>
  <c r="AB907" i="14"/>
  <c r="AA908" i="14"/>
  <c r="AB908" i="14"/>
  <c r="AA909" i="14"/>
  <c r="AB909" i="14"/>
  <c r="AA910" i="14"/>
  <c r="AB910" i="14"/>
  <c r="AA911" i="14"/>
  <c r="AB911" i="14"/>
  <c r="AA912" i="14"/>
  <c r="AB912" i="14"/>
  <c r="AA913" i="14"/>
  <c r="AB913" i="14"/>
  <c r="AA914" i="14"/>
  <c r="AB914" i="14"/>
  <c r="AA915" i="14"/>
  <c r="AB915" i="14"/>
  <c r="AA916" i="14"/>
  <c r="AB916" i="14"/>
  <c r="AA917" i="14"/>
  <c r="AB917" i="14"/>
  <c r="AA918" i="14"/>
  <c r="AB918" i="14"/>
  <c r="AA919" i="14"/>
  <c r="AB919" i="14"/>
  <c r="AA920" i="14"/>
  <c r="AB920" i="14"/>
  <c r="AA921" i="14"/>
  <c r="AB921" i="14"/>
  <c r="AA922" i="14"/>
  <c r="AB922" i="14"/>
  <c r="AA727" i="14" l="1"/>
  <c r="AB727" i="14"/>
  <c r="AA728" i="14"/>
  <c r="AB728" i="14"/>
  <c r="AA729" i="14"/>
  <c r="AB729" i="14"/>
  <c r="AA730" i="14"/>
  <c r="AB730" i="14"/>
  <c r="AA731" i="14"/>
  <c r="AB731" i="14"/>
  <c r="AA732" i="14"/>
  <c r="AB732" i="14"/>
  <c r="AA733" i="14"/>
  <c r="AB733" i="14"/>
  <c r="AA734" i="14"/>
  <c r="AB734" i="14"/>
  <c r="AA735" i="14"/>
  <c r="AB735" i="14"/>
  <c r="AA736" i="14"/>
  <c r="AB736" i="14"/>
  <c r="AA737" i="14"/>
  <c r="AB737" i="14"/>
  <c r="AA738" i="14"/>
  <c r="AB738" i="14"/>
  <c r="AA739" i="14"/>
  <c r="AB739" i="14"/>
  <c r="AA740" i="14"/>
  <c r="AB740" i="14"/>
  <c r="AA741" i="14"/>
  <c r="AB741" i="14"/>
  <c r="AA742" i="14"/>
  <c r="AB742" i="14"/>
  <c r="AA743" i="14"/>
  <c r="AB743" i="14"/>
  <c r="AA744" i="14"/>
  <c r="AB744" i="14"/>
  <c r="AA745" i="14"/>
  <c r="AB745" i="14"/>
  <c r="AA746" i="14"/>
  <c r="AB746" i="14"/>
  <c r="AA747" i="14"/>
  <c r="AB747" i="14"/>
  <c r="AA748" i="14"/>
  <c r="AB748" i="14"/>
  <c r="AA749" i="14"/>
  <c r="AB749" i="14"/>
  <c r="AA750" i="14"/>
  <c r="AB750" i="14"/>
  <c r="AA751" i="14"/>
  <c r="AB751" i="14"/>
  <c r="AA752" i="14"/>
  <c r="AB752" i="14"/>
  <c r="AA753" i="14"/>
  <c r="AB753" i="14"/>
  <c r="AA754" i="14"/>
  <c r="AB754" i="14"/>
  <c r="AA755" i="14"/>
  <c r="AB755" i="14"/>
  <c r="AA756" i="14"/>
  <c r="AB756" i="14"/>
  <c r="AA757" i="14"/>
  <c r="AB757" i="14"/>
  <c r="AA758" i="14"/>
  <c r="AB758" i="14"/>
  <c r="AA759" i="14"/>
  <c r="AB759" i="14"/>
  <c r="AA760" i="14"/>
  <c r="AB760" i="14"/>
  <c r="AA761" i="14"/>
  <c r="AB761" i="14"/>
  <c r="AA762" i="14"/>
  <c r="AB762" i="14"/>
  <c r="AA763" i="14"/>
  <c r="AB763" i="14"/>
  <c r="AA764" i="14"/>
  <c r="AB764" i="14"/>
  <c r="AA765" i="14"/>
  <c r="AB765" i="14"/>
  <c r="AA766" i="14"/>
  <c r="AB766" i="14"/>
  <c r="AA767" i="14"/>
  <c r="AB767" i="14"/>
  <c r="AA768" i="14"/>
  <c r="AB768" i="14"/>
  <c r="AA769" i="14"/>
  <c r="AB769" i="14"/>
  <c r="AA770" i="14"/>
  <c r="AB770" i="14"/>
  <c r="AA771" i="14"/>
  <c r="AB771" i="14"/>
  <c r="AA772" i="14"/>
  <c r="AB772" i="14"/>
  <c r="AA773" i="14"/>
  <c r="AB773" i="14"/>
  <c r="AA774" i="14"/>
  <c r="AB774" i="14"/>
  <c r="AA775" i="14"/>
  <c r="AB775" i="14"/>
  <c r="AA776" i="14"/>
  <c r="AB776" i="14"/>
  <c r="AA777" i="14"/>
  <c r="AB777" i="14"/>
  <c r="AA778" i="14"/>
  <c r="AB778" i="14"/>
  <c r="AA779" i="14"/>
  <c r="AB779" i="14"/>
  <c r="AA780" i="14"/>
  <c r="AB780" i="14"/>
  <c r="AA781" i="14"/>
  <c r="AB781" i="14"/>
  <c r="AA782" i="14"/>
  <c r="AB782" i="14"/>
  <c r="AA783" i="14"/>
  <c r="AB783" i="14"/>
  <c r="AA784" i="14"/>
  <c r="AB784" i="14"/>
  <c r="AA785" i="14"/>
  <c r="AB785" i="14"/>
  <c r="AA786" i="14"/>
  <c r="AB786" i="14"/>
  <c r="AA787" i="14"/>
  <c r="AB787" i="14"/>
  <c r="AA788" i="14"/>
  <c r="AB788" i="14"/>
  <c r="AA789" i="14"/>
  <c r="AB789" i="14"/>
  <c r="AA790" i="14"/>
  <c r="AB790" i="14"/>
  <c r="AA791" i="14"/>
  <c r="AB791" i="14"/>
  <c r="AA792" i="14"/>
  <c r="AB792" i="14"/>
  <c r="AA793" i="14"/>
  <c r="AB793" i="14"/>
  <c r="AA794" i="14"/>
  <c r="AB794" i="14"/>
  <c r="AA795" i="14"/>
  <c r="AB795" i="14"/>
  <c r="AA796" i="14"/>
  <c r="AB796" i="14"/>
  <c r="AA797" i="14"/>
  <c r="AB797" i="14"/>
  <c r="AA798" i="14"/>
  <c r="AB798" i="14"/>
  <c r="AA799" i="14"/>
  <c r="AB799" i="14"/>
  <c r="AA800" i="14"/>
  <c r="AB800" i="14"/>
  <c r="AA801" i="14"/>
  <c r="AB801" i="14"/>
  <c r="AA802" i="14"/>
  <c r="AB802" i="14"/>
  <c r="AA805" i="14"/>
  <c r="AB805" i="14"/>
  <c r="AA803" i="14"/>
  <c r="AB803" i="14"/>
  <c r="AA804" i="14"/>
  <c r="AB804" i="14"/>
  <c r="AA806" i="14"/>
  <c r="AB806" i="14"/>
  <c r="AA807" i="14"/>
  <c r="AB807" i="14"/>
  <c r="AA808" i="14"/>
  <c r="AB808" i="14"/>
  <c r="AA809" i="14"/>
  <c r="AB809" i="14"/>
  <c r="AA810" i="14"/>
  <c r="AB810" i="14"/>
  <c r="AA811" i="14"/>
  <c r="AB811" i="14"/>
  <c r="AA812" i="14"/>
  <c r="AB812" i="14"/>
  <c r="AA813" i="14"/>
  <c r="AB813" i="14"/>
  <c r="AA814" i="14"/>
  <c r="AB814" i="14"/>
  <c r="AA815" i="14"/>
  <c r="AB815" i="14"/>
  <c r="AA816" i="14"/>
  <c r="AB816" i="14"/>
  <c r="AA817" i="14"/>
  <c r="AB817" i="14"/>
  <c r="AA818" i="14"/>
  <c r="AB818" i="14"/>
  <c r="AA819" i="14"/>
  <c r="AB819" i="14"/>
  <c r="AA820" i="14"/>
  <c r="AB820" i="14"/>
  <c r="AA821" i="14"/>
  <c r="AB821" i="14"/>
  <c r="AA822" i="14"/>
  <c r="AB822" i="14"/>
  <c r="AA590" i="14" l="1"/>
  <c r="AB590" i="14"/>
  <c r="AA591" i="14"/>
  <c r="AB591" i="14"/>
  <c r="AA592" i="14"/>
  <c r="AB592" i="14"/>
  <c r="AA593" i="14"/>
  <c r="AB593" i="14"/>
  <c r="AA594" i="14"/>
  <c r="AB594" i="14"/>
  <c r="AA595" i="14"/>
  <c r="AB595" i="14"/>
  <c r="AA596" i="14"/>
  <c r="AB596" i="14"/>
  <c r="AA597" i="14"/>
  <c r="AB597" i="14"/>
  <c r="AA598" i="14"/>
  <c r="AB598" i="14"/>
  <c r="AA599" i="14"/>
  <c r="AB599" i="14"/>
  <c r="AA600" i="14"/>
  <c r="AB600" i="14"/>
  <c r="AA601" i="14"/>
  <c r="AB601" i="14"/>
  <c r="AA602" i="14"/>
  <c r="AB602" i="14"/>
  <c r="AA603" i="14"/>
  <c r="AB603" i="14"/>
  <c r="AA604" i="14"/>
  <c r="AB604" i="14"/>
  <c r="AA605" i="14"/>
  <c r="AB605" i="14"/>
  <c r="AA606" i="14"/>
  <c r="AB606" i="14"/>
  <c r="AA607" i="14"/>
  <c r="AB607" i="14"/>
  <c r="AA608" i="14"/>
  <c r="AB608" i="14"/>
  <c r="AA609" i="14"/>
  <c r="AB609" i="14"/>
  <c r="AA610" i="14"/>
  <c r="AB610" i="14"/>
  <c r="AA611" i="14"/>
  <c r="AB611" i="14"/>
  <c r="AA612" i="14"/>
  <c r="AB612" i="14"/>
  <c r="AA613" i="14"/>
  <c r="AB613" i="14"/>
  <c r="AA614" i="14"/>
  <c r="AB614" i="14"/>
  <c r="AA615" i="14"/>
  <c r="AB615" i="14"/>
  <c r="AA616" i="14"/>
  <c r="AB616" i="14"/>
  <c r="AA617" i="14"/>
  <c r="AB617" i="14"/>
  <c r="AA618" i="14"/>
  <c r="AB618" i="14"/>
  <c r="AA619" i="14"/>
  <c r="AB619" i="14"/>
  <c r="AA620" i="14"/>
  <c r="AB620" i="14"/>
  <c r="AA621" i="14"/>
  <c r="AB621" i="14"/>
  <c r="AA622" i="14"/>
  <c r="AB622" i="14"/>
  <c r="AA623" i="14"/>
  <c r="AB623" i="14"/>
  <c r="AA624" i="14"/>
  <c r="AB624" i="14"/>
  <c r="AA625" i="14"/>
  <c r="AB625" i="14"/>
  <c r="AA626" i="14"/>
  <c r="AB626" i="14"/>
  <c r="AA627" i="14"/>
  <c r="AB627" i="14"/>
  <c r="AA628" i="14"/>
  <c r="AB628" i="14"/>
  <c r="AA629" i="14"/>
  <c r="AB629" i="14"/>
  <c r="AA630" i="14"/>
  <c r="AB630" i="14"/>
  <c r="AA631" i="14"/>
  <c r="AB631" i="14"/>
  <c r="AA632" i="14"/>
  <c r="AB632" i="14"/>
  <c r="AA633" i="14"/>
  <c r="AB633" i="14"/>
  <c r="AA634" i="14"/>
  <c r="AB634" i="14"/>
  <c r="AA635" i="14"/>
  <c r="AB635" i="14"/>
  <c r="AA636" i="14"/>
  <c r="AB636" i="14"/>
  <c r="AA637" i="14"/>
  <c r="AB637" i="14"/>
  <c r="AA638" i="14"/>
  <c r="AB638" i="14"/>
  <c r="AA639" i="14"/>
  <c r="AB639" i="14"/>
  <c r="AA640" i="14"/>
  <c r="AB640" i="14"/>
  <c r="AA641" i="14"/>
  <c r="AB641" i="14"/>
  <c r="AA642" i="14"/>
  <c r="AB642" i="14"/>
  <c r="AA643" i="14"/>
  <c r="AB643" i="14"/>
  <c r="AA644" i="14"/>
  <c r="AB644" i="14"/>
  <c r="AA645" i="14"/>
  <c r="AB645" i="14"/>
  <c r="AA646" i="14"/>
  <c r="AB646" i="14"/>
  <c r="AA647" i="14"/>
  <c r="AB647" i="14"/>
  <c r="AA648" i="14"/>
  <c r="AB648" i="14"/>
  <c r="AA649" i="14"/>
  <c r="AB649" i="14"/>
  <c r="AA650" i="14"/>
  <c r="AB650" i="14"/>
  <c r="AA651" i="14"/>
  <c r="AB651" i="14"/>
  <c r="AA652" i="14"/>
  <c r="AB652" i="14"/>
  <c r="AA653" i="14"/>
  <c r="AB653" i="14"/>
  <c r="AA654" i="14"/>
  <c r="AB654" i="14"/>
  <c r="AA655" i="14"/>
  <c r="AB655" i="14"/>
  <c r="AA656" i="14"/>
  <c r="AB656" i="14"/>
  <c r="AA657" i="14"/>
  <c r="AB657" i="14"/>
  <c r="AA658" i="14"/>
  <c r="AB658" i="14"/>
  <c r="AA659" i="14"/>
  <c r="AB659" i="14"/>
  <c r="AA660" i="14"/>
  <c r="AB660" i="14"/>
  <c r="AA661" i="14"/>
  <c r="AB661" i="14"/>
  <c r="AA662" i="14"/>
  <c r="AB662" i="14"/>
  <c r="AA663" i="14"/>
  <c r="AB663" i="14"/>
  <c r="AA664" i="14"/>
  <c r="AB664" i="14"/>
  <c r="AA665" i="14"/>
  <c r="AB665" i="14"/>
  <c r="AA666" i="14"/>
  <c r="AB666" i="14"/>
  <c r="AA667" i="14"/>
  <c r="AB667" i="14"/>
  <c r="AA668" i="14"/>
  <c r="AB668" i="14"/>
  <c r="AA669" i="14"/>
  <c r="AB669" i="14"/>
  <c r="AA670" i="14"/>
  <c r="AB670" i="14"/>
  <c r="AA671" i="14"/>
  <c r="AB671" i="14"/>
  <c r="AA672" i="14"/>
  <c r="AB672" i="14"/>
  <c r="AA673" i="14"/>
  <c r="AB673" i="14"/>
  <c r="AA674" i="14"/>
  <c r="AB674" i="14"/>
  <c r="AA675" i="14"/>
  <c r="AB675" i="14"/>
  <c r="AA676" i="14"/>
  <c r="AB676" i="14"/>
  <c r="AA677" i="14"/>
  <c r="AB677" i="14"/>
  <c r="AA678" i="14"/>
  <c r="AB678" i="14"/>
  <c r="AA679" i="14"/>
  <c r="AB679" i="14"/>
  <c r="AA680" i="14"/>
  <c r="AB680" i="14"/>
  <c r="AA681" i="14"/>
  <c r="AB681" i="14"/>
  <c r="AA682" i="14"/>
  <c r="AB682" i="14"/>
  <c r="AA683" i="14"/>
  <c r="AB683" i="14"/>
  <c r="AA684" i="14"/>
  <c r="AB684" i="14"/>
  <c r="AA685" i="14"/>
  <c r="AB685" i="14"/>
  <c r="AA686" i="14"/>
  <c r="AB686" i="14"/>
  <c r="AA687" i="14"/>
  <c r="AB687" i="14"/>
  <c r="AA688" i="14"/>
  <c r="AB688" i="14"/>
  <c r="AA689" i="14"/>
  <c r="AB689" i="14"/>
  <c r="AA690" i="14"/>
  <c r="AB690" i="14"/>
  <c r="AA691" i="14"/>
  <c r="AB691" i="14"/>
  <c r="AA692" i="14"/>
  <c r="AB692" i="14"/>
  <c r="AA693" i="14"/>
  <c r="AB693" i="14"/>
  <c r="AA694" i="14"/>
  <c r="AB694" i="14"/>
  <c r="AA695" i="14"/>
  <c r="AB695" i="14"/>
  <c r="AA696" i="14"/>
  <c r="AB696" i="14"/>
  <c r="AA697" i="14"/>
  <c r="AB697" i="14"/>
  <c r="AA698" i="14"/>
  <c r="AB698" i="14"/>
  <c r="AA699" i="14"/>
  <c r="AB699" i="14"/>
  <c r="AA700" i="14"/>
  <c r="AB700" i="14"/>
  <c r="AA701" i="14"/>
  <c r="AB701" i="14"/>
  <c r="AA702" i="14"/>
  <c r="AB702" i="14"/>
  <c r="AA703" i="14"/>
  <c r="AB703" i="14"/>
  <c r="AA704" i="14"/>
  <c r="AB704" i="14"/>
  <c r="AA705" i="14"/>
  <c r="AB705" i="14"/>
  <c r="AA706" i="14"/>
  <c r="AB706" i="14"/>
  <c r="AA707" i="14"/>
  <c r="AB707" i="14"/>
  <c r="AA708" i="14"/>
  <c r="AB708" i="14"/>
  <c r="AA709" i="14"/>
  <c r="AB709" i="14"/>
  <c r="AA710" i="14"/>
  <c r="AB710" i="14"/>
  <c r="AA711" i="14"/>
  <c r="AB711" i="14"/>
  <c r="AA712" i="14"/>
  <c r="AB712" i="14"/>
  <c r="AA713" i="14"/>
  <c r="AB713" i="14"/>
  <c r="AA714" i="14"/>
  <c r="AB714" i="14"/>
  <c r="AA715" i="14"/>
  <c r="AB715" i="14"/>
  <c r="AA716" i="14"/>
  <c r="AB716" i="14"/>
  <c r="AA717" i="14"/>
  <c r="AB717" i="14"/>
  <c r="AA718" i="14"/>
  <c r="AB718" i="14"/>
  <c r="AA719" i="14"/>
  <c r="AB719" i="14"/>
  <c r="AA720" i="14"/>
  <c r="AB720" i="14"/>
  <c r="AA721" i="14"/>
  <c r="AB721" i="14"/>
  <c r="AA722" i="14"/>
  <c r="AB722" i="14"/>
  <c r="AA723" i="14"/>
  <c r="AB723" i="14"/>
  <c r="AA724" i="14"/>
  <c r="AB724" i="14"/>
  <c r="AA725" i="14"/>
  <c r="AB725" i="14"/>
  <c r="AA726" i="14"/>
  <c r="AB726" i="14"/>
  <c r="AB462" i="14" l="1"/>
  <c r="AB310" i="14" l="1"/>
  <c r="AB309" i="14"/>
  <c r="AA254" i="14" l="1"/>
  <c r="AA263" i="14"/>
  <c r="AA5" i="14" l="1"/>
  <c r="AB5" i="14"/>
  <c r="AA6" i="14"/>
  <c r="AB6" i="14"/>
  <c r="AA7" i="14"/>
  <c r="AB7" i="14"/>
  <c r="AA8" i="14"/>
  <c r="AB8" i="14"/>
  <c r="AA9" i="14"/>
  <c r="AB9" i="14"/>
  <c r="AA4" i="14"/>
  <c r="AB4" i="14"/>
  <c r="AA10" i="14"/>
  <c r="AB10" i="14"/>
  <c r="AA11" i="14"/>
  <c r="AB11" i="14"/>
  <c r="AA13" i="14"/>
  <c r="AB13" i="14"/>
  <c r="AA12" i="14"/>
  <c r="AB12" i="14"/>
  <c r="AA14" i="14"/>
  <c r="AB14" i="14"/>
  <c r="AA15" i="14"/>
  <c r="AB15" i="14"/>
  <c r="AA16" i="14"/>
  <c r="AB16" i="14"/>
  <c r="AA17" i="14"/>
  <c r="AB17" i="14"/>
  <c r="AA18" i="14"/>
  <c r="AB18" i="14"/>
  <c r="AA19" i="14"/>
  <c r="AB19" i="14"/>
  <c r="AA20" i="14"/>
  <c r="AB20" i="14"/>
  <c r="AA21" i="14"/>
  <c r="AB21" i="14"/>
  <c r="AA22" i="14"/>
  <c r="AB22" i="14"/>
  <c r="AA23" i="14"/>
  <c r="AB23" i="14"/>
  <c r="AA24" i="14"/>
  <c r="AB24" i="14"/>
  <c r="AA25" i="14"/>
  <c r="AB25" i="14"/>
  <c r="AA26" i="14"/>
  <c r="AB26" i="14"/>
  <c r="AA27" i="14"/>
  <c r="AB27" i="14"/>
  <c r="AA28" i="14"/>
  <c r="AB28" i="14"/>
  <c r="AA29" i="14"/>
  <c r="AB29" i="14"/>
  <c r="AA30" i="14"/>
  <c r="AB30" i="14"/>
  <c r="AA31" i="14"/>
  <c r="AB31" i="14"/>
  <c r="AA32" i="14"/>
  <c r="AB32" i="14"/>
  <c r="AA33" i="14"/>
  <c r="AB33" i="14"/>
  <c r="AA34" i="14"/>
  <c r="AB34" i="14"/>
  <c r="AA35" i="14"/>
  <c r="AB35" i="14"/>
  <c r="AA36" i="14"/>
  <c r="AB36" i="14"/>
  <c r="AA37" i="14"/>
  <c r="AB37" i="14"/>
  <c r="AA38" i="14"/>
  <c r="AB38" i="14"/>
  <c r="AA39" i="14"/>
  <c r="AB39" i="14"/>
  <c r="AA40" i="14"/>
  <c r="AB40" i="14"/>
  <c r="AA41" i="14"/>
  <c r="AB41" i="14"/>
  <c r="AA42" i="14"/>
  <c r="AB42" i="14"/>
  <c r="AA43" i="14"/>
  <c r="AB43" i="14"/>
  <c r="AA44" i="14"/>
  <c r="AB44" i="14"/>
  <c r="AA45" i="14"/>
  <c r="AB45" i="14"/>
  <c r="AA46" i="14"/>
  <c r="AB46" i="14"/>
  <c r="AA47" i="14"/>
  <c r="AB47" i="14"/>
  <c r="AA48" i="14"/>
  <c r="AB48" i="14"/>
  <c r="AA49" i="14"/>
  <c r="AB49" i="14"/>
  <c r="AA50" i="14"/>
  <c r="AB50" i="14"/>
  <c r="AA51" i="14"/>
  <c r="AB51" i="14"/>
  <c r="AA52" i="14"/>
  <c r="AB52" i="14"/>
  <c r="AA53" i="14"/>
  <c r="AB53" i="14"/>
  <c r="AA54" i="14"/>
  <c r="AB54" i="14"/>
  <c r="AA55" i="14"/>
  <c r="AB55" i="14"/>
  <c r="AA56" i="14"/>
  <c r="AB56" i="14"/>
  <c r="AA57" i="14"/>
  <c r="AB57" i="14"/>
  <c r="AA58" i="14"/>
  <c r="AB58" i="14"/>
  <c r="AA59" i="14"/>
  <c r="AB59" i="14"/>
  <c r="AA60" i="14"/>
  <c r="AB60" i="14"/>
  <c r="AA61" i="14"/>
  <c r="AB61" i="14"/>
  <c r="AA62" i="14"/>
  <c r="AB62" i="14"/>
  <c r="AA63" i="14"/>
  <c r="AB63" i="14"/>
  <c r="AA64" i="14"/>
  <c r="AB64" i="14"/>
  <c r="AA65" i="14"/>
  <c r="AB65" i="14"/>
  <c r="AA66" i="14"/>
  <c r="AB66" i="14"/>
  <c r="AA67" i="14"/>
  <c r="AB67" i="14"/>
  <c r="AA68" i="14"/>
  <c r="AB68" i="14"/>
  <c r="AA69" i="14"/>
  <c r="AB69" i="14"/>
  <c r="AA70" i="14"/>
  <c r="AB70" i="14"/>
  <c r="AA71" i="14"/>
  <c r="AB71" i="14"/>
  <c r="AA72" i="14"/>
  <c r="AB72" i="14"/>
  <c r="AA73" i="14"/>
  <c r="AB73" i="14"/>
  <c r="AA74" i="14"/>
  <c r="AB74" i="14"/>
  <c r="AA75" i="14"/>
  <c r="AB75" i="14"/>
  <c r="AA76" i="14"/>
  <c r="AB76" i="14"/>
  <c r="AA77" i="14"/>
  <c r="AB77" i="14"/>
  <c r="AA78" i="14"/>
  <c r="AB78" i="14"/>
  <c r="AA79" i="14"/>
  <c r="AB79" i="14"/>
  <c r="AA80" i="14"/>
  <c r="AB80" i="14"/>
  <c r="AA81" i="14"/>
  <c r="AB81" i="14"/>
  <c r="AA82" i="14"/>
  <c r="AB82" i="14"/>
  <c r="AA83" i="14"/>
  <c r="AB83" i="14"/>
  <c r="AA84" i="14"/>
  <c r="AB84" i="14"/>
  <c r="AA85" i="14"/>
  <c r="AB85" i="14"/>
  <c r="AA86" i="14"/>
  <c r="AB86" i="14"/>
  <c r="AA87" i="14"/>
  <c r="AB87" i="14"/>
  <c r="AA88" i="14"/>
  <c r="AB88" i="14"/>
  <c r="AA89" i="14"/>
  <c r="AB89" i="14"/>
  <c r="AA90" i="14"/>
  <c r="AB90" i="14"/>
  <c r="AA91" i="14"/>
  <c r="AB91" i="14"/>
  <c r="AA92" i="14"/>
  <c r="AB92" i="14"/>
  <c r="AA93" i="14"/>
  <c r="AB93" i="14"/>
  <c r="AA94" i="14"/>
  <c r="AB94" i="14"/>
  <c r="AA95" i="14"/>
  <c r="AB95" i="14"/>
  <c r="AA96" i="14"/>
  <c r="AB96" i="14"/>
  <c r="AA97" i="14"/>
  <c r="AB97" i="14"/>
  <c r="AA98" i="14"/>
  <c r="AB98" i="14"/>
  <c r="AA99" i="14"/>
  <c r="AB99" i="14"/>
  <c r="AA100" i="14"/>
  <c r="AB100" i="14"/>
  <c r="AA101" i="14"/>
  <c r="AB101" i="14"/>
  <c r="AA102" i="14"/>
  <c r="AB102" i="14"/>
  <c r="AA103" i="14"/>
  <c r="AB103" i="14"/>
  <c r="AA104" i="14"/>
  <c r="AB104" i="14"/>
  <c r="AA105" i="14"/>
  <c r="AB105" i="14"/>
  <c r="AA106" i="14"/>
  <c r="AB106" i="14"/>
  <c r="AA107" i="14"/>
  <c r="AB107" i="14"/>
  <c r="AA108" i="14"/>
  <c r="AB108" i="14"/>
  <c r="AA109" i="14"/>
  <c r="AB109" i="14"/>
  <c r="AA110" i="14"/>
  <c r="AB110" i="14"/>
  <c r="AA111" i="14"/>
  <c r="AB111" i="14"/>
  <c r="AA112" i="14"/>
  <c r="AB112" i="14"/>
  <c r="AA113" i="14"/>
  <c r="AB113" i="14"/>
  <c r="AA114" i="14"/>
  <c r="AB114" i="14"/>
  <c r="AA115" i="14"/>
  <c r="AB115" i="14"/>
  <c r="AA116" i="14"/>
  <c r="AB116" i="14"/>
  <c r="AA117" i="14"/>
  <c r="AB117" i="14"/>
  <c r="AA118" i="14"/>
  <c r="AB118" i="14"/>
  <c r="AA119" i="14"/>
  <c r="AB119" i="14"/>
  <c r="AA120" i="14"/>
  <c r="AB120" i="14"/>
  <c r="AA121" i="14"/>
  <c r="AB121" i="14"/>
  <c r="AA122" i="14"/>
  <c r="AB122" i="14"/>
  <c r="AA123" i="14"/>
  <c r="AB123" i="14"/>
  <c r="AA124" i="14"/>
  <c r="AB124" i="14"/>
  <c r="AA125" i="14"/>
  <c r="AB125" i="14"/>
  <c r="AA126" i="14"/>
  <c r="AB126" i="14"/>
  <c r="AA127" i="14"/>
  <c r="AB127" i="14"/>
  <c r="AA128" i="14"/>
  <c r="AB128" i="14"/>
  <c r="AA129" i="14"/>
  <c r="AB129" i="14"/>
  <c r="AA130" i="14"/>
  <c r="AB130" i="14"/>
  <c r="AA131" i="14"/>
  <c r="AB131" i="14"/>
  <c r="AA132" i="14"/>
  <c r="AB132" i="14"/>
  <c r="AB133" i="14"/>
  <c r="AA138" i="14"/>
  <c r="AB138" i="14"/>
  <c r="AA139" i="14"/>
  <c r="AB139" i="14"/>
  <c r="AA141" i="14"/>
  <c r="AB141" i="14"/>
  <c r="AA142" i="14"/>
  <c r="AB142" i="14"/>
  <c r="AA143" i="14"/>
  <c r="AB143" i="14"/>
  <c r="AA144" i="14"/>
  <c r="AB144" i="14"/>
  <c r="AA145" i="14"/>
  <c r="AB145" i="14"/>
  <c r="AA146" i="14"/>
  <c r="AB146" i="14"/>
  <c r="AB147" i="14"/>
  <c r="AA148" i="14"/>
  <c r="AB148" i="14"/>
  <c r="AA149" i="14"/>
  <c r="AB149" i="14"/>
  <c r="AB150" i="14"/>
  <c r="AB151" i="14"/>
  <c r="AA152" i="14"/>
  <c r="AB152" i="14"/>
  <c r="AA153" i="14"/>
  <c r="AB153" i="14"/>
  <c r="AA154" i="14"/>
  <c r="AB154" i="14"/>
  <c r="AA155" i="14"/>
  <c r="AB155" i="14"/>
  <c r="AA156" i="14"/>
  <c r="AB156" i="14"/>
  <c r="AA157" i="14"/>
  <c r="AB157" i="14"/>
  <c r="AA158" i="14"/>
  <c r="AB158" i="14"/>
  <c r="AA159" i="14"/>
  <c r="AB159" i="14"/>
  <c r="AA160" i="14"/>
  <c r="AB160" i="14"/>
  <c r="AA161" i="14"/>
  <c r="AB161" i="14"/>
  <c r="AA162" i="14"/>
  <c r="AB162" i="14"/>
  <c r="AA163" i="14"/>
  <c r="AB163" i="14"/>
  <c r="AA164" i="14"/>
  <c r="AB164" i="14"/>
  <c r="AA165" i="14"/>
  <c r="AB165" i="14"/>
  <c r="AA166" i="14"/>
  <c r="AB166" i="14"/>
  <c r="AA167" i="14"/>
  <c r="AB167" i="14"/>
  <c r="AA168" i="14"/>
  <c r="AB168" i="14"/>
  <c r="AA169" i="14"/>
  <c r="AB169" i="14"/>
  <c r="AA170" i="14"/>
  <c r="AB170" i="14"/>
  <c r="AA171" i="14"/>
  <c r="AB171" i="14"/>
  <c r="AA172" i="14"/>
  <c r="AB172" i="14"/>
  <c r="AA173" i="14"/>
  <c r="AB173" i="14"/>
  <c r="AA174" i="14"/>
  <c r="AB174" i="14"/>
  <c r="AA175" i="14"/>
  <c r="AB175" i="14"/>
  <c r="AA177" i="14"/>
  <c r="AB177" i="14"/>
  <c r="AA181" i="14"/>
  <c r="AB181" i="14"/>
  <c r="AA182" i="14"/>
  <c r="AB182" i="14"/>
  <c r="AA183" i="14"/>
  <c r="AB183" i="14"/>
  <c r="AA184" i="14"/>
  <c r="AB184" i="14"/>
  <c r="AA185" i="14"/>
  <c r="AB185" i="14"/>
  <c r="AA186" i="14"/>
  <c r="AB186" i="14"/>
  <c r="AA187" i="14"/>
  <c r="AB187" i="14"/>
  <c r="AA188" i="14"/>
  <c r="AB188" i="14"/>
  <c r="AA189" i="14"/>
  <c r="AB189" i="14"/>
  <c r="AA190" i="14"/>
  <c r="AB190" i="14"/>
  <c r="AA191" i="14"/>
  <c r="AB191" i="14"/>
  <c r="AA192" i="14"/>
  <c r="AB192" i="14"/>
  <c r="AA193" i="14"/>
  <c r="AB193" i="14"/>
  <c r="AA194" i="14"/>
  <c r="AB194" i="14"/>
  <c r="AA195" i="14"/>
  <c r="AB195" i="14"/>
  <c r="AA196" i="14"/>
  <c r="AB196" i="14"/>
  <c r="AA197" i="14"/>
  <c r="AB197" i="14"/>
  <c r="AA198" i="14"/>
  <c r="AB198" i="14"/>
  <c r="AA199" i="14"/>
  <c r="AB199" i="14"/>
  <c r="AA200" i="14"/>
  <c r="AB200" i="14"/>
  <c r="AA201" i="14"/>
  <c r="AB201" i="14"/>
  <c r="AA202" i="14"/>
  <c r="AB202" i="14"/>
  <c r="AA203" i="14"/>
  <c r="AB203" i="14"/>
  <c r="AA204" i="14"/>
  <c r="AB204" i="14"/>
  <c r="AA205" i="14"/>
  <c r="AB205" i="14"/>
  <c r="AA206" i="14"/>
  <c r="AB206" i="14"/>
  <c r="AA207" i="14"/>
  <c r="AB207" i="14"/>
  <c r="AA208" i="14"/>
  <c r="AB208" i="14"/>
  <c r="AA209" i="14"/>
  <c r="AB209" i="14"/>
  <c r="AA210" i="14"/>
  <c r="AB210" i="14"/>
  <c r="AA211" i="14"/>
  <c r="AB211" i="14"/>
  <c r="AA212" i="14"/>
  <c r="AB212" i="14"/>
  <c r="AA213" i="14"/>
  <c r="AB213" i="14"/>
  <c r="AA214" i="14"/>
  <c r="AB214" i="14"/>
  <c r="AA215" i="14"/>
  <c r="AB215" i="14"/>
  <c r="AA216" i="14"/>
  <c r="AB216" i="14"/>
  <c r="AA217" i="14"/>
  <c r="AB217" i="14"/>
  <c r="AA218" i="14"/>
  <c r="AB218" i="14"/>
  <c r="AA219" i="14"/>
  <c r="AB219" i="14"/>
  <c r="AA220" i="14"/>
  <c r="AB220" i="14"/>
  <c r="AA221" i="14"/>
  <c r="AB221" i="14"/>
  <c r="AA222" i="14"/>
  <c r="AB222" i="14"/>
  <c r="AA223" i="14"/>
  <c r="AB223" i="14"/>
  <c r="AA224" i="14"/>
  <c r="AB224" i="14"/>
  <c r="AA225" i="14"/>
  <c r="AB225" i="14"/>
  <c r="AA226" i="14"/>
  <c r="AB226" i="14"/>
  <c r="AA227" i="14"/>
  <c r="AB227" i="14"/>
  <c r="AA228" i="14"/>
  <c r="AB228" i="14"/>
  <c r="AA229" i="14"/>
  <c r="AB229" i="14"/>
  <c r="AA230" i="14"/>
  <c r="AB230" i="14"/>
  <c r="AA231" i="14"/>
  <c r="AB231" i="14"/>
  <c r="AA232" i="14"/>
  <c r="AB232" i="14"/>
  <c r="AA233" i="14"/>
  <c r="AB233" i="14"/>
  <c r="AA234" i="14"/>
  <c r="AB234" i="14"/>
  <c r="AA235" i="14"/>
  <c r="AB235" i="14"/>
  <c r="AA236" i="14"/>
  <c r="AB236" i="14"/>
  <c r="AA237" i="14"/>
  <c r="AB237" i="14"/>
  <c r="AA238" i="14"/>
  <c r="AB238" i="14"/>
  <c r="AA239" i="14"/>
  <c r="AB239" i="14"/>
  <c r="AA240" i="14"/>
  <c r="AB240" i="14"/>
  <c r="AA241" i="14"/>
  <c r="AB241" i="14"/>
  <c r="AA242" i="14"/>
  <c r="AB242" i="14"/>
  <c r="AA243" i="14"/>
  <c r="AB243" i="14"/>
  <c r="AA244" i="14"/>
  <c r="AB244" i="14"/>
  <c r="AA245" i="14"/>
  <c r="AB245" i="14"/>
  <c r="AB246" i="14"/>
  <c r="AA247" i="14"/>
  <c r="AB247" i="14"/>
  <c r="AA248" i="14"/>
  <c r="AB248" i="14"/>
  <c r="AA249" i="14"/>
  <c r="AB249" i="14"/>
  <c r="AA250" i="14"/>
  <c r="AB250" i="14"/>
  <c r="AA251" i="14"/>
  <c r="AB251" i="14"/>
  <c r="AA252" i="14"/>
  <c r="AB252" i="14"/>
  <c r="AA253" i="14"/>
  <c r="AB253" i="14"/>
  <c r="AB254" i="14"/>
  <c r="AA255" i="14"/>
  <c r="AB255" i="14"/>
  <c r="AA256" i="14"/>
  <c r="AB256" i="14"/>
  <c r="AA257" i="14"/>
  <c r="AB257" i="14"/>
  <c r="AA258" i="14"/>
  <c r="AB258" i="14"/>
  <c r="AA259" i="14"/>
  <c r="AB259" i="14"/>
  <c r="AA260" i="14"/>
  <c r="AB260" i="14"/>
  <c r="AA261" i="14"/>
  <c r="AB261" i="14"/>
  <c r="AA262" i="14"/>
  <c r="AB262" i="14"/>
  <c r="AB263" i="14"/>
  <c r="AA264" i="14"/>
  <c r="AB264" i="14"/>
  <c r="AA265" i="14"/>
  <c r="AB265" i="14"/>
  <c r="AA266" i="14"/>
  <c r="AB266" i="14"/>
  <c r="AA267" i="14"/>
  <c r="AB267" i="14"/>
  <c r="AA268" i="14"/>
  <c r="AB268" i="14"/>
  <c r="AA269" i="14"/>
  <c r="AB269" i="14"/>
  <c r="AA270" i="14"/>
  <c r="AB270" i="14"/>
  <c r="AA271" i="14"/>
  <c r="AB271" i="14"/>
  <c r="AA272" i="14"/>
  <c r="AB272" i="14"/>
  <c r="AA273" i="14"/>
  <c r="AB273" i="14"/>
  <c r="AA274" i="14"/>
  <c r="AB274" i="14"/>
  <c r="AA275" i="14"/>
  <c r="AB275" i="14"/>
  <c r="AA276" i="14"/>
  <c r="AB276" i="14"/>
  <c r="AA278" i="14"/>
  <c r="AB278" i="14"/>
  <c r="AA279" i="14"/>
  <c r="AB279" i="14"/>
  <c r="AA280" i="14"/>
  <c r="AB280" i="14"/>
  <c r="AA281" i="14"/>
  <c r="AB281" i="14"/>
  <c r="AA282" i="14"/>
  <c r="AB282" i="14"/>
  <c r="AA283" i="14"/>
  <c r="AB283" i="14"/>
  <c r="AA284" i="14"/>
  <c r="AB284" i="14"/>
  <c r="AA285" i="14"/>
  <c r="AB285" i="14"/>
  <c r="AA286" i="14"/>
  <c r="AB286" i="14"/>
  <c r="AA287" i="14"/>
  <c r="AB287" i="14"/>
  <c r="AA288" i="14"/>
  <c r="AB288" i="14"/>
  <c r="AA289" i="14"/>
  <c r="AB289" i="14"/>
  <c r="AA290" i="14"/>
  <c r="AB290" i="14"/>
  <c r="AA291" i="14"/>
  <c r="AB291" i="14"/>
  <c r="AA292" i="14"/>
  <c r="AB292" i="14"/>
  <c r="AA293" i="14"/>
  <c r="AB293" i="14"/>
  <c r="AA294" i="14"/>
  <c r="AB294" i="14"/>
  <c r="AA295" i="14"/>
  <c r="AB295" i="14"/>
  <c r="AA296" i="14"/>
  <c r="AB296" i="14"/>
  <c r="AA297" i="14"/>
  <c r="AB297" i="14"/>
  <c r="AA298" i="14"/>
  <c r="AB298" i="14"/>
  <c r="AA299" i="14"/>
  <c r="AB299" i="14"/>
  <c r="AA300" i="14"/>
  <c r="AB300" i="14"/>
  <c r="AA301" i="14"/>
  <c r="AB301" i="14"/>
  <c r="AA302" i="14"/>
  <c r="AB302" i="14"/>
  <c r="AA303" i="14"/>
  <c r="AB303" i="14"/>
  <c r="AA304" i="14"/>
  <c r="AB304" i="14"/>
  <c r="AA305" i="14"/>
  <c r="AB305" i="14"/>
  <c r="AA306" i="14"/>
  <c r="AB306" i="14"/>
  <c r="AA307" i="14"/>
  <c r="AB307" i="14"/>
  <c r="AA308" i="14"/>
  <c r="AB308" i="14"/>
  <c r="AA311" i="14"/>
  <c r="AB311" i="14"/>
  <c r="AA312" i="14"/>
  <c r="AB312" i="14"/>
  <c r="AA313" i="14"/>
  <c r="AB313" i="14"/>
  <c r="AA314" i="14"/>
  <c r="AB314" i="14"/>
  <c r="AA315" i="14"/>
  <c r="AB315" i="14"/>
  <c r="AA316" i="14"/>
  <c r="AB316" i="14"/>
  <c r="AA317" i="14"/>
  <c r="AB317" i="14"/>
  <c r="AB318" i="14"/>
  <c r="AA319" i="14"/>
  <c r="AB319" i="14"/>
  <c r="AA320" i="14"/>
  <c r="AB320" i="14"/>
  <c r="AA321" i="14"/>
  <c r="AB321" i="14"/>
  <c r="AA322" i="14"/>
  <c r="AB322" i="14"/>
  <c r="AA323" i="14"/>
  <c r="AB323" i="14"/>
  <c r="AA324" i="14"/>
  <c r="AB324" i="14"/>
  <c r="AA325" i="14"/>
  <c r="AB325" i="14"/>
  <c r="AA326" i="14"/>
  <c r="AB326" i="14"/>
  <c r="AA327" i="14"/>
  <c r="AB327" i="14"/>
  <c r="AA328" i="14"/>
  <c r="AB328" i="14"/>
  <c r="AA329" i="14"/>
  <c r="AB329" i="14"/>
  <c r="AA330" i="14"/>
  <c r="AB330" i="14"/>
  <c r="AA331" i="14"/>
  <c r="AB331" i="14"/>
  <c r="AA332" i="14"/>
  <c r="AB332" i="14"/>
  <c r="AA333" i="14"/>
  <c r="AB333" i="14"/>
  <c r="AA334" i="14"/>
  <c r="AB334" i="14"/>
  <c r="AA335" i="14"/>
  <c r="AB335" i="14"/>
  <c r="AA336" i="14"/>
  <c r="AB336" i="14"/>
  <c r="AA337" i="14"/>
  <c r="AB337" i="14"/>
  <c r="AA338" i="14"/>
  <c r="AB338" i="14"/>
  <c r="AA339" i="14"/>
  <c r="AB339" i="14"/>
  <c r="AB340" i="14"/>
  <c r="AA341" i="14"/>
  <c r="AB341" i="14"/>
  <c r="AA342" i="14"/>
  <c r="AB342" i="14"/>
  <c r="AA343" i="14"/>
  <c r="AB343" i="14"/>
  <c r="AA344" i="14"/>
  <c r="AB344" i="14"/>
  <c r="AA345" i="14"/>
  <c r="AB345" i="14"/>
  <c r="AA346" i="14"/>
  <c r="AB346" i="14"/>
  <c r="AA347" i="14"/>
  <c r="AB347" i="14"/>
  <c r="AA348" i="14"/>
  <c r="AB348" i="14"/>
  <c r="AA349" i="14"/>
  <c r="AB349" i="14"/>
  <c r="AA350" i="14"/>
  <c r="AB350" i="14"/>
  <c r="AA351" i="14"/>
  <c r="AB351" i="14"/>
  <c r="AA352" i="14"/>
  <c r="AB352" i="14"/>
  <c r="AA353" i="14"/>
  <c r="AB353" i="14"/>
  <c r="AA354" i="14"/>
  <c r="AB354" i="14"/>
  <c r="AA355" i="14"/>
  <c r="AB355" i="14"/>
  <c r="AA356" i="14"/>
  <c r="AB356" i="14"/>
  <c r="AA357" i="14"/>
  <c r="AB357" i="14"/>
  <c r="AA358" i="14"/>
  <c r="AB358" i="14"/>
  <c r="AA359" i="14"/>
  <c r="AB359" i="14"/>
  <c r="AA360" i="14"/>
  <c r="AB360" i="14"/>
  <c r="AA361" i="14"/>
  <c r="AB361" i="14"/>
  <c r="AA362" i="14"/>
  <c r="AB362" i="14"/>
  <c r="AA363" i="14"/>
  <c r="AB363" i="14"/>
  <c r="AA364" i="14"/>
  <c r="AB364" i="14"/>
  <c r="AA365" i="14"/>
  <c r="AB365" i="14"/>
  <c r="AA366" i="14"/>
  <c r="AB366" i="14"/>
  <c r="AA367" i="14"/>
  <c r="AB367" i="14"/>
  <c r="AA368" i="14"/>
  <c r="AB368" i="14"/>
  <c r="AB369" i="14"/>
  <c r="AB370" i="14"/>
  <c r="AA371" i="14"/>
  <c r="AB371" i="14"/>
  <c r="AA372" i="14"/>
  <c r="AB372" i="14"/>
  <c r="AA373" i="14"/>
  <c r="AB373" i="14"/>
  <c r="AA374" i="14"/>
  <c r="AB374" i="14"/>
  <c r="AA375" i="14"/>
  <c r="AB375" i="14"/>
  <c r="AA376" i="14"/>
  <c r="AB376" i="14"/>
  <c r="AA377" i="14"/>
  <c r="AB377" i="14"/>
  <c r="AA378" i="14"/>
  <c r="AB378" i="14"/>
  <c r="AA379" i="14"/>
  <c r="AB379" i="14"/>
  <c r="AA380" i="14"/>
  <c r="AB380" i="14"/>
  <c r="AA381" i="14"/>
  <c r="AB381" i="14"/>
  <c r="AA382" i="14"/>
  <c r="AB382" i="14"/>
  <c r="AA383" i="14"/>
  <c r="AB383" i="14"/>
  <c r="AA384" i="14"/>
  <c r="AB384" i="14"/>
  <c r="AA385" i="14"/>
  <c r="AB385" i="14"/>
  <c r="AA386" i="14"/>
  <c r="AB386" i="14"/>
  <c r="AA387" i="14"/>
  <c r="AB387" i="14"/>
  <c r="AA388" i="14"/>
  <c r="AB388" i="14"/>
  <c r="AA389" i="14"/>
  <c r="AB389" i="14"/>
  <c r="AA390" i="14"/>
  <c r="AB390" i="14"/>
  <c r="AA391" i="14"/>
  <c r="AB391" i="14"/>
  <c r="AA392" i="14"/>
  <c r="AB392" i="14"/>
  <c r="AA393" i="14"/>
  <c r="AB393" i="14"/>
  <c r="AA394" i="14"/>
  <c r="AB394" i="14"/>
  <c r="AA395" i="14"/>
  <c r="AB395" i="14"/>
  <c r="AA396" i="14"/>
  <c r="AB396" i="14"/>
  <c r="AA397" i="14"/>
  <c r="AB397" i="14"/>
  <c r="AA398" i="14"/>
  <c r="AB398" i="14"/>
  <c r="AA399" i="14"/>
  <c r="AB399" i="14"/>
  <c r="AA400" i="14"/>
  <c r="AB400" i="14"/>
  <c r="AA401" i="14"/>
  <c r="AB401" i="14"/>
  <c r="AA402" i="14"/>
  <c r="AB402" i="14"/>
  <c r="AA403" i="14"/>
  <c r="AB403" i="14"/>
  <c r="AA404" i="14"/>
  <c r="AB404" i="14"/>
  <c r="AA405" i="14"/>
  <c r="AB405" i="14"/>
  <c r="AA406" i="14"/>
  <c r="AB406" i="14"/>
  <c r="AA407" i="14"/>
  <c r="AB407" i="14"/>
  <c r="AA408" i="14"/>
  <c r="AB408" i="14"/>
  <c r="AA409" i="14"/>
  <c r="AB409" i="14"/>
  <c r="AA410" i="14"/>
  <c r="AB410" i="14"/>
  <c r="AA411" i="14"/>
  <c r="AB411" i="14"/>
  <c r="AA412" i="14"/>
  <c r="AB412" i="14"/>
  <c r="AA413" i="14"/>
  <c r="AB413" i="14"/>
  <c r="AA414" i="14"/>
  <c r="AB414" i="14"/>
  <c r="AA415" i="14"/>
  <c r="AB415" i="14"/>
  <c r="AA416" i="14"/>
  <c r="AB416" i="14"/>
  <c r="AA417" i="14"/>
  <c r="AB417" i="14"/>
  <c r="AA418" i="14"/>
  <c r="AB418" i="14"/>
  <c r="AA419" i="14"/>
  <c r="AB419" i="14"/>
  <c r="AA420" i="14"/>
  <c r="AB420" i="14"/>
  <c r="AA421" i="14"/>
  <c r="AB421" i="14"/>
  <c r="AA422" i="14"/>
  <c r="AB422" i="14"/>
  <c r="AA423" i="14"/>
  <c r="AB423" i="14"/>
  <c r="AA424" i="14"/>
  <c r="AB424" i="14"/>
  <c r="AB425" i="14"/>
  <c r="AA426" i="14"/>
  <c r="AB426" i="14"/>
  <c r="AA427" i="14"/>
  <c r="AB427" i="14"/>
  <c r="AA428" i="14"/>
  <c r="AB428" i="14"/>
  <c r="AA429" i="14"/>
  <c r="AB429" i="14"/>
  <c r="AA430" i="14"/>
  <c r="AB430" i="14"/>
  <c r="AA431" i="14"/>
  <c r="AB431" i="14"/>
  <c r="AA432" i="14"/>
  <c r="AB432" i="14"/>
  <c r="AA433" i="14"/>
  <c r="AB433" i="14"/>
  <c r="AA434" i="14"/>
  <c r="AB434" i="14"/>
  <c r="AA435" i="14"/>
  <c r="AB435" i="14"/>
  <c r="AA436" i="14"/>
  <c r="AB436" i="14"/>
  <c r="AA437" i="14"/>
  <c r="AB437" i="14"/>
  <c r="AA438" i="14"/>
  <c r="AB438" i="14"/>
  <c r="AA439" i="14"/>
  <c r="AB439" i="14"/>
  <c r="AA440" i="14"/>
  <c r="AB440" i="14"/>
  <c r="AA441" i="14"/>
  <c r="AB441" i="14"/>
  <c r="AA442" i="14"/>
  <c r="AB442" i="14"/>
  <c r="AA443" i="14"/>
  <c r="AB443" i="14"/>
  <c r="AA444" i="14"/>
  <c r="AB444" i="14"/>
  <c r="AA445" i="14"/>
  <c r="AB445" i="14"/>
  <c r="AA446" i="14"/>
  <c r="AB446" i="14"/>
  <c r="AA447" i="14"/>
  <c r="AB447" i="14"/>
  <c r="AA448" i="14"/>
  <c r="AB448" i="14"/>
  <c r="AA449" i="14"/>
  <c r="AB449" i="14"/>
  <c r="AA450" i="14"/>
  <c r="AB450" i="14"/>
  <c r="AA451" i="14"/>
  <c r="AB451" i="14"/>
  <c r="AA452" i="14"/>
  <c r="AB452" i="14"/>
  <c r="AA453" i="14"/>
  <c r="AB453" i="14"/>
  <c r="AA454" i="14"/>
  <c r="AB454" i="14"/>
  <c r="AA455" i="14"/>
  <c r="AB455" i="14"/>
  <c r="AA456" i="14"/>
  <c r="AB456" i="14"/>
  <c r="AA457" i="14"/>
  <c r="AB457" i="14"/>
  <c r="AA458" i="14"/>
  <c r="AB458" i="14"/>
  <c r="AA459" i="14"/>
  <c r="AB459" i="14"/>
  <c r="AA460" i="14"/>
  <c r="AB460" i="14"/>
  <c r="AA461" i="14"/>
  <c r="AB461" i="14"/>
  <c r="AA463" i="14"/>
  <c r="AB463" i="14"/>
  <c r="AB464" i="14"/>
  <c r="AB465" i="14"/>
  <c r="AA466" i="14"/>
  <c r="AB466" i="14"/>
  <c r="AA467" i="14"/>
  <c r="AB467" i="14"/>
  <c r="AA468" i="14"/>
  <c r="AB468" i="14"/>
  <c r="AA469" i="14"/>
  <c r="AB469" i="14"/>
  <c r="AA470" i="14"/>
  <c r="AB470" i="14"/>
  <c r="AA471" i="14"/>
  <c r="AB471" i="14"/>
  <c r="AA472" i="14"/>
  <c r="AB472" i="14"/>
  <c r="AA473" i="14"/>
  <c r="AB473" i="14"/>
  <c r="AA474" i="14"/>
  <c r="AB474" i="14"/>
  <c r="AA475" i="14"/>
  <c r="AB475" i="14"/>
  <c r="AA476" i="14"/>
  <c r="AB476" i="14"/>
  <c r="AA477" i="14"/>
  <c r="AB477" i="14"/>
  <c r="AA478" i="14"/>
  <c r="AB478" i="14"/>
  <c r="AA479" i="14"/>
  <c r="AB479" i="14"/>
  <c r="AA480" i="14"/>
  <c r="AB480" i="14"/>
  <c r="AA481" i="14"/>
  <c r="AB481" i="14"/>
  <c r="AA482" i="14"/>
  <c r="AB482" i="14"/>
  <c r="AA483" i="14"/>
  <c r="AB483" i="14"/>
  <c r="AA484" i="14"/>
  <c r="AB484" i="14"/>
  <c r="AA485" i="14"/>
  <c r="AB485" i="14"/>
  <c r="AA486" i="14"/>
  <c r="AB486" i="14"/>
  <c r="AA487" i="14"/>
  <c r="AB487" i="14"/>
  <c r="AA488" i="14"/>
  <c r="AB488" i="14"/>
  <c r="AA489" i="14"/>
  <c r="AB489" i="14"/>
  <c r="AA490" i="14"/>
  <c r="AB490" i="14"/>
  <c r="AA491" i="14"/>
  <c r="AB491" i="14"/>
  <c r="AA492" i="14"/>
  <c r="AB492" i="14"/>
  <c r="AA493" i="14"/>
  <c r="AB493" i="14"/>
  <c r="AA494" i="14"/>
  <c r="AB494" i="14"/>
  <c r="AA495" i="14"/>
  <c r="AB495" i="14"/>
  <c r="AA496" i="14"/>
  <c r="AB496" i="14"/>
  <c r="AA497" i="14"/>
  <c r="AB497" i="14"/>
  <c r="AA498" i="14"/>
  <c r="AB498" i="14"/>
  <c r="AA499" i="14"/>
  <c r="AB499" i="14"/>
  <c r="AA500" i="14"/>
  <c r="AB500" i="14"/>
  <c r="AA501" i="14"/>
  <c r="AB501" i="14"/>
  <c r="AA502" i="14"/>
  <c r="AB502" i="14"/>
  <c r="AA503" i="14"/>
  <c r="AB503" i="14"/>
  <c r="AB504" i="14"/>
  <c r="AA505" i="14"/>
  <c r="AB505" i="14"/>
  <c r="AA506" i="14"/>
  <c r="AB506" i="14"/>
  <c r="AA507" i="14"/>
  <c r="AB507" i="14"/>
  <c r="AA508" i="14"/>
  <c r="AB508" i="14"/>
  <c r="AA509" i="14"/>
  <c r="AB509" i="14"/>
  <c r="AA510" i="14"/>
  <c r="AB510" i="14"/>
  <c r="AA511" i="14"/>
  <c r="AB511" i="14"/>
  <c r="AA512" i="14"/>
  <c r="AB512" i="14"/>
  <c r="AA513" i="14"/>
  <c r="AB513" i="14"/>
  <c r="AA514" i="14"/>
  <c r="AB514" i="14"/>
  <c r="AA515" i="14"/>
  <c r="AB515" i="14"/>
  <c r="AA516" i="14"/>
  <c r="AB516" i="14"/>
  <c r="AA517" i="14"/>
  <c r="AB517" i="14"/>
  <c r="AA518" i="14"/>
  <c r="AB518" i="14"/>
  <c r="AA519" i="14"/>
  <c r="AB519" i="14"/>
  <c r="AA520" i="14"/>
  <c r="AB520" i="14"/>
  <c r="AA521" i="14"/>
  <c r="AB521" i="14"/>
  <c r="AA522" i="14"/>
  <c r="AB522" i="14"/>
  <c r="AA523" i="14"/>
  <c r="AB523" i="14"/>
  <c r="AA524" i="14"/>
  <c r="AB524" i="14"/>
  <c r="AA525" i="14"/>
  <c r="AB525" i="14"/>
  <c r="AA526" i="14"/>
  <c r="AB526" i="14"/>
  <c r="AA527" i="14"/>
  <c r="AB527" i="14"/>
  <c r="AA528" i="14"/>
  <c r="AB528" i="14"/>
  <c r="AA529" i="14"/>
  <c r="AB529" i="14"/>
  <c r="AA530" i="14"/>
  <c r="AB530" i="14"/>
  <c r="AA531" i="14"/>
  <c r="AB531" i="14"/>
  <c r="AA532" i="14"/>
  <c r="AB532" i="14"/>
  <c r="AA533" i="14"/>
  <c r="AB533" i="14"/>
  <c r="AA534" i="14"/>
  <c r="AB534" i="14"/>
  <c r="AA535" i="14"/>
  <c r="AB535" i="14"/>
  <c r="AA536" i="14"/>
  <c r="AB536" i="14"/>
  <c r="AA537" i="14"/>
  <c r="AB537" i="14"/>
  <c r="AA538" i="14"/>
  <c r="AB538" i="14"/>
  <c r="AA539" i="14"/>
  <c r="AB539" i="14"/>
  <c r="AA540" i="14"/>
  <c r="AB540" i="14"/>
  <c r="AA541" i="14"/>
  <c r="AB541" i="14"/>
  <c r="AA542" i="14"/>
  <c r="AB542" i="14"/>
  <c r="AA543" i="14"/>
  <c r="AB543" i="14"/>
  <c r="AA544" i="14"/>
  <c r="AB544" i="14"/>
  <c r="AA545" i="14"/>
  <c r="AB545" i="14"/>
  <c r="AA546" i="14"/>
  <c r="AB546" i="14"/>
  <c r="AA547" i="14"/>
  <c r="AB547" i="14"/>
  <c r="AA548" i="14"/>
  <c r="AB548" i="14"/>
  <c r="AA549" i="14"/>
  <c r="AB549" i="14"/>
  <c r="AA550" i="14"/>
  <c r="AB550" i="14"/>
  <c r="AA551" i="14"/>
  <c r="AB551" i="14"/>
  <c r="AA552" i="14"/>
  <c r="AB552" i="14"/>
  <c r="AA553" i="14"/>
  <c r="AB553" i="14"/>
  <c r="AA554" i="14"/>
  <c r="AB554" i="14"/>
  <c r="AA555" i="14"/>
  <c r="AB555" i="14"/>
  <c r="AA556" i="14"/>
  <c r="AB556" i="14"/>
  <c r="AA557" i="14"/>
  <c r="AB557" i="14"/>
  <c r="AA558" i="14"/>
  <c r="AB558" i="14"/>
  <c r="AA559" i="14"/>
  <c r="AB559" i="14"/>
  <c r="AA560" i="14"/>
  <c r="AB560" i="14"/>
  <c r="AA561" i="14"/>
  <c r="AB561" i="14"/>
  <c r="AA562" i="14"/>
  <c r="AB562" i="14"/>
  <c r="AA563" i="14"/>
  <c r="AB563" i="14"/>
  <c r="AA564" i="14"/>
  <c r="AB564" i="14"/>
  <c r="AA565" i="14"/>
  <c r="AB565" i="14"/>
  <c r="AA566" i="14"/>
  <c r="AB566" i="14"/>
  <c r="AA567" i="14"/>
  <c r="AB567" i="14"/>
  <c r="AA568" i="14"/>
  <c r="AB568" i="14"/>
  <c r="AA569" i="14"/>
  <c r="AB569" i="14"/>
  <c r="AA570" i="14"/>
  <c r="AB570" i="14"/>
  <c r="AA571" i="14"/>
  <c r="AB571" i="14"/>
  <c r="AA572" i="14"/>
  <c r="AB572" i="14"/>
  <c r="AA573" i="14"/>
  <c r="AB573" i="14"/>
  <c r="AA574" i="14"/>
  <c r="AB574" i="14"/>
  <c r="AA575" i="14"/>
  <c r="AB575" i="14"/>
  <c r="AA576" i="14"/>
  <c r="AB576" i="14"/>
  <c r="AA577" i="14"/>
  <c r="AB577" i="14"/>
  <c r="AA578" i="14"/>
  <c r="AB578" i="14"/>
  <c r="AA579" i="14"/>
  <c r="AB579" i="14"/>
  <c r="AA580" i="14"/>
  <c r="AB580" i="14"/>
  <c r="AA581" i="14"/>
  <c r="AB581" i="14"/>
  <c r="AA582" i="14"/>
  <c r="AB582" i="14"/>
  <c r="AA583" i="14"/>
  <c r="AB583" i="14"/>
  <c r="AA584" i="14"/>
  <c r="AB584" i="14"/>
  <c r="AA585" i="14"/>
  <c r="AB585" i="14"/>
  <c r="AA586" i="14"/>
  <c r="AB586" i="14"/>
  <c r="AA587" i="14"/>
  <c r="AB587" i="14"/>
  <c r="AA588" i="14"/>
  <c r="AB588" i="14"/>
  <c r="AA589" i="14"/>
  <c r="AB589" i="14"/>
  <c r="D10" i="11" l="1"/>
  <c r="D11" i="11"/>
  <c r="D27" i="13" l="1"/>
  <c r="D26" i="13"/>
  <c r="D25" i="13"/>
  <c r="D13" i="13" l="1"/>
  <c r="D42" i="13"/>
  <c r="D41" i="13"/>
  <c r="D40" i="13"/>
  <c r="D57" i="9"/>
  <c r="D56" i="9"/>
  <c r="D55" i="9"/>
  <c r="D43" i="9"/>
  <c r="D42" i="9"/>
  <c r="D41" i="9"/>
  <c r="D40" i="9"/>
  <c r="D27" i="9"/>
  <c r="D26" i="9"/>
  <c r="D25" i="9"/>
  <c r="D12" i="9"/>
  <c r="D11" i="9"/>
  <c r="D10" i="9"/>
  <c r="D118" i="13" l="1"/>
  <c r="D117" i="13"/>
  <c r="D116" i="13"/>
  <c r="D115" i="13"/>
  <c r="D103" i="13" l="1"/>
  <c r="D102" i="13"/>
  <c r="D101" i="13"/>
  <c r="D100" i="13"/>
  <c r="D87" i="13"/>
  <c r="D86" i="13" l="1"/>
  <c r="D85" i="13"/>
  <c r="D72" i="13"/>
  <c r="D71" i="13"/>
  <c r="D70" i="13"/>
  <c r="D58" i="13"/>
  <c r="D57" i="13"/>
  <c r="D56" i="13"/>
  <c r="D55" i="13"/>
  <c r="D12" i="13"/>
  <c r="D11" i="13"/>
  <c r="D10" i="13"/>
  <c r="G129" i="7" l="1"/>
  <c r="G125" i="7"/>
  <c r="G97" i="7"/>
  <c r="G96" i="7"/>
  <c r="G95" i="7"/>
  <c r="G94" i="7"/>
  <c r="G93" i="7"/>
  <c r="G71" i="5" l="1"/>
  <c r="G57" i="5" l="1"/>
  <c r="G29" i="5" l="1"/>
  <c r="G28" i="5"/>
  <c r="G27" i="5"/>
  <c r="G26" i="5"/>
  <c r="G25" i="5"/>
  <c r="D9" i="4" l="1"/>
  <c r="F3" i="4" s="1"/>
  <c r="E4" i="4"/>
  <c r="E5" i="4" s="1"/>
  <c r="J3" i="2"/>
  <c r="G50" i="1"/>
  <c r="G42" i="1"/>
  <c r="E6" i="4" l="1"/>
  <c r="F5" i="4"/>
  <c r="J4" i="2"/>
  <c r="F4" i="4"/>
  <c r="J5" i="2" l="1"/>
  <c r="E7" i="4"/>
  <c r="F6" i="4"/>
  <c r="J6" i="2" l="1"/>
  <c r="E8" i="4"/>
  <c r="F8" i="4" s="1"/>
  <c r="F7" i="4"/>
  <c r="J7" i="2" l="1"/>
  <c r="K6" i="2" s="1"/>
  <c r="K3" i="2" l="1"/>
  <c r="L3" i="2" s="1"/>
  <c r="K4" i="2"/>
  <c r="K5" i="2"/>
  <c r="L4" i="2" l="1"/>
  <c r="L5" i="2" s="1"/>
  <c r="L6" i="2" s="1"/>
</calcChain>
</file>

<file path=xl/comments1.xml><?xml version="1.0" encoding="utf-8"?>
<comments xmlns="http://schemas.openxmlformats.org/spreadsheetml/2006/main">
  <authors>
    <author>Author</author>
  </authors>
  <commentList>
    <comment ref="I6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kapton tape </t>
        </r>
      </text>
    </comment>
    <comment ref="I10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Dog ear</t>
        </r>
      </text>
    </comment>
    <comment ref="I1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round kapton</t>
        </r>
      </text>
    </comment>
    <comment ref="I13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Barcode Linking machine </t>
        </r>
      </text>
    </comment>
  </commentList>
</comments>
</file>

<file path=xl/sharedStrings.xml><?xml version="1.0" encoding="utf-8"?>
<sst xmlns="http://schemas.openxmlformats.org/spreadsheetml/2006/main" count="3118" uniqueCount="977">
  <si>
    <t>Shift</t>
  </si>
  <si>
    <t>Machine</t>
  </si>
  <si>
    <t>17-01-2018</t>
  </si>
  <si>
    <t>A</t>
  </si>
  <si>
    <t>Line-4</t>
  </si>
  <si>
    <t>18-01-2018</t>
  </si>
  <si>
    <t>19-01-2018</t>
  </si>
  <si>
    <t>B</t>
  </si>
  <si>
    <t>15-01-2018</t>
  </si>
  <si>
    <t>Line-3</t>
  </si>
  <si>
    <t>16-01-2018</t>
  </si>
  <si>
    <t>20-01-2018</t>
  </si>
  <si>
    <t>Line-1</t>
  </si>
  <si>
    <t>Test board change</t>
  </si>
  <si>
    <t>Sensor cable break</t>
  </si>
  <si>
    <t>Tab length prob. Fix. No -8</t>
  </si>
  <si>
    <t>DCIR problem</t>
  </si>
  <si>
    <t>Vaccume problem</t>
  </si>
  <si>
    <t xml:space="preserve">Cylinder no-8 problem adjust done </t>
  </si>
  <si>
    <t>Problems</t>
  </si>
  <si>
    <t>Date</t>
  </si>
  <si>
    <t>Line</t>
  </si>
  <si>
    <t>CW</t>
  </si>
  <si>
    <t>Time(Hr)</t>
  </si>
  <si>
    <t>Cummulative</t>
  </si>
  <si>
    <t>Cumulative%</t>
  </si>
  <si>
    <t>S.no.</t>
  </si>
  <si>
    <t>Problem</t>
  </si>
  <si>
    <t>B.D. in hrs</t>
  </si>
  <si>
    <t>Robot not working</t>
  </si>
  <si>
    <t>Down Time ( Min)</t>
  </si>
  <si>
    <t>Downtime Descrption</t>
  </si>
  <si>
    <t>Start Time</t>
  </si>
  <si>
    <t>Stop Time</t>
  </si>
  <si>
    <t>22-01-2018</t>
  </si>
  <si>
    <t>23-01-2018</t>
  </si>
  <si>
    <t xml:space="preserve">Roller not moving </t>
  </si>
  <si>
    <t>Machine Name</t>
  </si>
  <si>
    <t>24-01-2018</t>
  </si>
  <si>
    <t>TP-2 sensor wire broken</t>
  </si>
  <si>
    <t>Auto OCV &amp; IR</t>
  </si>
  <si>
    <t>Mylar -2</t>
  </si>
  <si>
    <t>Auto Pad printing</t>
  </si>
  <si>
    <t xml:space="preserve">Sequence not ok </t>
  </si>
  <si>
    <t>Mylar-C</t>
  </si>
  <si>
    <t>TP-3 Forward cyl. Reed switch wire broken</t>
  </si>
  <si>
    <t xml:space="preserve">L/W Auto </t>
  </si>
  <si>
    <t>P-2 Home sensor disturbed and P-1 vaccum pipe band</t>
  </si>
  <si>
    <t>Mylar-B</t>
  </si>
  <si>
    <t>Mylar tape not Grip</t>
  </si>
  <si>
    <t>Mylar shifting problem Machine running slow speed</t>
  </si>
  <si>
    <t>Auto Laser Welding</t>
  </si>
  <si>
    <t>Empty tray cylinder not working properly</t>
  </si>
  <si>
    <t>Line-2</t>
  </si>
  <si>
    <t xml:space="preserve">Tape cutting 3A </t>
  </si>
  <si>
    <t>Motor Abnormal sound so reset machine and ok</t>
  </si>
  <si>
    <t>25-01-2018</t>
  </si>
  <si>
    <t>Welding not ok Due to welding claw damage claw changed</t>
  </si>
  <si>
    <t>27-01-2018</t>
  </si>
  <si>
    <t>Auto pad printing</t>
  </si>
  <si>
    <t>TP-1 F/B Extend module motor Alarm so adjust the parameter</t>
  </si>
  <si>
    <t>Bottom mylar-A</t>
  </si>
  <si>
    <t>Vacuum prblem PC-3 adjust the assy. And M/C ok</t>
  </si>
  <si>
    <t>Mylar -C</t>
  </si>
  <si>
    <t>MP-2 Spring tension problem so change the spring M/C ok</t>
  </si>
  <si>
    <t>29-01-2018</t>
  </si>
  <si>
    <t>Bottom Mylar-A</t>
  </si>
  <si>
    <t>Chnge over of mylar roll Double to single Material problem</t>
  </si>
  <si>
    <t>31-01-2018</t>
  </si>
  <si>
    <t>Auto F/T</t>
  </si>
  <si>
    <t>Loading station vacuum rod thread free so change it and machine ok</t>
  </si>
  <si>
    <t>01-02-2018</t>
  </si>
  <si>
    <t xml:space="preserve">silicon mat pasting </t>
  </si>
  <si>
    <t xml:space="preserve">TP-3 Servo motor coupling broken so changed the coupling </t>
  </si>
  <si>
    <t>02-02-2018</t>
  </si>
  <si>
    <t>Mylar machine -A</t>
  </si>
  <si>
    <t>MC-2 cylinder mounting bolt damage so changed the bolt and machine ok</t>
  </si>
  <si>
    <t xml:space="preserve">Sequence not ok so initialization done and machine ok </t>
  </si>
  <si>
    <t>03-02-2018</t>
  </si>
  <si>
    <t>Unloading station vacuum pad (Big)problem so changed the vaccum pad(Small) m/c ok</t>
  </si>
  <si>
    <t>OCV  &amp; IR Machine</t>
  </si>
  <si>
    <t>IR problem found wire broken soresoldring wire and machine ok</t>
  </si>
  <si>
    <t>Cimulative Frequency</t>
  </si>
  <si>
    <t>Percentage</t>
  </si>
  <si>
    <t>Sr. No.</t>
  </si>
  <si>
    <t>Frequency</t>
  </si>
  <si>
    <t>Silicon Mat pasting</t>
  </si>
  <si>
    <t>OCV and IR Machine</t>
  </si>
  <si>
    <t xml:space="preserve">Date </t>
  </si>
  <si>
    <t>LINE 4</t>
  </si>
  <si>
    <t>SILICON MAT</t>
  </si>
  <si>
    <t>Flapper collect roller copling grub screw open</t>
  </si>
  <si>
    <t>C</t>
  </si>
  <si>
    <t>Slide not moving</t>
  </si>
  <si>
    <t>PC-3 Vacuuum problem Due to tape shifting</t>
  </si>
  <si>
    <t>FP-2 mounting broken so made new</t>
  </si>
  <si>
    <t>Tab cutting problem so grinding the tool</t>
  </si>
  <si>
    <t xml:space="preserve">Silicon mat pasting </t>
  </si>
  <si>
    <t>Tape pasting issue</t>
  </si>
  <si>
    <t>Cell position cylinder bolt thread damage</t>
  </si>
  <si>
    <t>ocv and ir pin loose so lock with locktite</t>
  </si>
  <si>
    <t xml:space="preserve">Corrective Action </t>
  </si>
  <si>
    <t>05.02.2018</t>
  </si>
  <si>
    <t>06.02.2018</t>
  </si>
  <si>
    <t>08.02.2018</t>
  </si>
  <si>
    <t>10.02.2018</t>
  </si>
  <si>
    <t>LINE4</t>
  </si>
  <si>
    <t>L TYPE NI TAB BENDING</t>
  </si>
  <si>
    <t>TP3 COUPLING BOLT BROKEN</t>
  </si>
  <si>
    <t>12.02.2018</t>
  </si>
  <si>
    <t>LINE3</t>
  </si>
  <si>
    <t>LASER WELDING</t>
  </si>
  <si>
    <t>LASER GENERATOR CONSTANT SHUTTER HIGH</t>
  </si>
  <si>
    <t>13.02.2018</t>
  </si>
  <si>
    <t>TAB BENDING NOT PROPER</t>
  </si>
  <si>
    <t>BM1 HOME POSITION SENSOR BROKEN</t>
  </si>
  <si>
    <t>14.02.2018</t>
  </si>
  <si>
    <t>MYLAR C</t>
  </si>
  <si>
    <t>MYLAR ROLL TIGHTENING ROLLER LOOSE</t>
  </si>
  <si>
    <t>MYLAR B</t>
  </si>
  <si>
    <t>PC3 CYLINDER BOLT LOOSE</t>
  </si>
  <si>
    <t>PRINTING</t>
  </si>
  <si>
    <t>PAD PRINTING A</t>
  </si>
  <si>
    <t>INK CUP LOCK LOOSE</t>
  </si>
  <si>
    <t>15.02.2018</t>
  </si>
  <si>
    <t>LASER WELDING 4A</t>
  </si>
  <si>
    <t>WELDING SPOT VI INTERLOCKING SENSOR HIGH PROBLEM</t>
  </si>
  <si>
    <t>16.02.2018</t>
  </si>
  <si>
    <t>AUTO LENGTH WIDTH</t>
  </si>
  <si>
    <t>P2 SENSOR CONNECTOR DAMAGE</t>
  </si>
  <si>
    <t>AUTO FT</t>
  </si>
  <si>
    <t>CHANNEL 3 PALLET STOPPER CYLINDER SLIDE RAIL MOUNTING BOLT OPEN</t>
  </si>
  <si>
    <t>19.02.2018</t>
  </si>
  <si>
    <t>MYLAR A</t>
  </si>
  <si>
    <t>PC2 CYLINDER REED SWITCH WIRE BROKEN</t>
  </si>
  <si>
    <t>CUTTER SETTING DISTURBED</t>
  </si>
  <si>
    <t>23.02.2018</t>
  </si>
  <si>
    <t>AUTO PAD PRINTING</t>
  </si>
  <si>
    <t>ROBOT CYLINDER 3 REED SWITCH WIRE BROKEN</t>
  </si>
  <si>
    <t>24.02.2018</t>
  </si>
  <si>
    <t>ROBOT HAND 4 CYLINDER PIPE OPEN</t>
  </si>
  <si>
    <t xml:space="preserve">Preventive Action </t>
  </si>
  <si>
    <t>26.02.2018</t>
  </si>
  <si>
    <t>AUTO WELDING SPOT VI</t>
  </si>
  <si>
    <t>SOFTWARE PROBLEM</t>
  </si>
  <si>
    <t>PC 2 CYLINDER BACK REED SWITCH WIRE BROKEN</t>
  </si>
  <si>
    <t>27.02.2018</t>
  </si>
  <si>
    <t>P2 STATION PROBLEM</t>
  </si>
  <si>
    <t>28.02.2018</t>
  </si>
  <si>
    <t>P2 STATION SERVOMOTOR REPLACED</t>
  </si>
  <si>
    <t>AUTO PAD PRINTING MACHINE</t>
  </si>
  <si>
    <t>AUTO FUNCTION TESTING</t>
  </si>
  <si>
    <t>CELL VOLTAGE &amp; IR TESTING 3-A</t>
  </si>
  <si>
    <t>PASTE MYLAR ON CELL HEAD(MYLAR-1)</t>
  </si>
  <si>
    <t>INK CUP SLIDING PROBLEM</t>
  </si>
  <si>
    <t>CHANNEL NO 4 HOME SENSOR MOUNTING BROKEN SO MOUNTING DONE</t>
  </si>
  <si>
    <t xml:space="preserve">IR VALUE HIGH SO REPAIR THE CABLE </t>
  </si>
  <si>
    <t>IR PROBLEM PIN LOOSE SO TIGHT THE PIN</t>
  </si>
  <si>
    <t xml:space="preserve">TP-2 DOWN SENSOR DISTURBED SO ADJUST IT </t>
  </si>
  <si>
    <t>FT FIXTRE JAM AT LOADING ST. MACHINE INITIALIZATION</t>
  </si>
  <si>
    <t>CONTROL RELAY CHANGE</t>
  </si>
  <si>
    <t>OCV &amp; IR, TAB CUTTING, FLATENNING</t>
  </si>
  <si>
    <t>LEAKAGE TESTING 4-A</t>
  </si>
  <si>
    <t>AUTO LASER WELDING SPOT INSPECTION</t>
  </si>
  <si>
    <t>STICKING MYLAR ON CELL HEAD(MYLAR-2)</t>
  </si>
  <si>
    <t>SETTING DONE OF FLATTENING STAGE</t>
  </si>
  <si>
    <t>VACUUM PUMP PROBLEM</t>
  </si>
  <si>
    <t>LAODING ASSEMBLY SETTING</t>
  </si>
  <si>
    <t>B1 OUTPICKING SENSOR REED SWITCH POSITION DISTRBED</t>
  </si>
  <si>
    <t>TP2 DOWN POSITION REED SWITCH MALFUNCTION</t>
  </si>
  <si>
    <t>MP3 ASSEMBLY SETTING</t>
  </si>
  <si>
    <t>LINE 5</t>
  </si>
  <si>
    <t>LINE 6</t>
  </si>
  <si>
    <t>AUTO OCV &amp; IR, CUTTING, FLATENNING</t>
  </si>
  <si>
    <t>UNLOADING SERVOMOTOR COUPLING DAMAGE</t>
  </si>
  <si>
    <t>TP2 HAND 2 VACUM PROBLEM</t>
  </si>
  <si>
    <t>TAB CUTTING ISSUUE</t>
  </si>
  <si>
    <t>LINE 2</t>
  </si>
  <si>
    <t>AUTO LASER WELDING</t>
  </si>
  <si>
    <t>TP1 VACUUM PROBLEM(NO ALARM SHOWN IN HMI)</t>
  </si>
  <si>
    <t>AXIS 4 OVERTRAVEL</t>
  </si>
  <si>
    <t>AXIS 1 NOT IN HOME POSITION,AXIS 4 NOT WORKING,ROTARY UNLOADING CYLINDER NOT WORKING</t>
  </si>
  <si>
    <t>TP2 INITIALISATION PROBLEM</t>
  </si>
  <si>
    <t>LOADING PALLET ZIG BACK SENSOR DISTURBED</t>
  </si>
  <si>
    <t>WELDING SPOT VI</t>
  </si>
  <si>
    <t>CCD NOT DETECTING BATTERY</t>
  </si>
  <si>
    <t>BOTTOM MYLAR MACHINE</t>
  </si>
  <si>
    <t>TP2 CYLINDER REED SWITCH SETTING</t>
  </si>
  <si>
    <t>16-04-2018</t>
  </si>
  <si>
    <t>18-04-2018</t>
  </si>
  <si>
    <t>19-04-2018</t>
  </si>
  <si>
    <t>20-04-2018</t>
  </si>
  <si>
    <t>LINE 3</t>
  </si>
  <si>
    <t xml:space="preserve">AUTO INKJET </t>
  </si>
  <si>
    <t>AUTO OCV &amp; IR</t>
  </si>
  <si>
    <t>DISCHARGE STATION PROXIMITY SENSOR CABLE SHORT</t>
  </si>
  <si>
    <t>DISCHARGE STATION JIG HANDLING SENSOR NOT WORKING</t>
  </si>
  <si>
    <t>PRINTING PROBLEM</t>
  </si>
  <si>
    <t>E07 ERROR COMING</t>
  </si>
  <si>
    <t>TP4 STEPPER MOTOR NOT WORKING</t>
  </si>
  <si>
    <t>24-04-2018</t>
  </si>
  <si>
    <t>25-04-2018</t>
  </si>
  <si>
    <t>27-04-2018</t>
  </si>
  <si>
    <t>SILICON MAT PASTING</t>
  </si>
  <si>
    <t>JIG HANDLING ALARM</t>
  </si>
  <si>
    <t>PASTING CYLINDER PISTON ROD BROKEN</t>
  </si>
  <si>
    <t xml:space="preserve">AXIS - 1 VACUUM PROBLEM </t>
  </si>
  <si>
    <t>JIG HANDLING SENSOR WIRE BROKEN</t>
  </si>
  <si>
    <t>WEEK 18</t>
  </si>
  <si>
    <t>MANUAL LASER WELDING</t>
  </si>
  <si>
    <t>CUTTER SHORT PROBLEM</t>
  </si>
  <si>
    <t>PC SUDDENLY SHUTDOWN AND PROGRAM FOUND DISTURBED</t>
  </si>
  <si>
    <t>ONLINE SIGNAL POSITION PROBLEM</t>
  </si>
  <si>
    <t>INPUT CONVEYER ROLLER BEARING JAM</t>
  </si>
  <si>
    <t>WEEK 19</t>
  </si>
  <si>
    <t>Machine stop without any alarm</t>
  </si>
  <si>
    <t>WEEK 20</t>
  </si>
  <si>
    <t>18/05/2018</t>
  </si>
  <si>
    <t>FUNCTION TESTING 3B</t>
  </si>
  <si>
    <t>DISCHARGE FAIL SO CALIBRATION DONE</t>
  </si>
  <si>
    <t>FP2 STATION NOT WORKING DUE TO GLUE STICKING</t>
  </si>
  <si>
    <t>19/05/2018</t>
  </si>
  <si>
    <t>PC3 VACUUM CHAMBER LEAKAGE</t>
  </si>
  <si>
    <t>19/05/2019</t>
  </si>
  <si>
    <t>FP2 STAGE ADJUSTEMENT DONE</t>
  </si>
  <si>
    <t>WEEK 21</t>
  </si>
  <si>
    <t>21/05/2018</t>
  </si>
  <si>
    <t>T1 180° F/B Sensor Problem</t>
  </si>
  <si>
    <t>Auto Pad Printing</t>
  </si>
  <si>
    <t>24/05/2018</t>
  </si>
  <si>
    <t>25/05/2018</t>
  </si>
  <si>
    <t>Line2</t>
  </si>
  <si>
    <t>OCV &amp; IR</t>
  </si>
  <si>
    <t>Testing Pin Damage</t>
  </si>
  <si>
    <t>Line 4</t>
  </si>
  <si>
    <t>Auto FT</t>
  </si>
  <si>
    <t>Channels not initializing</t>
  </si>
  <si>
    <t>Line 5</t>
  </si>
  <si>
    <t>PCM Screw Feeder</t>
  </si>
  <si>
    <t>Screw Lifting Problem</t>
  </si>
  <si>
    <t>26/05/2018</t>
  </si>
  <si>
    <t>Mylar B</t>
  </si>
  <si>
    <t>MP not okay alarm</t>
  </si>
  <si>
    <t>Cutted tab chips box full</t>
  </si>
  <si>
    <t>WEEK 22</t>
  </si>
  <si>
    <t>28/05/2018</t>
  </si>
  <si>
    <t>29/05/2018</t>
  </si>
  <si>
    <t>31/05/2018</t>
  </si>
  <si>
    <t>Dog Ear Folding</t>
  </si>
  <si>
    <t>Screw Tightenning Machine</t>
  </si>
  <si>
    <t>Auto Welding Spot VI</t>
  </si>
  <si>
    <t>ULB conveyer belt damaged due to battery short so belt changed</t>
  </si>
  <si>
    <t>Cylinder shaft thread free</t>
  </si>
  <si>
    <t>After torque check, gun alignment not proper by operator</t>
  </si>
  <si>
    <t>CCD camera abnormal</t>
  </si>
  <si>
    <t>TP4 connection wire broken</t>
  </si>
  <si>
    <t>adas</t>
  </si>
  <si>
    <t>asd</t>
  </si>
  <si>
    <t>asdad</t>
  </si>
  <si>
    <t>gh</t>
  </si>
  <si>
    <t>jkljkl</t>
  </si>
  <si>
    <t>Cutter short poka yoke wire broken so reconnect it and machine ok.</t>
  </si>
  <si>
    <t xml:space="preserve">Tab cutting machine </t>
  </si>
  <si>
    <t xml:space="preserve">Function testing machine </t>
  </si>
  <si>
    <t xml:space="preserve">USB connector wire break so reconnect wire </t>
  </si>
  <si>
    <t>Line 9</t>
  </si>
  <si>
    <t xml:space="preserve">Auto function testing machine </t>
  </si>
  <si>
    <t xml:space="preserve">Jig handling sensor (input I0.10)wire break so replaced the sensor </t>
  </si>
  <si>
    <t>Line 6</t>
  </si>
  <si>
    <t>USB Connector glue was not dry so provided tape and machine is ok</t>
  </si>
  <si>
    <t>2018-18-06</t>
  </si>
  <si>
    <t>Cylinder 3 reed switch not working</t>
  </si>
  <si>
    <t>2018-19-06</t>
  </si>
  <si>
    <t>OCV &amp; IR 2A</t>
  </si>
  <si>
    <t>BIS setting parameter change</t>
  </si>
  <si>
    <t>Auto Screw Insertion 6B</t>
  </si>
  <si>
    <t>Screw feeder sensor problem</t>
  </si>
  <si>
    <t>Leakage Testing 7A</t>
  </si>
  <si>
    <t>Auto Screw Insertion 7A</t>
  </si>
  <si>
    <t>2018-21-06</t>
  </si>
  <si>
    <t>Laser Generator Line 3</t>
  </si>
  <si>
    <t>Deionize alarm</t>
  </si>
  <si>
    <t>Leakage meter faulty</t>
  </si>
  <si>
    <t>2018-23-06</t>
  </si>
  <si>
    <t>Auto Laser Welding 4A</t>
  </si>
  <si>
    <t>Axis 1 homing sensor disturbed</t>
  </si>
  <si>
    <t>Silicon Mat Pasting</t>
  </si>
  <si>
    <t>Vacuum problem</t>
  </si>
  <si>
    <t>25-06-2018</t>
  </si>
  <si>
    <t>26-06-2018</t>
  </si>
  <si>
    <t>Sensor continuosly high</t>
  </si>
  <si>
    <t>28-06-2018</t>
  </si>
  <si>
    <t>Line 3</t>
  </si>
  <si>
    <t>Laser Welding Line 3</t>
  </si>
  <si>
    <t>Proximity sensor not working</t>
  </si>
  <si>
    <t>27-06-2018</t>
  </si>
  <si>
    <t>Jig lifting alarm</t>
  </si>
  <si>
    <t>29-06-2018</t>
  </si>
  <si>
    <t xml:space="preserve">Auto Laser Welding </t>
  </si>
  <si>
    <t>CCD abnormal alarm</t>
  </si>
  <si>
    <t>Screw Pickup problem</t>
  </si>
  <si>
    <t>Line 7</t>
  </si>
  <si>
    <t>Auto Screw Insertion 7B</t>
  </si>
  <si>
    <t>PCM sensor presence sensor not working</t>
  </si>
  <si>
    <t>Unloading cylinder mounting loose</t>
  </si>
  <si>
    <t>Screw Picking Problem</t>
  </si>
  <si>
    <t>Zimp84 FT 5A</t>
  </si>
  <si>
    <t>NG Problem</t>
  </si>
  <si>
    <t>Mylar A</t>
  </si>
  <si>
    <t>Mylar Folding Problem</t>
  </si>
  <si>
    <t>Leakage Testing 4A</t>
  </si>
  <si>
    <t>High Reading Problem</t>
  </si>
  <si>
    <t>Auto OCV &amp; IR 4A</t>
  </si>
  <si>
    <t>Thickness Testing 3A</t>
  </si>
  <si>
    <t>Data Transfer Instrument Faulty</t>
  </si>
  <si>
    <t>Scanner not working</t>
  </si>
  <si>
    <t>B0.03 input constantly high</t>
  </si>
  <si>
    <t>Cylinder assembly loose and vacuum pad damage</t>
  </si>
  <si>
    <t>Auto Screw Insertion 5A</t>
  </si>
  <si>
    <t>Screw Feeder Not Working</t>
  </si>
  <si>
    <t>Glue Dispensing Machine</t>
  </si>
  <si>
    <t>Thermocouple wire break</t>
  </si>
  <si>
    <t>Month April-18</t>
  </si>
  <si>
    <t>23-04-2018</t>
  </si>
  <si>
    <t>PAD PRITING AREA</t>
  </si>
  <si>
    <t>PAD PRINTING MACHINE -B</t>
  </si>
  <si>
    <t>Printing cylinder reed switch changed and machine ok</t>
  </si>
  <si>
    <t>LINE-3</t>
  </si>
  <si>
    <t xml:space="preserve">LASER WELDING MACHINE </t>
  </si>
  <si>
    <t>Water changed and resin filter and cotton filter changed</t>
  </si>
  <si>
    <t>LINE-4</t>
  </si>
  <si>
    <t xml:space="preserve">LEAKAGE TESTING MACHINE </t>
  </si>
  <si>
    <t xml:space="preserve">Zero calibration done </t>
  </si>
  <si>
    <t xml:space="preserve">AUTO LENGTH/ WIDTH AND THICKNESS MACHINE </t>
  </si>
  <si>
    <t>28-04-2018</t>
  </si>
  <si>
    <t>line-4</t>
  </si>
  <si>
    <t>Servo up side sensor faulty so replaced the sensor and machine ok</t>
  </si>
  <si>
    <t xml:space="preserve">Sensor loose so adjust it and tight the sensor </t>
  </si>
  <si>
    <t>Line -4</t>
  </si>
  <si>
    <t>Month May-18</t>
  </si>
  <si>
    <t xml:space="preserve"> Mylar -B</t>
  </si>
  <si>
    <t>Mylar present sensor adjust and machine ok</t>
  </si>
  <si>
    <t>Myalr-C</t>
  </si>
  <si>
    <t>Wrong manual operation by operator so cyl. Band so replace the cyl.</t>
  </si>
  <si>
    <t>19-05-2018</t>
  </si>
  <si>
    <t>13:25:00 AM</t>
  </si>
  <si>
    <t xml:space="preserve">PC-3 vaccum problem, Rubber pastig done  </t>
  </si>
  <si>
    <t xml:space="preserve">Auto laser welding  Machine </t>
  </si>
  <si>
    <t>Fixture setting and vacuum pad assy . Changed</t>
  </si>
  <si>
    <t>silicon mat pasting</t>
  </si>
  <si>
    <t>26-04-2018</t>
  </si>
  <si>
    <t>lne -4</t>
  </si>
  <si>
    <t>Mat pasting cyl. Alignment disturbed so alignment done machine ok</t>
  </si>
  <si>
    <t>18.01.2018</t>
  </si>
  <si>
    <t>17.01.2018</t>
  </si>
  <si>
    <t>15.01.2018</t>
  </si>
  <si>
    <t>20.01.2018</t>
  </si>
  <si>
    <t>19.01.2018</t>
  </si>
  <si>
    <t>16.01.2018</t>
  </si>
  <si>
    <t>22.01.2018</t>
  </si>
  <si>
    <t>23.01.2018</t>
  </si>
  <si>
    <t>24.01.2018</t>
  </si>
  <si>
    <t>25.01.2018</t>
  </si>
  <si>
    <t>27.01.2018</t>
  </si>
  <si>
    <t>31.01.2018</t>
  </si>
  <si>
    <t>01.02.2018</t>
  </si>
  <si>
    <t>06.06.2018</t>
  </si>
  <si>
    <t>06.07.2018</t>
  </si>
  <si>
    <t>02.05.2018</t>
  </si>
  <si>
    <t>31.05.2018</t>
  </si>
  <si>
    <t>29.05.2018</t>
  </si>
  <si>
    <t>28.05.2018</t>
  </si>
  <si>
    <t>26.05.2018</t>
  </si>
  <si>
    <t>25.05.2018</t>
  </si>
  <si>
    <t>19.05.2018</t>
  </si>
  <si>
    <t>21.05.2018</t>
  </si>
  <si>
    <t>24.05.2018</t>
  </si>
  <si>
    <t>18.05.2018</t>
  </si>
  <si>
    <t>10.05.2018</t>
  </si>
  <si>
    <t>03.05.2018</t>
  </si>
  <si>
    <t>01.05.2018</t>
  </si>
  <si>
    <t>27.04.2018</t>
  </si>
  <si>
    <t>25.04.2018</t>
  </si>
  <si>
    <t>24.04.2018</t>
  </si>
  <si>
    <t>20.04.2018</t>
  </si>
  <si>
    <t>19.04.2018</t>
  </si>
  <si>
    <t>18.04.2018</t>
  </si>
  <si>
    <t>16.04.2018</t>
  </si>
  <si>
    <t>09.04.2018</t>
  </si>
  <si>
    <t>10.04.2018</t>
  </si>
  <si>
    <t>31.03.2018</t>
  </si>
  <si>
    <t>29.03.2018</t>
  </si>
  <si>
    <t>28.03.2018</t>
  </si>
  <si>
    <t>26.03.2018</t>
  </si>
  <si>
    <t>23.03.2018</t>
  </si>
  <si>
    <t>21.03.2018</t>
  </si>
  <si>
    <t>20.03.2018</t>
  </si>
  <si>
    <t>12.03.2018</t>
  </si>
  <si>
    <t>16.03.2018</t>
  </si>
  <si>
    <t>15.03.2018</t>
  </si>
  <si>
    <t>08.03.2018</t>
  </si>
  <si>
    <t>10.03.2018</t>
  </si>
  <si>
    <t>09.03.2018</t>
  </si>
  <si>
    <t>07.03.2018</t>
  </si>
  <si>
    <t>05.03.2018</t>
  </si>
  <si>
    <t>03.02.2018</t>
  </si>
  <si>
    <t>02.02.2018</t>
  </si>
  <si>
    <t>pad printing</t>
  </si>
  <si>
    <t>Line 2</t>
  </si>
  <si>
    <t>18.06.2018</t>
  </si>
  <si>
    <t>19.06.2018</t>
  </si>
  <si>
    <t>21.06.2018</t>
  </si>
  <si>
    <t>23.06.2018</t>
  </si>
  <si>
    <t>25.06.2018</t>
  </si>
  <si>
    <t>26.06.2018</t>
  </si>
  <si>
    <t>27.06.2018</t>
  </si>
  <si>
    <t>28.06.2018</t>
  </si>
  <si>
    <t>29.06.2018</t>
  </si>
  <si>
    <t>02.07.2018</t>
  </si>
  <si>
    <t>03.07.2018</t>
  </si>
  <si>
    <t>04.07.2018</t>
  </si>
  <si>
    <t>05.07.2018</t>
  </si>
  <si>
    <t>OCV IR</t>
  </si>
  <si>
    <t>FT Machine</t>
  </si>
  <si>
    <t>Date: 25/05/2018</t>
  </si>
  <si>
    <t>Time</t>
  </si>
  <si>
    <t>From: 19:00</t>
  </si>
  <si>
    <t>To: 20:00</t>
  </si>
  <si>
    <t>Total Downtime: 1 hr</t>
  </si>
  <si>
    <t>Department: Maintenance</t>
  </si>
  <si>
    <t>M/C. NO. Auto FT 4A</t>
  </si>
  <si>
    <t xml:space="preserve"> M/C Description : Auto Function Testing</t>
  </si>
  <si>
    <t xml:space="preserve">Root Cause is one of the following five items </t>
  </si>
  <si>
    <t>JH</t>
  </si>
  <si>
    <t>PM</t>
  </si>
  <si>
    <t>DESIGN</t>
  </si>
  <si>
    <t>SKILL</t>
  </si>
  <si>
    <r>
      <t xml:space="preserve">Break down Phenomenon: 
</t>
    </r>
    <r>
      <rPr>
        <sz val="11"/>
        <color theme="1"/>
        <rFont val="Calibri"/>
        <family val="2"/>
        <scheme val="minor"/>
      </rPr>
      <t>Channels not initializing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</si>
  <si>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Fixture sequence disturbed  and Bar code could not reset while  accessing the fixture by test channels, due to duplicate barcode machine stopped, reset &amp; Initialized all 6 channels and  run the Machine.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</si>
  <si>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Poor Basic condition </t>
  </si>
  <si>
    <t xml:space="preserve">Poor Operating Condition </t>
  </si>
  <si>
    <t>√</t>
  </si>
  <si>
    <t>In case of no spare used</t>
  </si>
  <si>
    <t xml:space="preserve">Deterioration </t>
  </si>
  <si>
    <t xml:space="preserve">In case of spare used : </t>
  </si>
  <si>
    <t>Weak Design</t>
  </si>
  <si>
    <t xml:space="preserve">Due To </t>
  </si>
  <si>
    <t xml:space="preserve">Poor Skill </t>
  </si>
  <si>
    <t>Why-1</t>
  </si>
  <si>
    <t>Fixture Sequence Disturbed</t>
  </si>
  <si>
    <t xml:space="preserve">Countermeasure: 
Fixture sequence disturbed  and Bar code could not reset while accessing the fixture by test channels, due to duplicate barcode machine stopped, reset &amp; Initialized all 6 channels and  run the Machine.
</t>
  </si>
  <si>
    <t>Why-2</t>
  </si>
  <si>
    <t>Duplicate Barcode Scanned</t>
  </si>
  <si>
    <t>Why -3</t>
  </si>
  <si>
    <t>Barcode scanner position disturbed</t>
  </si>
  <si>
    <t>Why-4</t>
  </si>
  <si>
    <t xml:space="preserve">Sustenance: 
Barcode scanner position aligned and marking done for the scanning position , aware the operator also  for fixture mismatching the sequence ,if occurred such cases.
</t>
  </si>
  <si>
    <t>Why -5</t>
  </si>
  <si>
    <t xml:space="preserve"> (Signature &amp; Name )</t>
  </si>
  <si>
    <t>Prepared By: Pradeep Kumar</t>
  </si>
  <si>
    <t>Verified By</t>
  </si>
  <si>
    <t xml:space="preserve">Approved By </t>
  </si>
  <si>
    <t>BREAKDOWN ANALYSIS</t>
  </si>
  <si>
    <t>MNT/FO/CM0020-00
IATF: 16949</t>
  </si>
  <si>
    <t>Date: 07.06.2018</t>
  </si>
  <si>
    <t>From: 9.16</t>
  </si>
  <si>
    <t>To: 10.16</t>
  </si>
  <si>
    <t>Total Downtime:  1.0  hr</t>
  </si>
  <si>
    <t>Department:  Maintenance</t>
  </si>
  <si>
    <t>In case of spare used : proximity sensor for jig presence replaved</t>
  </si>
  <si>
    <t>M/C. NO.  Line 4</t>
  </si>
  <si>
    <t>WHY</t>
  </si>
  <si>
    <t>M/C. NO.  Line 2</t>
  </si>
  <si>
    <t>Date: 19.06.2018</t>
  </si>
  <si>
    <t>Date: 18.06.2018</t>
  </si>
  <si>
    <t>From: 15.00</t>
  </si>
  <si>
    <t>To: 15.30</t>
  </si>
  <si>
    <t>Total Downtime:  0.50  hr</t>
  </si>
  <si>
    <t>M/C. NO.  Auto Pad printing</t>
  </si>
  <si>
    <t xml:space="preserve"> M/C Description : Auto Pad printing </t>
  </si>
  <si>
    <r>
      <t xml:space="preserve">Break down Phenomenon:
</t>
    </r>
    <r>
      <rPr>
        <sz val="11"/>
        <color theme="1"/>
        <rFont val="Calibri"/>
        <family val="2"/>
        <scheme val="minor"/>
      </rPr>
      <t>Machine stopped due Cylinder 3 home position not confirmed into PLC.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</si>
  <si>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Cylinder 3 wire joint soldered.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</si>
  <si>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Machine stopped </t>
  </si>
  <si>
    <t>Cylinder 3 home position not confirmed into PLC.</t>
  </si>
  <si>
    <t>cylinder 3 reed switch wire broken</t>
  </si>
  <si>
    <t>over stressed while movement</t>
  </si>
  <si>
    <t>not proper dressed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</si>
  <si>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Wire joint by soldering and redressed.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</si>
  <si>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Reed switch cable routing changed.</t>
    </r>
  </si>
  <si>
    <t>M/C. NO.  Line 3</t>
  </si>
  <si>
    <t xml:space="preserve"> M/C Description :  OCV &amp; IR Machine</t>
  </si>
  <si>
    <t>From: 20.00</t>
  </si>
  <si>
    <t>To: 21.00</t>
  </si>
  <si>
    <t>Total Downtime:  1.0 hr</t>
  </si>
  <si>
    <r>
      <t xml:space="preserve">What is your Action ? 
</t>
    </r>
    <r>
      <rPr>
        <sz val="11"/>
        <color theme="1"/>
        <rFont val="Calibri"/>
        <family val="2"/>
        <scheme val="minor"/>
      </rPr>
      <t>BIS parameter setting done.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</si>
  <si>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Break down Phenomenon:
</t>
    </r>
    <r>
      <rPr>
        <sz val="11"/>
        <color theme="1"/>
        <rFont val="Calibri"/>
        <family val="2"/>
        <scheme val="minor"/>
      </rPr>
      <t>Data not transferred into BIS.</t>
    </r>
  </si>
  <si>
    <t>Data not transferred into BIS.</t>
  </si>
  <si>
    <t>scenned cell code not accepted by system</t>
  </si>
  <si>
    <t>cell bar code not equal as bind in BIS</t>
  </si>
  <si>
    <t>BIS setting changed</t>
  </si>
  <si>
    <t>mistakenly done due to lack of awareness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</si>
  <si>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BIS setting of OCV Ir completed again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</si>
  <si>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BIS data modification rights reserved in engineering only.</t>
    </r>
  </si>
  <si>
    <t xml:space="preserve"> M/C Description :  Laser welding machine L3</t>
  </si>
  <si>
    <t>In case of spare used :  Resin Filter changed</t>
  </si>
  <si>
    <r>
      <t xml:space="preserve">What is your Action ? 
</t>
    </r>
    <r>
      <rPr>
        <sz val="11"/>
        <color theme="1"/>
        <rFont val="Calibri"/>
        <family val="2"/>
        <scheme val="minor"/>
      </rPr>
      <t>To eleiminate that alarm E07, Resin filter changed.</t>
    </r>
    <r>
      <rPr>
        <b/>
        <sz val="11"/>
        <color theme="1"/>
        <rFont val="Calibri"/>
        <family val="2"/>
        <scheme val="minor"/>
      </rPr>
      <t xml:space="preserve">
</t>
    </r>
  </si>
  <si>
    <t>From:00.00</t>
  </si>
  <si>
    <t>To: 2.00</t>
  </si>
  <si>
    <t>Total Downtime:  2.0 hr</t>
  </si>
  <si>
    <r>
      <t xml:space="preserve">Break down Phenomenon:
</t>
    </r>
    <r>
      <rPr>
        <sz val="11"/>
        <color theme="1"/>
        <rFont val="Calibri"/>
        <family val="2"/>
        <scheme val="minor"/>
      </rPr>
      <t>Generator trips with E07 alarm</t>
    </r>
  </si>
  <si>
    <t>Laser welding machine stops</t>
  </si>
  <si>
    <t>Generator high voltage not getting ON</t>
  </si>
  <si>
    <t>E07 alarm occurred</t>
  </si>
  <si>
    <t xml:space="preserve">E07 alarm triggered due to De-ionization </t>
  </si>
  <si>
    <r>
      <t xml:space="preserve">Countermeasure:
</t>
    </r>
    <r>
      <rPr>
        <sz val="11"/>
        <color theme="1"/>
        <rFont val="Calibri"/>
        <family val="2"/>
        <scheme val="minor"/>
      </rPr>
      <t>Resin filter changed, to avoid deionization error.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</si>
  <si>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Ensure to change Resin filter on PM at every 6th month.</t>
    </r>
  </si>
  <si>
    <t>Date: 21.06.2018</t>
  </si>
  <si>
    <t>Date: 25.06.2018</t>
  </si>
  <si>
    <t>From:11.30</t>
  </si>
  <si>
    <t>To: 13.00</t>
  </si>
  <si>
    <t>Total Downtime:  1.5 hr</t>
  </si>
  <si>
    <t xml:space="preserve"> M/C Description :  Laser welding machine L4</t>
  </si>
  <si>
    <t xml:space="preserve"> M/C Description : Silicon Mat pasting machine L4</t>
  </si>
  <si>
    <r>
      <t xml:space="preserve">Break down Phenomenon:
</t>
    </r>
    <r>
      <rPr>
        <sz val="11"/>
        <color theme="1"/>
        <rFont val="Calibri"/>
        <family val="2"/>
        <scheme val="minor"/>
      </rPr>
      <t>silicon mat not pasting on location</t>
    </r>
  </si>
  <si>
    <t xml:space="preserve">silicon Machine stops </t>
  </si>
  <si>
    <t>Silicon not pasted on location</t>
  </si>
  <si>
    <t>Vacuum block jamm with glue.</t>
  </si>
  <si>
    <r>
      <t xml:space="preserve">What is your Action ? 
</t>
    </r>
    <r>
      <rPr>
        <sz val="11"/>
        <color theme="1"/>
        <rFont val="Calibri"/>
        <family val="2"/>
        <scheme val="minor"/>
      </rPr>
      <t>Vacuum block cleaned and silicon mat adjusted after changing the roll.</t>
    </r>
  </si>
  <si>
    <r>
      <t xml:space="preserve">Countermeasure:
</t>
    </r>
    <r>
      <rPr>
        <sz val="11"/>
        <color theme="1"/>
        <rFont val="Calibri"/>
        <family val="2"/>
        <scheme val="minor"/>
      </rPr>
      <t>Vacuum block cleaned and flow adjusted 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</si>
  <si>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while doing COT ensure to check vacuum FCV marking . </t>
    </r>
  </si>
  <si>
    <t>Vacuum venturi flow not of FCV not set.</t>
  </si>
  <si>
    <t>Date: 26.06.2018</t>
  </si>
  <si>
    <t>From:22.00</t>
  </si>
  <si>
    <t>To: 23.00</t>
  </si>
  <si>
    <r>
      <t xml:space="preserve">Break down Phenomenon: 
</t>
    </r>
    <r>
      <rPr>
        <sz val="11"/>
        <color theme="1"/>
        <rFont val="Calibri"/>
        <family val="2"/>
        <scheme val="minor"/>
      </rPr>
      <t>Machine not working with alarm</t>
    </r>
  </si>
  <si>
    <t>In case of spare used : sensor replaced</t>
  </si>
  <si>
    <t>Part presence sensor on loading conveyor faulty</t>
  </si>
  <si>
    <t>axis 2 picking servo malfucntioning</t>
  </si>
  <si>
    <t>axis 2 going for picking without part</t>
  </si>
  <si>
    <t>Deterioratoin</t>
  </si>
  <si>
    <r>
      <t xml:space="preserve">What is your Action ? 
</t>
    </r>
    <r>
      <rPr>
        <sz val="11"/>
        <color theme="1"/>
        <rFont val="Calibri"/>
        <family val="2"/>
        <scheme val="minor"/>
      </rPr>
      <t>To eliminate that alarm, part presence sensor replaced on loading conveyor.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</si>
  <si>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Countermeasure:
</t>
    </r>
    <r>
      <rPr>
        <sz val="11"/>
        <color theme="1"/>
        <rFont val="Calibri"/>
        <family val="2"/>
        <scheme val="minor"/>
      </rPr>
      <t>Sensor replaced with part presence sensor adjustment.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</si>
  <si>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Sensor replaced with part presence sensor adjustment.</t>
    </r>
  </si>
  <si>
    <t>Date: 28.06.2018</t>
  </si>
  <si>
    <t>M/C. NO.  Line 7</t>
  </si>
  <si>
    <t xml:space="preserve"> M/C Description :  Auto screw insertion Machine</t>
  </si>
  <si>
    <r>
      <t xml:space="preserve">Break down Phenomenon: 
</t>
    </r>
    <r>
      <rPr>
        <sz val="11"/>
        <color theme="1"/>
        <rFont val="Calibri"/>
        <family val="2"/>
        <scheme val="minor"/>
      </rPr>
      <t>Machine not working due to lack of screw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</si>
  <si>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To eliminate that issue sensor cleaned and air Gun provided.</t>
    </r>
  </si>
  <si>
    <t>PCM screw machine stops</t>
  </si>
  <si>
    <t>alarm popup on HMI of screw suction.</t>
  </si>
  <si>
    <t>screw feeder rotary stopped without screw</t>
  </si>
  <si>
    <t>screw sensor presence sensor malfunctioning</t>
  </si>
  <si>
    <t>dust accumulated on transmitter/receiver</t>
  </si>
  <si>
    <r>
      <t xml:space="preserve">Countermeasure:
</t>
    </r>
    <r>
      <rPr>
        <sz val="11"/>
        <color theme="1"/>
        <rFont val="Calibri"/>
        <family val="2"/>
        <scheme val="minor"/>
      </rPr>
      <t>Sensor transmitter and receiver cleaned properly and run the machine.</t>
    </r>
  </si>
  <si>
    <r>
      <t xml:space="preserve">Sustenance: 
</t>
    </r>
    <r>
      <rPr>
        <sz val="11"/>
        <color theme="1"/>
        <rFont val="Calibri"/>
        <family val="2"/>
        <scheme val="minor"/>
      </rPr>
      <t>Air gun provided for sensor cleanoing , to avoid dust on sensor.</t>
    </r>
  </si>
  <si>
    <t>Date: 03.07.2018</t>
  </si>
  <si>
    <t>From: 15.10</t>
  </si>
  <si>
    <t>To: 15.40</t>
  </si>
  <si>
    <r>
      <t xml:space="preserve">Break down Phenomenon: 
</t>
    </r>
    <r>
      <rPr>
        <sz val="11"/>
        <color theme="1"/>
        <rFont val="Calibri"/>
        <family val="2"/>
        <scheme val="minor"/>
      </rPr>
      <t xml:space="preserve">Machine scanner not working, 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</si>
  <si>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BT scanner issue was resolved by updating software of OCV Testing.</t>
    </r>
  </si>
  <si>
    <t xml:space="preserve">Machine scanner not working, </t>
  </si>
  <si>
    <t>Alarm of BT scan not done</t>
  </si>
  <si>
    <t>Bugs in software</t>
  </si>
  <si>
    <t>Intermittent issue observed.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</si>
  <si>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Machine restarted and communication setting refreshed, observed &amp; plan to update the software. </t>
    </r>
  </si>
  <si>
    <r>
      <t xml:space="preserve">Sustenance: 
</t>
    </r>
    <r>
      <rPr>
        <sz val="11"/>
        <color theme="1"/>
        <rFont val="Calibri"/>
        <family val="2"/>
        <scheme val="minor"/>
      </rPr>
      <t>Software Bugs removed &amp; updated for the alarm of scanner.</t>
    </r>
  </si>
  <si>
    <t>Date: 05.07.2018</t>
  </si>
  <si>
    <t>Date: 04.07.2018</t>
  </si>
  <si>
    <t>M/C. NO.  Line3</t>
  </si>
  <si>
    <t xml:space="preserve"> M/C Description : Thickness testing machine</t>
  </si>
  <si>
    <t>From: 6.30</t>
  </si>
  <si>
    <t>To: 7.00</t>
  </si>
  <si>
    <r>
      <t xml:space="preserve">Break down Phenomenon:
</t>
    </r>
    <r>
      <rPr>
        <sz val="11"/>
        <color theme="1"/>
        <rFont val="Calibri"/>
        <family val="2"/>
        <scheme val="minor"/>
      </rPr>
      <t>data not transffered into BIS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</si>
  <si>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Mitutoyo data transfer gauge replaced.</t>
    </r>
  </si>
  <si>
    <t>In case of spare used : Micrometer Mitutoyo data transfer gauge replaced.</t>
  </si>
  <si>
    <t xml:space="preserve"> M/C Description : Auto function testing</t>
  </si>
  <si>
    <r>
      <t xml:space="preserve">Break down Phenomenon: 
</t>
    </r>
    <r>
      <rPr>
        <sz val="11"/>
        <color theme="1"/>
        <rFont val="Calibri"/>
        <family val="2"/>
        <scheme val="minor"/>
      </rPr>
      <t xml:space="preserve">Machine fixture not working, 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</si>
  <si>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Jig handling fixture proximity replaced</t>
    </r>
  </si>
  <si>
    <t xml:space="preserve">Machine  not working, </t>
  </si>
  <si>
    <t>Unloading jig not moving for unloading</t>
  </si>
  <si>
    <t>Jig presence confirmation not ok</t>
  </si>
  <si>
    <t>priximity found faulty</t>
  </si>
  <si>
    <t>sensor wire stretched and found short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</si>
  <si>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Proximity sensor wire joint soldered , run the machine.</t>
    </r>
  </si>
  <si>
    <r>
      <t xml:space="preserve">Sustenance: 
</t>
    </r>
    <r>
      <rPr>
        <sz val="11"/>
        <color theme="1"/>
        <rFont val="Calibri"/>
        <family val="2"/>
        <scheme val="minor"/>
      </rPr>
      <t>Sensor wire Routing changed and drag chain movement extended.</t>
    </r>
  </si>
  <si>
    <t xml:space="preserve">Prepared By: </t>
  </si>
  <si>
    <t xml:space="preserve"> M/C Description : Auto OCV &amp;IR L4</t>
  </si>
  <si>
    <t>Date: 15.06.2018</t>
  </si>
  <si>
    <t>From: 1 4.30</t>
  </si>
  <si>
    <t>M/C. NO.  Line-2</t>
  </si>
  <si>
    <t xml:space="preserve"> M/C Description : Bending Fixture</t>
  </si>
  <si>
    <t>In case of spare used : Fixture repaired.</t>
  </si>
  <si>
    <r>
      <t xml:space="preserve">Break down Phenomenon:
</t>
    </r>
    <r>
      <rPr>
        <sz val="11"/>
        <color theme="1"/>
        <rFont val="Calibri"/>
        <family val="2"/>
        <scheme val="minor"/>
      </rPr>
      <t>Bending fixture broken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</si>
  <si>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Bending fixture repaired.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</si>
  <si>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Line stooped </t>
  </si>
  <si>
    <t xml:space="preserve">Bending function stopped </t>
  </si>
  <si>
    <t>Bending fixture Broken due to mishandling</t>
  </si>
  <si>
    <t>Lack of awareness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</si>
  <si>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Fixture repaired for immediate use.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</si>
  <si>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Spare fixture available .</t>
    </r>
  </si>
  <si>
    <t>Total Downtime:  0.30 hr</t>
  </si>
  <si>
    <r>
      <t xml:space="preserve">Break down Phenomenon:
</t>
    </r>
    <r>
      <rPr>
        <sz val="11"/>
        <color theme="1"/>
        <rFont val="Calibri"/>
        <family val="2"/>
        <scheme val="minor"/>
      </rPr>
      <t>Machine stopped due to B0.03 input constantly high</t>
    </r>
  </si>
  <si>
    <t xml:space="preserve"> M/C Description :  Auto OCV &amp; IR Machine L4</t>
  </si>
  <si>
    <r>
      <t xml:space="preserve">What is your Action ? 
</t>
    </r>
    <r>
      <rPr>
        <sz val="11"/>
        <color theme="1"/>
        <rFont val="Calibri"/>
        <family val="2"/>
        <scheme val="minor"/>
      </rPr>
      <t>PLC input hight due to shorting , input module cleaning done</t>
    </r>
    <r>
      <rPr>
        <b/>
        <sz val="11"/>
        <color theme="1"/>
        <rFont val="Calibri"/>
        <family val="2"/>
        <scheme val="minor"/>
      </rPr>
      <t xml:space="preserve">
</t>
    </r>
  </si>
  <si>
    <t>B0.03 input constantly high in PLC</t>
  </si>
  <si>
    <t>Machine stopped and not initiallised</t>
  </si>
  <si>
    <t>Input module shortings</t>
  </si>
  <si>
    <t>Tab cutting chips/foreign particle inserted</t>
  </si>
  <si>
    <t>Machine PLC not covered from foreign particls.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</si>
  <si>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Module cleaned with vacuum cleaner and run the machine.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</si>
  <si>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Cover provided on PLC inmodule to prevent from foreign particles.</t>
    </r>
  </si>
  <si>
    <t>From:04.00</t>
  </si>
  <si>
    <t>To: 5.00</t>
  </si>
  <si>
    <t xml:space="preserve"> M/C Description :  Auto screw insertion 5 A</t>
  </si>
  <si>
    <r>
      <t xml:space="preserve">What is your Action ? 
</t>
    </r>
    <r>
      <rPr>
        <sz val="11"/>
        <color theme="1"/>
        <rFont val="Calibri"/>
        <family val="2"/>
        <scheme val="minor"/>
      </rPr>
      <t xml:space="preserve">Screw feeder replaced 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</si>
  <si>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Break down Phenomenon:
</t>
    </r>
    <r>
      <rPr>
        <sz val="11"/>
        <color theme="1"/>
        <rFont val="Calibri"/>
        <family val="2"/>
        <scheme val="minor"/>
      </rPr>
      <t>screw not coming</t>
    </r>
  </si>
  <si>
    <t xml:space="preserve">In case of spare used : Screw feeder </t>
  </si>
  <si>
    <t>screw machine machine stops</t>
  </si>
  <si>
    <t>Screw not coming</t>
  </si>
  <si>
    <t>Area</t>
  </si>
  <si>
    <t>M/C. NO.  Line 5</t>
  </si>
  <si>
    <t>Down Time (Min)</t>
  </si>
  <si>
    <t>Breakdown</t>
  </si>
  <si>
    <t>MAINTENANCE BREAKDOWN MONITORING</t>
  </si>
  <si>
    <t>G</t>
  </si>
  <si>
    <t>Issue Details</t>
  </si>
  <si>
    <t>Week</t>
  </si>
  <si>
    <t>BD code</t>
  </si>
  <si>
    <t>Month</t>
  </si>
  <si>
    <t xml:space="preserve">Line type </t>
  </si>
  <si>
    <t>Jan</t>
  </si>
  <si>
    <t>L</t>
  </si>
  <si>
    <t>Down Time (Hrs.)</t>
  </si>
  <si>
    <t xml:space="preserve"> </t>
  </si>
  <si>
    <t>Sub Assembly/station Part</t>
  </si>
  <si>
    <t>Corrective Action</t>
  </si>
  <si>
    <t>Repair Work</t>
  </si>
  <si>
    <t>Replace( Spare parts consumed if any)</t>
  </si>
  <si>
    <t>Root Cause</t>
  </si>
  <si>
    <t>Permanent Action (With Target Date)</t>
  </si>
  <si>
    <t>Who</t>
  </si>
  <si>
    <t>Check By</t>
  </si>
  <si>
    <t>Status</t>
  </si>
  <si>
    <t>Remarks</t>
  </si>
  <si>
    <t>Poor basic condition</t>
  </si>
  <si>
    <t>Horizontal Deployment, If required</t>
  </si>
  <si>
    <t>CCD</t>
  </si>
  <si>
    <t>NA</t>
  </si>
  <si>
    <t xml:space="preserve">Pushpender </t>
  </si>
  <si>
    <t xml:space="preserve">Virender </t>
  </si>
  <si>
    <t>neeraj</t>
  </si>
  <si>
    <t xml:space="preserve">NA </t>
  </si>
  <si>
    <t>Viay</t>
  </si>
  <si>
    <t xml:space="preserve">Gaurav </t>
  </si>
  <si>
    <t xml:space="preserve">Jitendr </t>
  </si>
  <si>
    <t xml:space="preserve">Naresh Senger </t>
  </si>
  <si>
    <t xml:space="preserve">Shashank </t>
  </si>
  <si>
    <t xml:space="preserve">Deepak </t>
  </si>
  <si>
    <t>Rahul</t>
  </si>
  <si>
    <t xml:space="preserve">Rameshwer </t>
  </si>
  <si>
    <t>Done</t>
  </si>
  <si>
    <t>Athrav</t>
  </si>
  <si>
    <t>OK</t>
  </si>
  <si>
    <t xml:space="preserve">Rahul </t>
  </si>
  <si>
    <t xml:space="preserve">Check point added in PM check sheet </t>
  </si>
  <si>
    <t xml:space="preserve">Pushpendera </t>
  </si>
  <si>
    <t>Deterioration</t>
  </si>
  <si>
    <t>PLC</t>
  </si>
  <si>
    <t>Ajay Bajaj</t>
  </si>
  <si>
    <t>Ayush</t>
  </si>
  <si>
    <t>Deepak singh</t>
  </si>
  <si>
    <t>Pushpendera                 Rameshwar</t>
  </si>
  <si>
    <t>Ajay Bajaj                 Ashish Kumar</t>
  </si>
  <si>
    <t>Sumit nunia</t>
  </si>
  <si>
    <t>Mohit/Himanshu</t>
  </si>
  <si>
    <t>Rishi/Hardeep</t>
  </si>
  <si>
    <t>Gaurav/Ashish</t>
  </si>
  <si>
    <t>Amit/Ashish</t>
  </si>
  <si>
    <t>Tarun/Pushpendra</t>
  </si>
  <si>
    <t>Prashant</t>
  </si>
  <si>
    <t>Pushpendra</t>
  </si>
  <si>
    <t>Shivanand    Virendra</t>
  </si>
  <si>
    <t>Satish</t>
  </si>
  <si>
    <t>Deepak Singh</t>
  </si>
  <si>
    <t>Tarun/Deepak</t>
  </si>
  <si>
    <t>Anshal</t>
  </si>
  <si>
    <t>Gaurav               Naresh</t>
  </si>
  <si>
    <t>Abhishek</t>
  </si>
  <si>
    <t>Ajya bajaj</t>
  </si>
  <si>
    <t xml:space="preserve">Tarun </t>
  </si>
  <si>
    <t xml:space="preserve">Amit kumwat </t>
  </si>
  <si>
    <t xml:space="preserve">Vikram </t>
  </si>
  <si>
    <t xml:space="preserve">K.K mishra </t>
  </si>
  <si>
    <t>Virender</t>
  </si>
  <si>
    <t xml:space="preserve">Mohit </t>
  </si>
  <si>
    <t xml:space="preserve">Naresh  </t>
  </si>
  <si>
    <t>Shivanand/Ajay bajaj</t>
  </si>
  <si>
    <t>Neeraj</t>
  </si>
  <si>
    <t xml:space="preserve">Athrav </t>
  </si>
  <si>
    <t xml:space="preserve">ok </t>
  </si>
  <si>
    <t xml:space="preserve">Naveen </t>
  </si>
  <si>
    <t>ok</t>
  </si>
  <si>
    <t xml:space="preserve">Ankush </t>
  </si>
  <si>
    <t xml:space="preserve">Ayush </t>
  </si>
  <si>
    <t xml:space="preserve">Rahul/Athrav </t>
  </si>
  <si>
    <t xml:space="preserve">Hardeep </t>
  </si>
  <si>
    <t xml:space="preserve">Sanjeet </t>
  </si>
  <si>
    <t xml:space="preserve">Himanshu Tyagi </t>
  </si>
  <si>
    <t xml:space="preserve">Manish </t>
  </si>
  <si>
    <t>Rishi</t>
  </si>
  <si>
    <t xml:space="preserve">Akash </t>
  </si>
  <si>
    <t xml:space="preserve">Prashant </t>
  </si>
  <si>
    <t xml:space="preserve">Sumit </t>
  </si>
  <si>
    <t xml:space="preserve">Ok </t>
  </si>
  <si>
    <t xml:space="preserve">Himashu </t>
  </si>
  <si>
    <t>Ok</t>
  </si>
  <si>
    <t>Shivanand</t>
  </si>
  <si>
    <t>Naresh</t>
  </si>
  <si>
    <t>Ashish                            Amit                                Ajay</t>
  </si>
  <si>
    <t>Amit Gupta</t>
  </si>
  <si>
    <t>ajay</t>
  </si>
  <si>
    <t>Shashwat</t>
  </si>
  <si>
    <t>Naveen</t>
  </si>
  <si>
    <t>Ashil</t>
  </si>
  <si>
    <t>Ashish</t>
  </si>
  <si>
    <t xml:space="preserve">Vikram/Naresh </t>
  </si>
  <si>
    <t xml:space="preserve">Deepak Saini </t>
  </si>
  <si>
    <t xml:space="preserve">OK </t>
  </si>
  <si>
    <t>Sumit Nunia</t>
  </si>
  <si>
    <t xml:space="preserve">Vijay                                  </t>
  </si>
  <si>
    <t>System Wise</t>
  </si>
  <si>
    <t>Electrical</t>
  </si>
  <si>
    <t>Mechanical</t>
  </si>
  <si>
    <t>Software</t>
  </si>
  <si>
    <t>Weak design</t>
  </si>
  <si>
    <t>Poor skill</t>
  </si>
  <si>
    <t>Cause Type</t>
  </si>
  <si>
    <t xml:space="preserve">Rameshwar </t>
  </si>
  <si>
    <t>Column Labels</t>
  </si>
  <si>
    <t>(blank)</t>
  </si>
  <si>
    <t>Grand Total</t>
  </si>
  <si>
    <t>Jul</t>
  </si>
  <si>
    <t>FUNCTION TESTING-1 MACHINE 1</t>
  </si>
  <si>
    <t>LEAKAGE TESTING MACHINE 1</t>
  </si>
  <si>
    <t>CONNECTOR INSPECTION MACHINE 1</t>
  </si>
  <si>
    <t>PRE-APMT 1</t>
  </si>
  <si>
    <t>PLASMA CLEANING AND VHB PASTING MACHINE 1</t>
  </si>
  <si>
    <t>POST-APMT MACHINE 1</t>
  </si>
  <si>
    <t>LINE1</t>
  </si>
  <si>
    <t>Assy. Line</t>
  </si>
  <si>
    <t>Robot-2</t>
  </si>
  <si>
    <t>Stopper is not at actual posotion</t>
  </si>
  <si>
    <t>Channel 26</t>
  </si>
  <si>
    <t xml:space="preserve">Channel no. 26 matting NG </t>
  </si>
  <si>
    <t>Connector damage due Part placing Position not ok</t>
  </si>
  <si>
    <t>Adjust the 26 no. channel position by the Robot</t>
  </si>
  <si>
    <t>CCD station</t>
  </si>
  <si>
    <t xml:space="preserve">CCD machine not capturing NG part </t>
  </si>
  <si>
    <t>Machine not calibrated with NG part</t>
  </si>
  <si>
    <t>CCD software modify as per NG part Detection</t>
  </si>
  <si>
    <t>NG part verification with CCD on daily bais</t>
  </si>
  <si>
    <t xml:space="preserve">Main Machine </t>
  </si>
  <si>
    <t xml:space="preserve">Machine is not running </t>
  </si>
  <si>
    <t xml:space="preserve">Servo Drive alarm </t>
  </si>
  <si>
    <t>Power Reset done of Machine</t>
  </si>
  <si>
    <t xml:space="preserve">Monitoring </t>
  </si>
  <si>
    <t>software communication break between front and back computer</t>
  </si>
  <si>
    <t>Remove the all part and restart the machine</t>
  </si>
  <si>
    <t xml:space="preserve">Under monitoring </t>
  </si>
  <si>
    <t>Rotary Table</t>
  </si>
  <si>
    <t>Bubble came in VHB at OQC inspection station</t>
  </si>
  <si>
    <t xml:space="preserve">Access vacuum on Rotary table vacuum pad </t>
  </si>
  <si>
    <t>Main pressure is reduced of vacuum manifold from 0.4Mpa to 0.3Mpa.</t>
  </si>
  <si>
    <t>Marking done on 0.3 Mpa and locking done in pressure ragulator</t>
  </si>
  <si>
    <t>Mac-Mini</t>
  </si>
  <si>
    <t xml:space="preserve">Locking Nut provided for </t>
  </si>
  <si>
    <t>Battery connctor position cyl. Not working properly due to up/dn cyl. Stopper disturbed due to lock not available</t>
  </si>
  <si>
    <t>Adjusted the Cylinder stopper and locking nut provided and run the machine</t>
  </si>
  <si>
    <t>Robot-1</t>
  </si>
  <si>
    <t>Device generate serious alarm</t>
  </si>
  <si>
    <t>Data upload fail</t>
  </si>
  <si>
    <t>Mac. Mini hang problem</t>
  </si>
  <si>
    <t>Power Reset done og Mac. Mini</t>
  </si>
  <si>
    <t>PLC and Robot-1  heart beat is abnormal</t>
  </si>
  <si>
    <t>Robot-1 power not on</t>
  </si>
  <si>
    <t>Power Reset done and run the machine</t>
  </si>
  <si>
    <t>Robot-2 diable</t>
  </si>
  <si>
    <t xml:space="preserve">initial the machine and run the machine </t>
  </si>
  <si>
    <t xml:space="preserve">LQC </t>
  </si>
  <si>
    <t>Bubble came on top edge of the VHB</t>
  </si>
  <si>
    <t>Step came on Cell surface</t>
  </si>
  <si>
    <t>Parameter setting done on VHB pasting station. Z axis position taken upside 1 mm.</t>
  </si>
  <si>
    <t>Plasma Gun-2</t>
  </si>
  <si>
    <t>Plasma Cleaning Gun-2 not working</t>
  </si>
  <si>
    <t>Plasma Controller 15 pin card dry sloder</t>
  </si>
  <si>
    <t xml:space="preserve">Opne the card and repairing done </t>
  </si>
  <si>
    <t>Spare controller to be ready</t>
  </si>
  <si>
    <t>Corrective Action/Repair Work</t>
  </si>
  <si>
    <t xml:space="preserve">PLASMA CLEANING AND VHB PASTING </t>
  </si>
  <si>
    <t>CELL LOADING</t>
  </si>
  <si>
    <t xml:space="preserve">WATER INGRESS TAPE STICKING </t>
  </si>
  <si>
    <t xml:space="preserve">TAB-Z BENDING AND TAB CUTTING </t>
  </si>
  <si>
    <t xml:space="preserve">PCM LOADING </t>
  </si>
  <si>
    <t xml:space="preserve">WELDING SPOT INSPECTION &amp; BMU TAPE STICKING </t>
  </si>
  <si>
    <t xml:space="preserve">PCM TAB BENDING </t>
  </si>
  <si>
    <t xml:space="preserve">WATER INGRESS TAPE WRAPPING </t>
  </si>
  <si>
    <t>COSMETIC TAPE STICKING</t>
  </si>
  <si>
    <t>COSMETIC TAPE WRAPPING</t>
  </si>
  <si>
    <t xml:space="preserve">PACK UNLOADING </t>
  </si>
  <si>
    <t xml:space="preserve">FUNCTION TESTING-1 </t>
  </si>
  <si>
    <t xml:space="preserve">LEAKAGE TESTING </t>
  </si>
  <si>
    <t xml:space="preserve">PRE-APMT </t>
  </si>
  <si>
    <t xml:space="preserve">VHB HEAT PRESSING </t>
  </si>
  <si>
    <t xml:space="preserve">POST-APMT </t>
  </si>
  <si>
    <t>Tear Clamping Station</t>
  </si>
  <si>
    <t>Tear Clamping Cylinder not working as Cylinder Thread Damage and reed switch malfunctioning</t>
  </si>
  <si>
    <t>The faulty cylinder was replaced with a new one. The connector type was upgraded from a Push-in FCV to a male elbow connector to enhance the cylinder's durability and longevity. Flow control was implemented for the non-moving assembly, and proper wire dressing was achieved using a spiral wrap.</t>
  </si>
  <si>
    <t>Poor Basic Condition</t>
  </si>
  <si>
    <t>Calibration Issue</t>
  </si>
  <si>
    <t>Drive Mode Alarm</t>
  </si>
  <si>
    <t>DD Motor Alarm</t>
  </si>
  <si>
    <t>Communication Error in Drive</t>
  </si>
  <si>
    <t>Communication Cable Change</t>
  </si>
  <si>
    <t>DD Motor Drive Alarm</t>
  </si>
  <si>
    <t>Deteriration</t>
  </si>
  <si>
    <t>Ethernet Cable Changed</t>
  </si>
  <si>
    <t>Poor Skill</t>
  </si>
  <si>
    <t>Training provided for offset File</t>
  </si>
  <si>
    <t>Jog all cylinders in manual mode and ensure the vacuum control off</t>
  </si>
  <si>
    <t>M/C INITIAT</t>
  </si>
  <si>
    <t>M/C showing serious alarm</t>
  </si>
  <si>
    <t>power off then restart</t>
  </si>
  <si>
    <t>continueus mover free at same station</t>
  </si>
  <si>
    <t>two ITS sensor change</t>
  </si>
  <si>
    <t>AB vacume is not on</t>
  </si>
  <si>
    <t>unloading open &amp; cloce push cylinder not on so press then run</t>
  </si>
  <si>
    <t>FAI ISSUE</t>
  </si>
  <si>
    <t>FAI 37 NA issue fail</t>
  </si>
  <si>
    <t>clean the m/c &amp; restart pc done</t>
  </si>
  <si>
    <t>Mapping NG</t>
  </si>
  <si>
    <t>mapping ng continously</t>
  </si>
  <si>
    <t>change the trey of cell and run the m/c</t>
  </si>
  <si>
    <t>VHB hot press ng part drive alarm</t>
  </si>
  <si>
    <t>drive eirthernet cable change 40 to41</t>
  </si>
  <si>
    <t>VHB tape sticking</t>
  </si>
  <si>
    <t>FAI 26 NA issue fail</t>
  </si>
  <si>
    <t>PCM loading put position r2 change 0.79 to .074</t>
  </si>
  <si>
    <t>R2 axis 0.74 to 0.69 set</t>
  </si>
  <si>
    <t>ST-20 ,1-A axis alarm linear scale clean and encoder connector tight done</t>
  </si>
  <si>
    <t>ST-20 ,1-A axis alarm</t>
  </si>
  <si>
    <t>ST 20</t>
  </si>
  <si>
    <t>reflux conveyor</t>
  </si>
  <si>
    <t>belt damege</t>
  </si>
  <si>
    <t>reflux conveyor front pully &amp; mover transfer belt change done</t>
  </si>
  <si>
    <t>vacuum pad</t>
  </si>
  <si>
    <t>servo topping-1 vacuum issue</t>
  </si>
  <si>
    <t>vacuum pad change</t>
  </si>
  <si>
    <t>fiber sensor not working</t>
  </si>
  <si>
    <t>feeding conveyor speed high</t>
  </si>
  <si>
    <t>fiber sensor change</t>
  </si>
  <si>
    <t>fiber sensor</t>
  </si>
  <si>
    <t>ethernet cable</t>
  </si>
  <si>
    <t>inteke clamp 2 is not on</t>
  </si>
  <si>
    <t>Ethernet communication cable change B/W drive 17 to 17</t>
  </si>
  <si>
    <t>Cylinder</t>
  </si>
  <si>
    <t>cylendr not oprate manulley</t>
  </si>
  <si>
    <t>plast press cylinder change</t>
  </si>
  <si>
    <t>tape feeder</t>
  </si>
  <si>
    <t>BMU tape feeder not working</t>
  </si>
  <si>
    <t>feeder input parameter set, before=50, after=60</t>
  </si>
  <si>
    <t>Leakage meter</t>
  </si>
  <si>
    <t>NG sample showing ok at leakage M/C</t>
  </si>
  <si>
    <t>VOC meter not calibrated</t>
  </si>
  <si>
    <t>voc meter change with calibrated one</t>
  </si>
  <si>
    <t>Leakage M/C</t>
  </si>
  <si>
    <t>M/C stop wiout any alarm</t>
  </si>
  <si>
    <t>week design</t>
  </si>
  <si>
    <t>switch off the power &amp; wait 10 min then initiat the M/C</t>
  </si>
  <si>
    <t>ST 20two axsis 1A limit sensor malfuntioning</t>
  </si>
  <si>
    <t>st 20 two - axix module 1A Servo lomit sensor change</t>
  </si>
  <si>
    <t>fpc</t>
  </si>
  <si>
    <t>FPC bend at VHB pressing</t>
  </si>
  <si>
    <t>cell position shift</t>
  </si>
  <si>
    <t>incoming shift servo fpc side clamp tape stick</t>
  </si>
  <si>
    <t>mover free</t>
  </si>
  <si>
    <t>3 mover free at tab bending M/C</t>
  </si>
  <si>
    <t>protective flapper sensor b/w mover &amp; sensor</t>
  </si>
  <si>
    <t>protective flapper remove from all mover</t>
  </si>
  <si>
    <t>st 20 two axix module a-axix +ve limit alarm and m/c stop</t>
  </si>
  <si>
    <t>under observation</t>
  </si>
  <si>
    <t>check the +ve limit switch and clean it and initiat the m/c</t>
  </si>
  <si>
    <t>module</t>
  </si>
  <si>
    <t>ST-20 1-B axis module is atucking</t>
  </si>
  <si>
    <t>we change the sensor</t>
  </si>
  <si>
    <t>FAI51</t>
  </si>
  <si>
    <t>PCM bending issue FAI 51 fail</t>
  </si>
  <si>
    <t>due to cylinder road leingth short cylinder model ( HCQ-6120)</t>
  </si>
  <si>
    <t>cylinder replace with (HCQ-8/30)</t>
  </si>
  <si>
    <t>poor basic condition</t>
  </si>
  <si>
    <t>MOVER FREE at loading m/c</t>
  </si>
  <si>
    <t>tester</t>
  </si>
  <si>
    <t>ft tester not going on testing mode</t>
  </si>
  <si>
    <t>all tester softwere restart and all tester power on/off</t>
  </si>
  <si>
    <t>SIDE WRAPPING ISSUE</t>
  </si>
  <si>
    <t>Wrapping failures due to small wing attaching to big wing</t>
  </si>
  <si>
    <t>correct done to make wrapping smooth</t>
  </si>
  <si>
    <t>calibration fail Issue at pre apmt</t>
  </si>
  <si>
    <t>poor skill</t>
  </si>
  <si>
    <t>new calibration file generate in m/c</t>
  </si>
  <si>
    <t>cosmatic tape wrapping issue</t>
  </si>
  <si>
    <t>Deterioration of valve</t>
  </si>
  <si>
    <t>external shapping lifting cylinder valve change</t>
  </si>
  <si>
    <t>PFPC BEND</t>
  </si>
  <si>
    <t>FPC bend at plasma m/c</t>
  </si>
  <si>
    <t>scanning station mounting retight</t>
  </si>
  <si>
    <t>ST 20two axsis module 1B axis alarm</t>
  </si>
  <si>
    <t>encoder cable was extra stress with drag chain</t>
  </si>
  <si>
    <t>encoder replace with new one</t>
  </si>
  <si>
    <t>Axis alarm</t>
  </si>
  <si>
    <t>st 30 axis alarm</t>
  </si>
  <si>
    <t>poor oprating condition</t>
  </si>
  <si>
    <t>machine initiat and clean guide rail</t>
  </si>
  <si>
    <t>reed switch</t>
  </si>
  <si>
    <t>reed switch wire cut</t>
  </si>
  <si>
    <t>reed switch change with new one</t>
  </si>
  <si>
    <t>Camera to framwork communication fail</t>
  </si>
  <si>
    <t>ethernet cable Change b/w robot 3 camera to PC</t>
  </si>
  <si>
    <t>PCM CCD NG</t>
  </si>
  <si>
    <t>PCM clamp spring change at trun table</t>
  </si>
  <si>
    <t>drive Mode Alarm at vhb m/c</t>
  </si>
  <si>
    <t>replace with new one ethernet cable</t>
  </si>
  <si>
    <t>PULL TAPE</t>
  </si>
  <si>
    <t>WRAPPING ISSUE</t>
  </si>
  <si>
    <t>weak design</t>
  </si>
  <si>
    <t>replace with new one wrapping block</t>
  </si>
  <si>
    <t>cosmatic tape big ear wrapping issue</t>
  </si>
  <si>
    <t>replace with big ear cylinder new one</t>
  </si>
  <si>
    <t>M/C stop without alarm</t>
  </si>
  <si>
    <t>M/C stop without any alarm</t>
  </si>
  <si>
    <t>PLC programme modify of vhb plasma cleaning m/c</t>
  </si>
  <si>
    <t>PLC &amp; PC communication heart beat abnormal</t>
  </si>
  <si>
    <t>ethernet cable replace with new one</t>
  </si>
  <si>
    <t>big ear wrap press cylinder take upside</t>
  </si>
  <si>
    <t>CCD NG</t>
  </si>
  <si>
    <t>position adjest for clear image</t>
  </si>
  <si>
    <t>PLC &amp; PC communication abnormal</t>
  </si>
  <si>
    <t>ethernet cable foulty</t>
  </si>
  <si>
    <t>PC to PLC communication cable change the m/c &amp; PC power restart</t>
  </si>
  <si>
    <t>st10</t>
  </si>
  <si>
    <t>at st10 52 side push cylinder sticking continuasly</t>
  </si>
  <si>
    <t>rail bearing change</t>
  </si>
  <si>
    <t xml:space="preserve">PC </t>
  </si>
  <si>
    <t>data uploading fail issue</t>
  </si>
  <si>
    <t>m/c pc restart &amp; m/c initiat then run</t>
  </si>
  <si>
    <t>robot not resposd</t>
  </si>
  <si>
    <t>pc to robot controller ethernet communication cable foulty</t>
  </si>
  <si>
    <t>ethrnet cable change</t>
  </si>
  <si>
    <t>close cover</t>
  </si>
  <si>
    <t>close cover feeding swipe codev abnormal</t>
  </si>
  <si>
    <t>scanner controller power reset &amp; pc restart then m/c initialize after m/c auto runn start</t>
  </si>
  <si>
    <t>Drive mode alarm</t>
  </si>
  <si>
    <t>replace communication cable drive to PLC</t>
  </si>
  <si>
    <t>SCAN ISSUE</t>
  </si>
  <si>
    <t>without alarm</t>
  </si>
  <si>
    <t>m/c stop without any alarm</t>
  </si>
  <si>
    <t>pc softwere hang</t>
  </si>
  <si>
    <t>pc softwere restart &amp; whole m/c initiat</t>
  </si>
  <si>
    <t>ROBOT 3</t>
  </si>
  <si>
    <t>ROBOT 3 communication fail</t>
  </si>
  <si>
    <t>robot 3 communication power off &amp; pc restart</t>
  </si>
  <si>
    <t>roller dose not go to their wrapping position</t>
  </si>
  <si>
    <t>tape provode to hold down presure top cylinder also parameter change of cosmatic wrap</t>
  </si>
  <si>
    <t>FAI 91 fail</t>
  </si>
  <si>
    <t>cosmatic wrapping front 1&amp;2 tape change</t>
  </si>
  <si>
    <t>Left side pcm put position shift</t>
  </si>
  <si>
    <t>ethernet cable Deterioration</t>
  </si>
  <si>
    <t>in Sunday activity plan will be done to check loosenes &amp; ethernet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</si>
</sst>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  <numFmt numFmtId="165" formatCode="_-* #,##0_-;\-* #,##0_-;_-* &quot;-&quot;_-;_-@_-"/>
    <numFmt numFmtId="166" formatCode="#,##0\ &quot;F&quot;;[Red]\-#,##0\ &quot;F&quot;"/>
    <numFmt numFmtId="167" formatCode="#,##0.00\ &quot;F&quot;;[Red]\-#,##0.00\ &quot;F&quot;"/>
    <numFmt numFmtId="168" formatCode="[$-409]d\-mmm\-yy;@"/>
    <numFmt numFmtId="169" formatCode="_ [$€-2]* #,##0.00_ ;_ [$€-2]* \-#,##0.00_ ;_ [$€-2]* &quot;-&quot;??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</font>
    <font>
      <b/>
      <sz val="28"/>
      <color theme="1"/>
      <name val="Calibri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Tahoma"/>
      <family val="2"/>
    </font>
    <font>
      <sz val="10"/>
      <name val="MS Sans Serif"/>
      <family val="2"/>
    </font>
    <font>
      <sz val="11"/>
      <name val="Times New Roman"/>
      <family val="1"/>
    </font>
    <font>
      <sz val="10"/>
      <name val="Helv"/>
      <family val="2"/>
    </font>
    <font>
      <sz val="12"/>
      <name val="HY견고딕"/>
      <family val="1"/>
      <charset val="129"/>
    </font>
    <font>
      <sz val="10"/>
      <name val="Geneva"/>
      <family val="2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3" tint="-0.499984740745262"/>
      <name val="Baskerville Old Fac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name val="宋体"/>
      <family val="3"/>
      <charset val="134"/>
    </font>
    <font>
      <sz val="12"/>
      <color theme="1"/>
      <name val="Calibri"/>
      <family val="2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36">
    <xf numFmtId="0" fontId="0" fillId="0" borderId="0"/>
    <xf numFmtId="9" fontId="1" fillId="0" borderId="0" applyFont="0" applyFill="0" applyBorder="0" applyAlignment="0" applyProtection="0"/>
    <xf numFmtId="0" fontId="11" fillId="0" borderId="0">
      <alignment vertical="center"/>
    </xf>
    <xf numFmtId="165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4" fillId="0" borderId="0"/>
    <xf numFmtId="0" fontId="1" fillId="0" borderId="0"/>
    <xf numFmtId="0" fontId="10" fillId="0" borderId="0"/>
    <xf numFmtId="0" fontId="1" fillId="0" borderId="0"/>
    <xf numFmtId="0" fontId="14" fillId="0" borderId="0"/>
    <xf numFmtId="0" fontId="10" fillId="0" borderId="0"/>
    <xf numFmtId="0" fontId="12" fillId="0" borderId="0"/>
    <xf numFmtId="9" fontId="12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8" fillId="0" borderId="24" applyNumberFormat="0" applyFill="0" applyAlignment="0" applyProtection="0"/>
    <xf numFmtId="0" fontId="19" fillId="6" borderId="0" applyNumberFormat="0" applyBorder="0" applyAlignment="0" applyProtection="0"/>
    <xf numFmtId="0" fontId="20" fillId="7" borderId="25" applyNumberFormat="0" applyAlignment="0" applyProtection="0"/>
    <xf numFmtId="0" fontId="28" fillId="0" borderId="0">
      <alignment vertical="center"/>
    </xf>
    <xf numFmtId="169" fontId="29" fillId="0" borderId="0"/>
    <xf numFmtId="0" fontId="27" fillId="0" borderId="0"/>
    <xf numFmtId="0" fontId="30" fillId="0" borderId="0">
      <alignment vertical="center"/>
    </xf>
    <xf numFmtId="0" fontId="28" fillId="0" borderId="0">
      <alignment vertical="center"/>
    </xf>
  </cellStyleXfs>
  <cellXfs count="292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1" xfId="0" applyBorder="1"/>
    <xf numFmtId="0" fontId="0" fillId="0" borderId="1" xfId="0" applyFill="1" applyBorder="1"/>
    <xf numFmtId="2" fontId="0" fillId="0" borderId="1" xfId="0" applyNumberFormat="1" applyFill="1" applyBorder="1"/>
    <xf numFmtId="0" fontId="2" fillId="0" borderId="1" xfId="0" applyFont="1" applyBorder="1"/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0" fontId="0" fillId="0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2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1" fontId="0" fillId="0" borderId="0" xfId="0" applyNumberFormat="1" applyFill="1" applyBorder="1" applyAlignment="1">
      <alignment horizontal="center"/>
    </xf>
    <xf numFmtId="9" fontId="1" fillId="0" borderId="0" xfId="1" applyFont="1" applyBorder="1"/>
    <xf numFmtId="0" fontId="0" fillId="0" borderId="0" xfId="0" applyBorder="1" applyAlignment="1"/>
    <xf numFmtId="1" fontId="0" fillId="0" borderId="0" xfId="0" applyNumberFormat="1" applyBorder="1" applyAlignment="1"/>
    <xf numFmtId="9" fontId="1" fillId="0" borderId="1" xfId="1" applyFont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20" fontId="0" fillId="0" borderId="3" xfId="0" applyNumberFormat="1" applyFill="1" applyBorder="1"/>
    <xf numFmtId="2" fontId="0" fillId="0" borderId="3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20" fontId="0" fillId="0" borderId="4" xfId="0" applyNumberFormat="1" applyFill="1" applyBorder="1"/>
    <xf numFmtId="2" fontId="0" fillId="0" borderId="4" xfId="0" applyNumberFormat="1" applyFill="1" applyBorder="1" applyAlignment="1">
      <alignment horizontal="center"/>
    </xf>
    <xf numFmtId="14" fontId="0" fillId="0" borderId="5" xfId="0" applyNumberForma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6" xfId="0" applyFill="1" applyBorder="1"/>
    <xf numFmtId="20" fontId="0" fillId="0" borderId="6" xfId="0" applyNumberFormat="1" applyFill="1" applyBorder="1"/>
    <xf numFmtId="2" fontId="0" fillId="0" borderId="6" xfId="0" applyNumberFormat="1" applyFill="1" applyBorder="1" applyAlignment="1">
      <alignment horizontal="center"/>
    </xf>
    <xf numFmtId="0" fontId="0" fillId="2" borderId="7" xfId="0" applyFill="1" applyBorder="1"/>
    <xf numFmtId="14" fontId="0" fillId="0" borderId="8" xfId="0" applyNumberFormat="1" applyFill="1" applyBorder="1" applyAlignment="1">
      <alignment horizontal="left"/>
    </xf>
    <xf numFmtId="0" fontId="0" fillId="0" borderId="9" xfId="0" applyFill="1" applyBorder="1"/>
    <xf numFmtId="0" fontId="0" fillId="2" borderId="9" xfId="0" applyFill="1" applyBorder="1"/>
    <xf numFmtId="0" fontId="0" fillId="3" borderId="9" xfId="0" applyFill="1" applyBorder="1"/>
    <xf numFmtId="14" fontId="0" fillId="0" borderId="8" xfId="0" applyNumberFormat="1" applyFill="1" applyBorder="1"/>
    <xf numFmtId="14" fontId="0" fillId="0" borderId="10" xfId="0" applyNumberFormat="1" applyFill="1" applyBorder="1"/>
    <xf numFmtId="0" fontId="0" fillId="0" borderId="11" xfId="0" applyFill="1" applyBorder="1" applyAlignment="1">
      <alignment horizontal="center"/>
    </xf>
    <xf numFmtId="0" fontId="0" fillId="0" borderId="11" xfId="0" applyFill="1" applyBorder="1"/>
    <xf numFmtId="20" fontId="0" fillId="0" borderId="11" xfId="0" applyNumberFormat="1" applyFill="1" applyBorder="1"/>
    <xf numFmtId="2" fontId="0" fillId="0" borderId="11" xfId="0" applyNumberFormat="1" applyFill="1" applyBorder="1" applyAlignment="1">
      <alignment horizontal="center"/>
    </xf>
    <xf numFmtId="0" fontId="0" fillId="0" borderId="12" xfId="0" applyFill="1" applyBorder="1"/>
    <xf numFmtId="0" fontId="0" fillId="3" borderId="1" xfId="0" applyFont="1" applyFill="1" applyBorder="1" applyAlignment="1" applyProtection="1">
      <alignment horizontal="left" vertical="center"/>
      <protection locked="0"/>
    </xf>
    <xf numFmtId="164" fontId="4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Fill="1" applyBorder="1"/>
    <xf numFmtId="14" fontId="0" fillId="0" borderId="10" xfId="0" applyNumberFormat="1" applyFill="1" applyBorder="1" applyAlignment="1">
      <alignment horizontal="left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0" fillId="2" borderId="11" xfId="0" applyFill="1" applyBorder="1"/>
    <xf numFmtId="0" fontId="0" fillId="3" borderId="1" xfId="0" applyFill="1" applyBorder="1"/>
    <xf numFmtId="0" fontId="0" fillId="3" borderId="11" xfId="0" applyFill="1" applyBorder="1"/>
    <xf numFmtId="14" fontId="0" fillId="2" borderId="8" xfId="0" applyNumberFormat="1" applyFill="1" applyBorder="1"/>
    <xf numFmtId="0" fontId="0" fillId="0" borderId="1" xfId="0" applyBorder="1" applyAlignment="1">
      <alignment vertical="center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6" fillId="0" borderId="1" xfId="0" applyFont="1" applyFill="1" applyBorder="1"/>
    <xf numFmtId="0" fontId="6" fillId="0" borderId="0" xfId="0" applyFont="1" applyFill="1"/>
    <xf numFmtId="0" fontId="2" fillId="0" borderId="2" xfId="0" applyFont="1" applyFill="1" applyBorder="1"/>
    <xf numFmtId="2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Fill="1" applyBorder="1" applyAlignment="1">
      <alignment horizontal="left"/>
    </xf>
    <xf numFmtId="14" fontId="0" fillId="0" borderId="4" xfId="0" applyNumberFormat="1" applyFill="1" applyBorder="1"/>
    <xf numFmtId="0" fontId="0" fillId="0" borderId="4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7" fillId="0" borderId="21" xfId="0" applyFont="1" applyBorder="1" applyAlignment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8" fillId="0" borderId="24" xfId="28" applyFill="1"/>
    <xf numFmtId="0" fontId="2" fillId="9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8" fillId="0" borderId="1" xfId="28" applyFill="1" applyBorder="1" applyAlignment="1">
      <alignment horizontal="left" vertical="center"/>
    </xf>
    <xf numFmtId="0" fontId="18" fillId="0" borderId="1" xfId="28" applyFill="1" applyBorder="1" applyAlignment="1">
      <alignment vertical="center"/>
    </xf>
    <xf numFmtId="0" fontId="20" fillId="7" borderId="1" xfId="30" applyBorder="1" applyAlignment="1">
      <alignment horizontal="left" vertical="center" wrapText="1"/>
    </xf>
    <xf numFmtId="168" fontId="21" fillId="6" borderId="1" xfId="29" applyNumberFormat="1" applyFont="1" applyBorder="1" applyAlignment="1">
      <alignment horizontal="center" vertical="center"/>
    </xf>
    <xf numFmtId="168" fontId="21" fillId="6" borderId="0" xfId="29" applyNumberFormat="1" applyFont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0" fontId="20" fillId="7" borderId="26" xfId="30" applyBorder="1" applyAlignment="1">
      <alignment wrapText="1"/>
    </xf>
    <xf numFmtId="0" fontId="18" fillId="0" borderId="1" xfId="28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21" fillId="6" borderId="1" xfId="29" applyNumberFormat="1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18" fillId="0" borderId="24" xfId="28" applyFill="1" applyAlignment="1">
      <alignment vertical="center"/>
    </xf>
    <xf numFmtId="0" fontId="18" fillId="0" borderId="1" xfId="28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168" fontId="21" fillId="6" borderId="0" xfId="29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0" fillId="7" borderId="26" xfId="30" applyBorder="1" applyAlignment="1">
      <alignment vertical="center" wrapText="1"/>
    </xf>
    <xf numFmtId="2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2" fillId="2" borderId="4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6" fillId="0" borderId="1" xfId="28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pivotButton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8" fillId="0" borderId="1" xfId="28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8" fillId="11" borderId="1" xfId="28" applyFill="1" applyBorder="1" applyAlignment="1">
      <alignment horizontal="center" vertical="center" wrapText="1"/>
    </xf>
    <xf numFmtId="0" fontId="18" fillId="0" borderId="1" xfId="28" applyFill="1" applyBorder="1" applyAlignment="1">
      <alignment horizontal="center" vertical="center" wrapText="1"/>
    </xf>
    <xf numFmtId="0" fontId="18" fillId="0" borderId="0" xfId="28" applyFill="1" applyBorder="1" applyAlignment="1">
      <alignment horizontal="center" vertical="center"/>
    </xf>
    <xf numFmtId="0" fontId="5" fillId="11" borderId="1" xfId="29" applyFont="1" applyFill="1" applyBorder="1" applyAlignment="1">
      <alignment horizontal="center" vertical="center" wrapText="1"/>
    </xf>
    <xf numFmtId="0" fontId="5" fillId="0" borderId="1" xfId="29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7" fillId="0" borderId="1" xfId="29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0" fontId="18" fillId="11" borderId="1" xfId="28" applyFill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0" borderId="1" xfId="29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27" fillId="0" borderId="1" xfId="29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2" fillId="8" borderId="3" xfId="29" applyFont="1" applyFill="1" applyBorder="1" applyAlignment="1">
      <alignment horizontal="center" vertical="center" wrapText="1"/>
    </xf>
    <xf numFmtId="0" fontId="22" fillId="8" borderId="4" xfId="29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1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2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1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5" borderId="0" xfId="0" applyFill="1" applyAlignment="1">
      <alignment horizontal="center"/>
    </xf>
    <xf numFmtId="0" fontId="0" fillId="0" borderId="20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0" fillId="0" borderId="21" xfId="0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left"/>
    </xf>
  </cellXfs>
  <cellStyles count="36">
    <cellStyle name="Bad" xfId="29" builtinId="27"/>
    <cellStyle name="Comma [0] 2" xfId="3"/>
    <cellStyle name="Comma 2" xfId="4"/>
    <cellStyle name="Comma 3" xfId="5"/>
    <cellStyle name="Comma 4" xfId="6"/>
    <cellStyle name="Comma 5" xfId="7"/>
    <cellStyle name="Comma 6" xfId="8"/>
    <cellStyle name="Comma 7" xfId="9"/>
    <cellStyle name="Currency 2" xfId="10"/>
    <cellStyle name="Currency 3" xfId="11"/>
    <cellStyle name="Currency 4" xfId="12"/>
    <cellStyle name="Heading 3" xfId="28" builtinId="18"/>
    <cellStyle name="Milliers [0]_MASTOBS" xfId="13"/>
    <cellStyle name="Milliers_MASTOBS" xfId="14"/>
    <cellStyle name="Monétaire [0]_MASTOBS" xfId="15"/>
    <cellStyle name="Monétaire_MASTOBS" xfId="16"/>
    <cellStyle name="Normal" xfId="0" builtinId="0"/>
    <cellStyle name="Normal 2" xfId="17"/>
    <cellStyle name="Normal 2 2" xfId="18"/>
    <cellStyle name="Normal 2 3" xfId="34"/>
    <cellStyle name="Normal 3" xfId="19"/>
    <cellStyle name="Normal 3 2" xfId="20"/>
    <cellStyle name="Normal 4" xfId="21"/>
    <cellStyle name="Normal 5" xfId="22"/>
    <cellStyle name="Normal 6" xfId="23"/>
    <cellStyle name="Normal 7" xfId="2"/>
    <cellStyle name="Output" xfId="30" builtinId="21"/>
    <cellStyle name="Percent" xfId="1" builtinId="5"/>
    <cellStyle name="Percent 2" xfId="24"/>
    <cellStyle name="Style 1" xfId="25"/>
    <cellStyle name="표준_북부사업소 정비일지" xfId="26"/>
    <cellStyle name="常规 119 2 2 2" xfId="33"/>
    <cellStyle name="常规 126" xfId="35"/>
    <cellStyle name="常规 2 2" xfId="32"/>
    <cellStyle name="常规 4" xfId="31"/>
    <cellStyle name="常规_★13maint.timesheet" xfId="27"/>
  </cellStyles>
  <dxfs count="7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gradientFill degree="45">
          <stop position="0">
            <color rgb="FF00B050"/>
          </stop>
          <stop position="1">
            <color rgb="FF92D05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gradientFill degree="45">
          <stop position="0">
            <color rgb="FF00B05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gradientFill degree="45">
          <stop position="0">
            <color rgb="FF00B050"/>
          </stop>
          <stop position="1">
            <color rgb="FF92D050"/>
          </stop>
        </gradient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CEE7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Breakdown in hrs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'29.01.2018'!$G$11</c:f>
              <c:strCache>
                <c:ptCount val="1"/>
                <c:pt idx="0">
                  <c:v>B.D. in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'29.01.2018'!$C$12:$D$14</c:f>
              <c:multiLvlStrCache>
                <c:ptCount val="3"/>
                <c:lvl>
                  <c:pt idx="0">
                    <c:v>Screw Feeder Not Working</c:v>
                  </c:pt>
                  <c:pt idx="1">
                    <c:v>B0.03 input constantly high</c:v>
                  </c:pt>
                  <c:pt idx="2">
                    <c:v>Thermocouple wire break</c:v>
                  </c:pt>
                </c:lvl>
                <c:lvl>
                  <c:pt idx="0">
                    <c:v>Auto Screw Insertion 5A</c:v>
                  </c:pt>
                  <c:pt idx="1">
                    <c:v>Auto OCV &amp; IR 4A</c:v>
                  </c:pt>
                  <c:pt idx="2">
                    <c:v>Glue Dispensing Machine</c:v>
                  </c:pt>
                </c:lvl>
              </c:multiLvlStrCache>
            </c:multiLvlStrRef>
          </c:cat>
          <c:val>
            <c:numRef>
              <c:f>'29.01.2018'!$G$12:$G$14</c:f>
              <c:numCache>
                <c:formatCode>0.00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4-43A9-9579-E197E0118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49696"/>
        <c:axId val="113951488"/>
      </c:barChart>
      <c:catAx>
        <c:axId val="11394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51488"/>
        <c:crosses val="autoZero"/>
        <c:auto val="1"/>
        <c:lblAlgn val="ctr"/>
        <c:lblOffset val="100"/>
        <c:noMultiLvlLbl val="0"/>
      </c:catAx>
      <c:valAx>
        <c:axId val="113951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9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cat>
            <c:strRef>
              <c:f>Sheet1!$C$3:$C$8</c:f>
              <c:strCache>
                <c:ptCount val="6"/>
                <c:pt idx="0">
                  <c:v>Mylar machine -A</c:v>
                </c:pt>
                <c:pt idx="1">
                  <c:v>Auto F/T</c:v>
                </c:pt>
                <c:pt idx="2">
                  <c:v>Auto F/T</c:v>
                </c:pt>
                <c:pt idx="3">
                  <c:v>Silicon Mat pasting</c:v>
                </c:pt>
                <c:pt idx="4">
                  <c:v>OCV and IR Machine</c:v>
                </c:pt>
                <c:pt idx="5">
                  <c:v>Auto F/T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25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5-4A42-8EF7-05BC31E3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04000"/>
        <c:axId val="129505536"/>
      </c:barChart>
      <c:lineChart>
        <c:grouping val="standard"/>
        <c:varyColors val="0"/>
        <c:ser>
          <c:idx val="1"/>
          <c:order val="1"/>
          <c:tx>
            <c:strRef>
              <c:f>Sheet1!$F$2</c:f>
              <c:strCache>
                <c:ptCount val="1"/>
                <c:pt idx="0">
                  <c:v>Percentage</c:v>
                </c:pt>
              </c:strCache>
            </c:strRef>
          </c:tx>
          <c:cat>
            <c:strRef>
              <c:f>Sheet1!$C$3:$C$8</c:f>
              <c:strCache>
                <c:ptCount val="6"/>
                <c:pt idx="0">
                  <c:v>Mylar machine -A</c:v>
                </c:pt>
                <c:pt idx="1">
                  <c:v>Auto F/T</c:v>
                </c:pt>
                <c:pt idx="2">
                  <c:v>Auto F/T</c:v>
                </c:pt>
                <c:pt idx="3">
                  <c:v>Silicon Mat pasting</c:v>
                </c:pt>
                <c:pt idx="4">
                  <c:v>OCV and IR Machine</c:v>
                </c:pt>
                <c:pt idx="5">
                  <c:v>Auto F/T</c:v>
                </c:pt>
              </c:strCache>
            </c:strRef>
          </c:cat>
          <c:val>
            <c:numRef>
              <c:f>Sheet1!$F$3:$F$8</c:f>
              <c:numCache>
                <c:formatCode>0%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0.76666666666666672</c:v>
                </c:pt>
                <c:pt idx="4">
                  <c:v>0.93333333333333335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5-4A42-8EF7-05BC31E3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07328"/>
        <c:axId val="129508864"/>
      </c:lineChart>
      <c:catAx>
        <c:axId val="12950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05536"/>
        <c:crosses val="autoZero"/>
        <c:auto val="1"/>
        <c:lblAlgn val="ctr"/>
        <c:lblOffset val="100"/>
        <c:noMultiLvlLbl val="0"/>
      </c:catAx>
      <c:valAx>
        <c:axId val="12950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04000"/>
        <c:crosses val="autoZero"/>
        <c:crossBetween val="between"/>
      </c:valAx>
      <c:catAx>
        <c:axId val="129507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508864"/>
        <c:crosses val="autoZero"/>
        <c:auto val="1"/>
        <c:lblAlgn val="ctr"/>
        <c:lblOffset val="100"/>
        <c:noMultiLvlLbl val="0"/>
      </c:catAx>
      <c:valAx>
        <c:axId val="12950886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0732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7</xdr:row>
      <xdr:rowOff>161925</xdr:rowOff>
    </xdr:from>
    <xdr:to>
      <xdr:col>15</xdr:col>
      <xdr:colOff>371475</xdr:colOff>
      <xdr:row>22</xdr:row>
      <xdr:rowOff>47625</xdr:rowOff>
    </xdr:to>
    <xdr:graphicFrame macro="">
      <xdr:nvGraphicFramePr>
        <xdr:cNvPr id="1106" name="Chart 11">
          <a:extLst>
            <a:ext uri="{FF2B5EF4-FFF2-40B4-BE49-F238E27FC236}">
              <a16:creationId xmlns:a16="http://schemas.microsoft.com/office/drawing/2014/main" id="{00000000-0008-0000-0500-00005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3</xdr:row>
      <xdr:rowOff>114300</xdr:rowOff>
    </xdr:from>
    <xdr:to>
      <xdr:col>14</xdr:col>
      <xdr:colOff>571500</xdr:colOff>
      <xdr:row>18</xdr:row>
      <xdr:rowOff>0</xdr:rowOff>
    </xdr:to>
    <xdr:graphicFrame macro="">
      <xdr:nvGraphicFramePr>
        <xdr:cNvPr id="26682" name="Chart 3">
          <a:extLst>
            <a:ext uri="{FF2B5EF4-FFF2-40B4-BE49-F238E27FC236}">
              <a16:creationId xmlns:a16="http://schemas.microsoft.com/office/drawing/2014/main" id="{00000000-0008-0000-0600-00003A6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1009650</xdr:colOff>
      <xdr:row>0</xdr:row>
      <xdr:rowOff>28575</xdr:rowOff>
    </xdr:from>
    <xdr:ext cx="0" cy="657225"/>
    <xdr:pic>
      <xdr:nvPicPr>
        <xdr:cNvPr id="2" name="Picture 53" descr="TDK CI Mark_blue_RGB_highre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" name="Picture 1" descr="TDK CI Mark_blue_RGB_highres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" name="Picture 1" descr="TDK CI Mark_blue_RGB_highres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5" name="Picture 1" descr="TDK CI Mark_blue_RGB_highres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6" name="Picture 1" descr="TDK CI Mark_blue_RGB_highres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7" name="Picture 1" descr="TDK CI Mark_blue_RGB_highres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8" name="Picture 1" descr="TDK CI Mark_blue_RGB_highres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9" name="Picture 1" descr="TDK CI Mark_blue_RGB_highres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0" name="Picture 1" descr="TDK CI Mark_blue_RGB_highres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1" name="Picture 1" descr="TDK CI Mark_blue_RGB_highres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12" name="Picture 1" descr="TDK CI Mark_blue_RGB_highres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0</xdr:row>
      <xdr:rowOff>28576</xdr:rowOff>
    </xdr:from>
    <xdr:ext cx="790575" cy="314324"/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6"/>
          <a:ext cx="790575" cy="314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4" name="Picture 66" descr="TDK CI Mark_blue_RGB_highres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5" name="Picture 1" descr="TDK CI Mark_blue_RGB_highres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6" name="Picture 1" descr="TDK CI Mark_blue_RGB_highres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7" name="Picture 1" descr="TDK CI Mark_blue_RGB_highres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8" name="Picture 1" descr="TDK CI Mark_blue_RGB_highres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9" name="Picture 1" descr="TDK CI Mark_blue_RGB_highres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0" name="Picture 1" descr="TDK CI Mark_blue_RGB_highres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1" name="Picture 1" descr="TDK CI Mark_blue_RGB_highres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2" name="Picture 1" descr="TDK CI Mark_blue_RGB_highres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3" name="Picture 1" descr="TDK CI Mark_blue_RGB_highres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24" name="Picture 1" descr="TDK CI Mark_blue_RGB_highres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5" name="Picture 53" descr="TDK CI Mark_blue_RGB_highres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6" name="Picture 1" descr="TDK CI Mark_blue_RGB_highres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7" name="Picture 1" descr="TDK CI Mark_blue_RGB_highres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8" name="Picture 1" descr="TDK CI Mark_blue_RGB_highres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9" name="Picture 1" descr="TDK CI Mark_blue_RGB_highres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0" name="Picture 1" descr="TDK CI Mark_blue_RGB_highres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1" name="Picture 1" descr="TDK CI Mark_blue_RGB_highres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2" name="Picture 1" descr="TDK CI Mark_blue_RGB_highres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3" name="Picture 1" descr="TDK CI Mark_blue_RGB_highres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4" name="Picture 1" descr="TDK CI Mark_blue_RGB_highres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35" name="Picture 1" descr="TDK CI Mark_blue_RGB_highres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6" name="Picture 66" descr="TDK CI Mark_blue_RGB_highres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7" name="Picture 1" descr="TDK CI Mark_blue_RGB_highres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8" name="Picture 1" descr="TDK CI Mark_blue_RGB_highres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9" name="Picture 1" descr="TDK CI Mark_blue_RGB_highres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0" name="Picture 1" descr="TDK CI Mark_blue_RGB_highres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1" name="Picture 1" descr="TDK CI Mark_blue_RGB_highres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2" name="Picture 1" descr="TDK CI Mark_blue_RGB_highres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3" name="Picture 1" descr="TDK CI Mark_blue_RGB_highres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4" name="Picture 1" descr="TDK CI Mark_blue_RGB_highres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5" name="Picture 1" descr="TDK CI Mark_blue_RGB_highres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46" name="Picture 1" descr="TDK CI Mark_blue_RGB_highres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542925</xdr:colOff>
      <xdr:row>0</xdr:row>
      <xdr:rowOff>38100</xdr:rowOff>
    </xdr:from>
    <xdr:ext cx="1152525" cy="485775"/>
    <xdr:pic>
      <xdr:nvPicPr>
        <xdr:cNvPr id="47" name="Picture 3" descr="TDK CI Mark_blue_RGB_highres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8100"/>
          <a:ext cx="1152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" name="Picture 53" descr="TDK CI Mark_blue_RGB_highres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" name="Picture 1" descr="TDK CI Mark_blue_RGB_highres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" name="Picture 1" descr="TDK CI Mark_blue_RGB_highres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5" name="Picture 1" descr="TDK CI Mark_blue_RGB_highres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6" name="Picture 1" descr="TDK CI Mark_blue_RGB_highres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7" name="Picture 1" descr="TDK CI Mark_blue_RGB_highres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8" name="Picture 1" descr="TDK CI Mark_blue_RGB_highres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9" name="Picture 1" descr="TDK CI Mark_blue_RGB_highres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0" name="Picture 1" descr="TDK CI Mark_blue_RGB_highres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1" name="Picture 1" descr="TDK CI Mark_blue_RGB_highres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2" name="Picture 66" descr="TDK CI Mark_blue_RGB_highres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3" name="Picture 1" descr="TDK CI Mark_blue_RGB_highres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4" name="Picture 1" descr="TDK CI Mark_blue_RGB_highres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5" name="Picture 1" descr="TDK CI Mark_blue_RGB_highres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6" name="Picture 1" descr="TDK CI Mark_blue_RGB_highres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7" name="Picture 1" descr="TDK CI Mark_blue_RGB_highres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8" name="Picture 1" descr="TDK CI Mark_blue_RGB_highres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9" name="Picture 1" descr="TDK CI Mark_blue_RGB_highres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0" name="Picture 1" descr="TDK CI Mark_blue_RGB_highres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1" name="Picture 1" descr="TDK CI Mark_blue_RGB_highres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22" name="Picture 1" descr="TDK CI Mark_blue_RGB_highres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3" name="Picture 53" descr="TDK CI Mark_blue_RGB_highres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4" name="Picture 1" descr="TDK CI Mark_blue_RGB_highres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5" name="Picture 1" descr="TDK CI Mark_blue_RGB_highres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" name="Picture 1" descr="TDK CI Mark_blue_RGB_highres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" name="Picture 1" descr="TDK CI Mark_blue_RGB_highres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" name="Picture 1" descr="TDK CI Mark_blue_RGB_highres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" name="Picture 1" descr="TDK CI Mark_blue_RGB_highres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" name="Picture 1" descr="TDK CI Mark_blue_RGB_highres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1" name="Picture 1" descr="TDK CI Mark_blue_RGB_highres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2" name="Picture 1" descr="TDK CI Mark_blue_RGB_highres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33" name="Picture 1" descr="TDK CI Mark_blue_RGB_highres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4" name="Picture 66" descr="TDK CI Mark_blue_RGB_highres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5" name="Picture 1" descr="TDK CI Mark_blue_RGB_highres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6" name="Picture 1" descr="TDK CI Mark_blue_RGB_highres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7" name="Picture 1" descr="TDK CI Mark_blue_RGB_highres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8" name="Picture 1" descr="TDK CI Mark_blue_RGB_highres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9" name="Picture 1" descr="TDK CI Mark_blue_RGB_highres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0" name="Picture 1" descr="TDK CI Mark_blue_RGB_highres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1" name="Picture 1" descr="TDK CI Mark_blue_RGB_highres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2" name="Picture 1" descr="TDK CI Mark_blue_RGB_highres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3" name="Picture 1" descr="TDK CI Mark_blue_RGB_highres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44" name="Picture 1" descr="TDK CI Mark_blue_RGB_highres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28575</xdr:colOff>
      <xdr:row>0</xdr:row>
      <xdr:rowOff>523875</xdr:rowOff>
    </xdr:to>
    <xdr:pic>
      <xdr:nvPicPr>
        <xdr:cNvPr id="45" name="Picture 3" descr="TDK CI Mark_blue_RGB_highres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77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6" name="Picture 53" descr="TDK CI Mark_blue_RGB_highres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7" name="Picture 1" descr="TDK CI Mark_blue_RGB_highres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" name="Picture 1" descr="TDK CI Mark_blue_RGB_highres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" name="Picture 1" descr="TDK CI Mark_blue_RGB_highres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" name="Picture 1" descr="TDK CI Mark_blue_RGB_highres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" name="Picture 1" descr="TDK CI Mark_blue_RGB_highres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" name="Picture 1" descr="TDK CI Mark_blue_RGB_highres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3" name="Picture 1" descr="TDK CI Mark_blue_RGB_highres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4" name="Picture 1" descr="TDK CI Mark_blue_RGB_highres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5" name="Picture 1" descr="TDK CI Mark_blue_RGB_highres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6" name="Picture 66" descr="TDK CI Mark_blue_RGB_highres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7" name="Picture 1" descr="TDK CI Mark_blue_RGB_highres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8" name="Picture 1" descr="TDK CI Mark_blue_RGB_highres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9" name="Picture 1" descr="TDK CI Mark_blue_RGB_highres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0" name="Picture 1" descr="TDK CI Mark_blue_RGB_highres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1" name="Picture 1" descr="TDK CI Mark_blue_RGB_highres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2" name="Picture 1" descr="TDK CI Mark_blue_RGB_highres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3" name="Picture 1" descr="TDK CI Mark_blue_RGB_highres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4" name="Picture 1" descr="TDK CI Mark_blue_RGB_highres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5" name="Picture 1" descr="TDK CI Mark_blue_RGB_highres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66" name="Picture 1" descr="TDK CI Mark_blue_RGB_highres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7" name="Picture 53" descr="TDK CI Mark_blue_RGB_highres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8" name="Picture 1" descr="TDK CI Mark_blue_RGB_highres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9" name="Picture 1" descr="TDK CI Mark_blue_RGB_highres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0" name="Picture 1" descr="TDK CI Mark_blue_RGB_highres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1" name="Picture 1" descr="TDK CI Mark_blue_RGB_highres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2" name="Picture 1" descr="TDK CI Mark_blue_RGB_highres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3" name="Picture 1" descr="TDK CI Mark_blue_RGB_highres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4" name="Picture 1" descr="TDK CI Mark_blue_RGB_highres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5" name="Picture 1" descr="TDK CI Mark_blue_RGB_highres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6" name="Picture 1" descr="TDK CI Mark_blue_RGB_highres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77" name="Picture 1" descr="TDK CI Mark_blue_RGB_highres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8" name="Picture 66" descr="TDK CI Mark_blue_RGB_highres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9" name="Picture 1" descr="TDK CI Mark_blue_RGB_highres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0" name="Picture 1" descr="TDK CI Mark_blue_RGB_highres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1" name="Picture 1" descr="TDK CI Mark_blue_RGB_highres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2" name="Picture 1" descr="TDK CI Mark_blue_RGB_highres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3" name="Picture 1" descr="TDK CI Mark_blue_RGB_highres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4" name="Picture 1" descr="TDK CI Mark_blue_RGB_highres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5" name="Picture 1" descr="TDK CI Mark_blue_RGB_highres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6" name="Picture 1" descr="TDK CI Mark_blue_RGB_highres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7" name="Picture 1" descr="TDK CI Mark_blue_RGB_highres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88" name="Picture 1" descr="TDK CI Mark_blue_RGB_highres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76200</xdr:rowOff>
    </xdr:from>
    <xdr:ext cx="1000125" cy="447675"/>
    <xdr:pic>
      <xdr:nvPicPr>
        <xdr:cNvPr id="89" name="Picture 3" descr="TDK CI Mark_blue_RGB_highres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0" name="Picture 53" descr="TDK CI Mark_blue_RGB_highres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1" name="Picture 1" descr="TDK CI Mark_blue_RGB_highres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2" name="Picture 1" descr="TDK CI Mark_blue_RGB_highres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3" name="Picture 1" descr="TDK CI Mark_blue_RGB_highres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4" name="Picture 1" descr="TDK CI Mark_blue_RGB_highres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5" name="Picture 1" descr="TDK CI Mark_blue_RGB_highres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6" name="Picture 1" descr="TDK CI Mark_blue_RGB_highres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7" name="Picture 1" descr="TDK CI Mark_blue_RGB_highres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8" name="Picture 1" descr="TDK CI Mark_blue_RGB_highres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9" name="Picture 1" descr="TDK CI Mark_blue_RGB_highres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0" name="Picture 66" descr="TDK CI Mark_blue_RGB_highres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1" name="Picture 1" descr="TDK CI Mark_blue_RGB_highres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2" name="Picture 1" descr="TDK CI Mark_blue_RGB_highres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3" name="Picture 1" descr="TDK CI Mark_blue_RGB_highres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4" name="Picture 1" descr="TDK CI Mark_blue_RGB_highres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5" name="Picture 1" descr="TDK CI Mark_blue_RGB_highres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6" name="Picture 1" descr="TDK CI Mark_blue_RGB_highres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7" name="Picture 1" descr="TDK CI Mark_blue_RGB_highres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8" name="Picture 1" descr="TDK CI Mark_blue_RGB_highres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9" name="Picture 1" descr="TDK CI Mark_blue_RGB_highres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10" name="Picture 1" descr="TDK CI Mark_blue_RGB_highres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1" name="Picture 53" descr="TDK CI Mark_blue_RGB_highres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2" name="Picture 1" descr="TDK CI Mark_blue_RGB_highres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3" name="Picture 1" descr="TDK CI Mark_blue_RGB_highres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4" name="Picture 1" descr="TDK CI Mark_blue_RGB_highres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5" name="Picture 1" descr="TDK CI Mark_blue_RGB_highres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6" name="Picture 1" descr="TDK CI Mark_blue_RGB_highres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7" name="Picture 1" descr="TDK CI Mark_blue_RGB_highres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8" name="Picture 1" descr="TDK CI Mark_blue_RGB_highres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9" name="Picture 1" descr="TDK CI Mark_blue_RGB_highres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0" name="Picture 1" descr="TDK CI Mark_blue_RGB_highres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21" name="Picture 1" descr="TDK CI Mark_blue_RGB_highres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2" name="Picture 66" descr="TDK CI Mark_blue_RGB_highres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3" name="Picture 1" descr="TDK CI Mark_blue_RGB_highres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4" name="Picture 1" descr="TDK CI Mark_blue_RGB_highres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5" name="Picture 1" descr="TDK CI Mark_blue_RGB_highres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6" name="Picture 1" descr="TDK CI Mark_blue_RGB_highres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7" name="Picture 1" descr="TDK CI Mark_blue_RGB_highres">
          <a:extLst>
            <a:ext uri="{FF2B5EF4-FFF2-40B4-BE49-F238E27FC236}">
              <a16:creationId xmlns:a16="http://schemas.microsoft.com/office/drawing/2014/main" id="{00000000-0008-0000-0C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8" name="Picture 1" descr="TDK CI Mark_blue_RGB_highres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9" name="Picture 1" descr="TDK CI Mark_blue_RGB_highres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0" name="Picture 1" descr="TDK CI Mark_blue_RGB_highres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1" name="Picture 1" descr="TDK CI Mark_blue_RGB_highres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32" name="Picture 1" descr="TDK CI Mark_blue_RGB_highres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76200</xdr:rowOff>
    </xdr:from>
    <xdr:ext cx="1000125" cy="447675"/>
    <xdr:pic>
      <xdr:nvPicPr>
        <xdr:cNvPr id="133" name="Picture 3" descr="TDK CI Mark_blue_RGB_highres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457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4" name="Picture 53" descr="TDK CI Mark_blue_RGB_highres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5" name="Picture 1" descr="TDK CI Mark_blue_RGB_highres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6" name="Picture 1" descr="TDK CI Mark_blue_RGB_highres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7" name="Picture 1" descr="TDK CI Mark_blue_RGB_highres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8" name="Picture 1" descr="TDK CI Mark_blue_RGB_highres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9" name="Picture 1" descr="TDK CI Mark_blue_RGB_highres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0" name="Picture 1" descr="TDK CI Mark_blue_RGB_highres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1" name="Picture 1" descr="TDK CI Mark_blue_RGB_highres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2" name="Picture 1" descr="TDK CI Mark_blue_RGB_highres">
          <a:extLst>
            <a:ext uri="{FF2B5EF4-FFF2-40B4-BE49-F238E27FC236}">
              <a16:creationId xmlns:a16="http://schemas.microsoft.com/office/drawing/2014/main" id="{00000000-0008-0000-0C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3" name="Picture 1" descr="TDK CI Mark_blue_RGB_highres">
          <a:extLst>
            <a:ext uri="{FF2B5EF4-FFF2-40B4-BE49-F238E27FC236}">
              <a16:creationId xmlns:a16="http://schemas.microsoft.com/office/drawing/2014/main" id="{00000000-0008-0000-0C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4" name="Picture 66" descr="TDK CI Mark_blue_RGB_highres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5" name="Picture 1" descr="TDK CI Mark_blue_RGB_highres">
          <a:extLst>
            <a:ext uri="{FF2B5EF4-FFF2-40B4-BE49-F238E27FC236}">
              <a16:creationId xmlns:a16="http://schemas.microsoft.com/office/drawing/2014/main" id="{00000000-0008-0000-0C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6" name="Picture 1" descr="TDK CI Mark_blue_RGB_highres">
          <a:extLst>
            <a:ext uri="{FF2B5EF4-FFF2-40B4-BE49-F238E27FC236}">
              <a16:creationId xmlns:a16="http://schemas.microsoft.com/office/drawing/2014/main" id="{00000000-0008-0000-0C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7" name="Picture 1" descr="TDK CI Mark_blue_RGB_highres">
          <a:extLst>
            <a:ext uri="{FF2B5EF4-FFF2-40B4-BE49-F238E27FC236}">
              <a16:creationId xmlns:a16="http://schemas.microsoft.com/office/drawing/2014/main" id="{00000000-0008-0000-0C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8" name="Picture 1" descr="TDK CI Mark_blue_RGB_highres">
          <a:extLst>
            <a:ext uri="{FF2B5EF4-FFF2-40B4-BE49-F238E27FC236}">
              <a16:creationId xmlns:a16="http://schemas.microsoft.com/office/drawing/2014/main" id="{00000000-0008-0000-0C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9" name="Picture 1" descr="TDK CI Mark_blue_RGB_highres">
          <a:extLst>
            <a:ext uri="{FF2B5EF4-FFF2-40B4-BE49-F238E27FC236}">
              <a16:creationId xmlns:a16="http://schemas.microsoft.com/office/drawing/2014/main" id="{00000000-0008-0000-0C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0" name="Picture 1" descr="TDK CI Mark_blue_RGB_highres">
          <a:extLst>
            <a:ext uri="{FF2B5EF4-FFF2-40B4-BE49-F238E27FC236}">
              <a16:creationId xmlns:a16="http://schemas.microsoft.com/office/drawing/2014/main" id="{00000000-0008-0000-0C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1" name="Picture 1" descr="TDK CI Mark_blue_RGB_highres">
          <a:extLst>
            <a:ext uri="{FF2B5EF4-FFF2-40B4-BE49-F238E27FC236}">
              <a16:creationId xmlns:a16="http://schemas.microsoft.com/office/drawing/2014/main" id="{00000000-0008-0000-0C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2" name="Picture 1" descr="TDK CI Mark_blue_RGB_highres">
          <a:extLst>
            <a:ext uri="{FF2B5EF4-FFF2-40B4-BE49-F238E27FC236}">
              <a16:creationId xmlns:a16="http://schemas.microsoft.com/office/drawing/2014/main" id="{00000000-0008-0000-0C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3" name="Picture 1" descr="TDK CI Mark_blue_RGB_highres">
          <a:extLst>
            <a:ext uri="{FF2B5EF4-FFF2-40B4-BE49-F238E27FC236}">
              <a16:creationId xmlns:a16="http://schemas.microsoft.com/office/drawing/2014/main" id="{00000000-0008-0000-0C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28575</xdr:rowOff>
    </xdr:from>
    <xdr:ext cx="0" cy="657225"/>
    <xdr:pic>
      <xdr:nvPicPr>
        <xdr:cNvPr id="154" name="Picture 1" descr="TDK CI Mark_blue_RGB_highres">
          <a:extLst>
            <a:ext uri="{FF2B5EF4-FFF2-40B4-BE49-F238E27FC236}">
              <a16:creationId xmlns:a16="http://schemas.microsoft.com/office/drawing/2014/main" id="{00000000-0008-0000-0C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5" name="Picture 53" descr="TDK CI Mark_blue_RGB_highres">
          <a:extLst>
            <a:ext uri="{FF2B5EF4-FFF2-40B4-BE49-F238E27FC236}">
              <a16:creationId xmlns:a16="http://schemas.microsoft.com/office/drawing/2014/main" id="{00000000-0008-0000-0C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6" name="Picture 1" descr="TDK CI Mark_blue_RGB_highres">
          <a:extLst>
            <a:ext uri="{FF2B5EF4-FFF2-40B4-BE49-F238E27FC236}">
              <a16:creationId xmlns:a16="http://schemas.microsoft.com/office/drawing/2014/main" id="{00000000-0008-0000-0C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7" name="Picture 1" descr="TDK CI Mark_blue_RGB_highres">
          <a:extLst>
            <a:ext uri="{FF2B5EF4-FFF2-40B4-BE49-F238E27FC236}">
              <a16:creationId xmlns:a16="http://schemas.microsoft.com/office/drawing/2014/main" id="{00000000-0008-0000-0C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8" name="Picture 1" descr="TDK CI Mark_blue_RGB_highres">
          <a:extLst>
            <a:ext uri="{FF2B5EF4-FFF2-40B4-BE49-F238E27FC236}">
              <a16:creationId xmlns:a16="http://schemas.microsoft.com/office/drawing/2014/main" id="{00000000-0008-0000-0C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9" name="Picture 1" descr="TDK CI Mark_blue_RGB_highres">
          <a:extLst>
            <a:ext uri="{FF2B5EF4-FFF2-40B4-BE49-F238E27FC236}">
              <a16:creationId xmlns:a16="http://schemas.microsoft.com/office/drawing/2014/main" id="{00000000-0008-0000-0C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0" name="Picture 1" descr="TDK CI Mark_blue_RGB_highres">
          <a:extLst>
            <a:ext uri="{FF2B5EF4-FFF2-40B4-BE49-F238E27FC236}">
              <a16:creationId xmlns:a16="http://schemas.microsoft.com/office/drawing/2014/main" id="{00000000-0008-0000-0C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1" name="Picture 1" descr="TDK CI Mark_blue_RGB_highres">
          <a:extLst>
            <a:ext uri="{FF2B5EF4-FFF2-40B4-BE49-F238E27FC236}">
              <a16:creationId xmlns:a16="http://schemas.microsoft.com/office/drawing/2014/main" id="{00000000-0008-0000-0C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2" name="Picture 1" descr="TDK CI Mark_blue_RGB_highres">
          <a:extLst>
            <a:ext uri="{FF2B5EF4-FFF2-40B4-BE49-F238E27FC236}">
              <a16:creationId xmlns:a16="http://schemas.microsoft.com/office/drawing/2014/main" id="{00000000-0008-0000-0C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3" name="Picture 1" descr="TDK CI Mark_blue_RGB_highres">
          <a:extLst>
            <a:ext uri="{FF2B5EF4-FFF2-40B4-BE49-F238E27FC236}">
              <a16:creationId xmlns:a16="http://schemas.microsoft.com/office/drawing/2014/main" id="{00000000-0008-0000-0C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4" name="Picture 1" descr="TDK CI Mark_blue_RGB_highres">
          <a:extLst>
            <a:ext uri="{FF2B5EF4-FFF2-40B4-BE49-F238E27FC236}">
              <a16:creationId xmlns:a16="http://schemas.microsoft.com/office/drawing/2014/main" id="{00000000-0008-0000-0C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28575</xdr:rowOff>
    </xdr:from>
    <xdr:ext cx="0" cy="657225"/>
    <xdr:pic>
      <xdr:nvPicPr>
        <xdr:cNvPr id="165" name="Picture 1" descr="TDK CI Mark_blue_RGB_highres">
          <a:extLst>
            <a:ext uri="{FF2B5EF4-FFF2-40B4-BE49-F238E27FC236}">
              <a16:creationId xmlns:a16="http://schemas.microsoft.com/office/drawing/2014/main" id="{00000000-0008-0000-0C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6" name="Picture 66" descr="TDK CI Mark_blue_RGB_highres">
          <a:extLst>
            <a:ext uri="{FF2B5EF4-FFF2-40B4-BE49-F238E27FC236}">
              <a16:creationId xmlns:a16="http://schemas.microsoft.com/office/drawing/2014/main" id="{00000000-0008-0000-0C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7" name="Picture 1" descr="TDK CI Mark_blue_RGB_highres">
          <a:extLst>
            <a:ext uri="{FF2B5EF4-FFF2-40B4-BE49-F238E27FC236}">
              <a16:creationId xmlns:a16="http://schemas.microsoft.com/office/drawing/2014/main" id="{00000000-0008-0000-0C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8" name="Picture 1" descr="TDK CI Mark_blue_RGB_highres">
          <a:extLst>
            <a:ext uri="{FF2B5EF4-FFF2-40B4-BE49-F238E27FC236}">
              <a16:creationId xmlns:a16="http://schemas.microsoft.com/office/drawing/2014/main" id="{00000000-0008-0000-0C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9" name="Picture 1" descr="TDK CI Mark_blue_RGB_highres">
          <a:extLst>
            <a:ext uri="{FF2B5EF4-FFF2-40B4-BE49-F238E27FC236}">
              <a16:creationId xmlns:a16="http://schemas.microsoft.com/office/drawing/2014/main" id="{00000000-0008-0000-0C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0" name="Picture 1" descr="TDK CI Mark_blue_RGB_highres">
          <a:extLst>
            <a:ext uri="{FF2B5EF4-FFF2-40B4-BE49-F238E27FC236}">
              <a16:creationId xmlns:a16="http://schemas.microsoft.com/office/drawing/2014/main" id="{00000000-0008-0000-0C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1" name="Picture 1" descr="TDK CI Mark_blue_RGB_highres">
          <a:extLst>
            <a:ext uri="{FF2B5EF4-FFF2-40B4-BE49-F238E27FC236}">
              <a16:creationId xmlns:a16="http://schemas.microsoft.com/office/drawing/2014/main" id="{00000000-0008-0000-0C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2" name="Picture 1" descr="TDK CI Mark_blue_RGB_highres">
          <a:extLst>
            <a:ext uri="{FF2B5EF4-FFF2-40B4-BE49-F238E27FC236}">
              <a16:creationId xmlns:a16="http://schemas.microsoft.com/office/drawing/2014/main" id="{00000000-0008-0000-0C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3" name="Picture 1" descr="TDK CI Mark_blue_RGB_highres">
          <a:extLst>
            <a:ext uri="{FF2B5EF4-FFF2-40B4-BE49-F238E27FC236}">
              <a16:creationId xmlns:a16="http://schemas.microsoft.com/office/drawing/2014/main" id="{00000000-0008-0000-0C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4" name="Picture 1" descr="TDK CI Mark_blue_RGB_highres">
          <a:extLst>
            <a:ext uri="{FF2B5EF4-FFF2-40B4-BE49-F238E27FC236}">
              <a16:creationId xmlns:a16="http://schemas.microsoft.com/office/drawing/2014/main" id="{00000000-0008-0000-0C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5" name="Picture 1" descr="TDK CI Mark_blue_RGB_highres">
          <a:extLst>
            <a:ext uri="{FF2B5EF4-FFF2-40B4-BE49-F238E27FC236}">
              <a16:creationId xmlns:a16="http://schemas.microsoft.com/office/drawing/2014/main" id="{00000000-0008-0000-0C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28575</xdr:rowOff>
    </xdr:from>
    <xdr:ext cx="0" cy="657225"/>
    <xdr:pic>
      <xdr:nvPicPr>
        <xdr:cNvPr id="176" name="Picture 1" descr="TDK CI Mark_blue_RGB_highres">
          <a:extLst>
            <a:ext uri="{FF2B5EF4-FFF2-40B4-BE49-F238E27FC236}">
              <a16:creationId xmlns:a16="http://schemas.microsoft.com/office/drawing/2014/main" id="{00000000-0008-0000-0C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60</xdr:row>
      <xdr:rowOff>76200</xdr:rowOff>
    </xdr:from>
    <xdr:ext cx="1000125" cy="447675"/>
    <xdr:pic>
      <xdr:nvPicPr>
        <xdr:cNvPr id="177" name="Picture 3" descr="TDK CI Mark_blue_RGB_highres">
          <a:extLst>
            <a:ext uri="{FF2B5EF4-FFF2-40B4-BE49-F238E27FC236}">
              <a16:creationId xmlns:a16="http://schemas.microsoft.com/office/drawing/2014/main" id="{00000000-0008-0000-0C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78" name="Picture 53" descr="TDK CI Mark_blue_RGB_highres">
          <a:extLst>
            <a:ext uri="{FF2B5EF4-FFF2-40B4-BE49-F238E27FC236}">
              <a16:creationId xmlns:a16="http://schemas.microsoft.com/office/drawing/2014/main" id="{00000000-0008-0000-0C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79" name="Picture 1" descr="TDK CI Mark_blue_RGB_highres">
          <a:extLst>
            <a:ext uri="{FF2B5EF4-FFF2-40B4-BE49-F238E27FC236}">
              <a16:creationId xmlns:a16="http://schemas.microsoft.com/office/drawing/2014/main" id="{00000000-0008-0000-0C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0" name="Picture 1" descr="TDK CI Mark_blue_RGB_highres">
          <a:extLst>
            <a:ext uri="{FF2B5EF4-FFF2-40B4-BE49-F238E27FC236}">
              <a16:creationId xmlns:a16="http://schemas.microsoft.com/office/drawing/2014/main" id="{00000000-0008-0000-0C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1" name="Picture 1" descr="TDK CI Mark_blue_RGB_highres">
          <a:extLst>
            <a:ext uri="{FF2B5EF4-FFF2-40B4-BE49-F238E27FC236}">
              <a16:creationId xmlns:a16="http://schemas.microsoft.com/office/drawing/2014/main" id="{00000000-0008-0000-0C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2" name="Picture 1" descr="TDK CI Mark_blue_RGB_highres">
          <a:extLst>
            <a:ext uri="{FF2B5EF4-FFF2-40B4-BE49-F238E27FC236}">
              <a16:creationId xmlns:a16="http://schemas.microsoft.com/office/drawing/2014/main" id="{00000000-0008-0000-0C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3" name="Picture 1" descr="TDK CI Mark_blue_RGB_highres">
          <a:extLst>
            <a:ext uri="{FF2B5EF4-FFF2-40B4-BE49-F238E27FC236}">
              <a16:creationId xmlns:a16="http://schemas.microsoft.com/office/drawing/2014/main" id="{00000000-0008-0000-0C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4" name="Picture 1" descr="TDK CI Mark_blue_RGB_highres">
          <a:extLst>
            <a:ext uri="{FF2B5EF4-FFF2-40B4-BE49-F238E27FC236}">
              <a16:creationId xmlns:a16="http://schemas.microsoft.com/office/drawing/2014/main" id="{00000000-0008-0000-0C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5" name="Picture 1" descr="TDK CI Mark_blue_RGB_highres">
          <a:extLst>
            <a:ext uri="{FF2B5EF4-FFF2-40B4-BE49-F238E27FC236}">
              <a16:creationId xmlns:a16="http://schemas.microsoft.com/office/drawing/2014/main" id="{00000000-0008-0000-0C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6" name="Picture 1" descr="TDK CI Mark_blue_RGB_highres">
          <a:extLst>
            <a:ext uri="{FF2B5EF4-FFF2-40B4-BE49-F238E27FC236}">
              <a16:creationId xmlns:a16="http://schemas.microsoft.com/office/drawing/2014/main" id="{00000000-0008-0000-0C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7" name="Picture 1" descr="TDK CI Mark_blue_RGB_highres">
          <a:extLst>
            <a:ext uri="{FF2B5EF4-FFF2-40B4-BE49-F238E27FC236}">
              <a16:creationId xmlns:a16="http://schemas.microsoft.com/office/drawing/2014/main" id="{00000000-0008-0000-0C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8" name="Picture 66" descr="TDK CI Mark_blue_RGB_highres">
          <a:extLst>
            <a:ext uri="{FF2B5EF4-FFF2-40B4-BE49-F238E27FC236}">
              <a16:creationId xmlns:a16="http://schemas.microsoft.com/office/drawing/2014/main" id="{00000000-0008-0000-0C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9" name="Picture 1" descr="TDK CI Mark_blue_RGB_highres">
          <a:extLst>
            <a:ext uri="{FF2B5EF4-FFF2-40B4-BE49-F238E27FC236}">
              <a16:creationId xmlns:a16="http://schemas.microsoft.com/office/drawing/2014/main" id="{00000000-0008-0000-0C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0" name="Picture 1" descr="TDK CI Mark_blue_RGB_highres">
          <a:extLst>
            <a:ext uri="{FF2B5EF4-FFF2-40B4-BE49-F238E27FC236}">
              <a16:creationId xmlns:a16="http://schemas.microsoft.com/office/drawing/2014/main" id="{00000000-0008-0000-0C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1" name="Picture 1" descr="TDK CI Mark_blue_RGB_highres">
          <a:extLst>
            <a:ext uri="{FF2B5EF4-FFF2-40B4-BE49-F238E27FC236}">
              <a16:creationId xmlns:a16="http://schemas.microsoft.com/office/drawing/2014/main" id="{00000000-0008-0000-0C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2" name="Picture 1" descr="TDK CI Mark_blue_RGB_highres">
          <a:extLst>
            <a:ext uri="{FF2B5EF4-FFF2-40B4-BE49-F238E27FC236}">
              <a16:creationId xmlns:a16="http://schemas.microsoft.com/office/drawing/2014/main" id="{00000000-0008-0000-0C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3" name="Picture 1" descr="TDK CI Mark_blue_RGB_highres">
          <a:extLst>
            <a:ext uri="{FF2B5EF4-FFF2-40B4-BE49-F238E27FC236}">
              <a16:creationId xmlns:a16="http://schemas.microsoft.com/office/drawing/2014/main" id="{00000000-0008-0000-0C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4" name="Picture 1" descr="TDK CI Mark_blue_RGB_highres">
          <a:extLst>
            <a:ext uri="{FF2B5EF4-FFF2-40B4-BE49-F238E27FC236}">
              <a16:creationId xmlns:a16="http://schemas.microsoft.com/office/drawing/2014/main" id="{00000000-0008-0000-0C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5" name="Picture 1" descr="TDK CI Mark_blue_RGB_highres">
          <a:extLst>
            <a:ext uri="{FF2B5EF4-FFF2-40B4-BE49-F238E27FC236}">
              <a16:creationId xmlns:a16="http://schemas.microsoft.com/office/drawing/2014/main" id="{00000000-0008-0000-0C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6" name="Picture 1" descr="TDK CI Mark_blue_RGB_highres">
          <a:extLst>
            <a:ext uri="{FF2B5EF4-FFF2-40B4-BE49-F238E27FC236}">
              <a16:creationId xmlns:a16="http://schemas.microsoft.com/office/drawing/2014/main" id="{00000000-0008-0000-0C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7" name="Picture 1" descr="TDK CI Mark_blue_RGB_highres">
          <a:extLst>
            <a:ext uri="{FF2B5EF4-FFF2-40B4-BE49-F238E27FC236}">
              <a16:creationId xmlns:a16="http://schemas.microsoft.com/office/drawing/2014/main" id="{00000000-0008-0000-0C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75</xdr:row>
      <xdr:rowOff>28575</xdr:rowOff>
    </xdr:from>
    <xdr:ext cx="0" cy="657225"/>
    <xdr:pic>
      <xdr:nvPicPr>
        <xdr:cNvPr id="198" name="Picture 1" descr="TDK CI Mark_blue_RGB_highres">
          <a:extLst>
            <a:ext uri="{FF2B5EF4-FFF2-40B4-BE49-F238E27FC236}">
              <a16:creationId xmlns:a16="http://schemas.microsoft.com/office/drawing/2014/main" id="{00000000-0008-0000-0C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9" name="Picture 53" descr="TDK CI Mark_blue_RGB_highres">
          <a:extLst>
            <a:ext uri="{FF2B5EF4-FFF2-40B4-BE49-F238E27FC236}">
              <a16:creationId xmlns:a16="http://schemas.microsoft.com/office/drawing/2014/main" id="{00000000-0008-0000-0C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0" name="Picture 1" descr="TDK CI Mark_blue_RGB_highres">
          <a:extLst>
            <a:ext uri="{FF2B5EF4-FFF2-40B4-BE49-F238E27FC236}">
              <a16:creationId xmlns:a16="http://schemas.microsoft.com/office/drawing/2014/main" id="{00000000-0008-0000-0C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1" name="Picture 1" descr="TDK CI Mark_blue_RGB_highres">
          <a:extLst>
            <a:ext uri="{FF2B5EF4-FFF2-40B4-BE49-F238E27FC236}">
              <a16:creationId xmlns:a16="http://schemas.microsoft.com/office/drawing/2014/main" id="{00000000-0008-0000-0C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2" name="Picture 1" descr="TDK CI Mark_blue_RGB_highres">
          <a:extLst>
            <a:ext uri="{FF2B5EF4-FFF2-40B4-BE49-F238E27FC236}">
              <a16:creationId xmlns:a16="http://schemas.microsoft.com/office/drawing/2014/main" id="{00000000-0008-0000-0C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3" name="Picture 1" descr="TDK CI Mark_blue_RGB_highres">
          <a:extLst>
            <a:ext uri="{FF2B5EF4-FFF2-40B4-BE49-F238E27FC236}">
              <a16:creationId xmlns:a16="http://schemas.microsoft.com/office/drawing/2014/main" id="{00000000-0008-0000-0C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4" name="Picture 1" descr="TDK CI Mark_blue_RGB_highres">
          <a:extLst>
            <a:ext uri="{FF2B5EF4-FFF2-40B4-BE49-F238E27FC236}">
              <a16:creationId xmlns:a16="http://schemas.microsoft.com/office/drawing/2014/main" id="{00000000-0008-0000-0C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5" name="Picture 1" descr="TDK CI Mark_blue_RGB_highres">
          <a:extLst>
            <a:ext uri="{FF2B5EF4-FFF2-40B4-BE49-F238E27FC236}">
              <a16:creationId xmlns:a16="http://schemas.microsoft.com/office/drawing/2014/main" id="{00000000-0008-0000-0C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6" name="Picture 1" descr="TDK CI Mark_blue_RGB_highres">
          <a:extLst>
            <a:ext uri="{FF2B5EF4-FFF2-40B4-BE49-F238E27FC236}">
              <a16:creationId xmlns:a16="http://schemas.microsoft.com/office/drawing/2014/main" id="{00000000-0008-0000-0C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7" name="Picture 1" descr="TDK CI Mark_blue_RGB_highres">
          <a:extLst>
            <a:ext uri="{FF2B5EF4-FFF2-40B4-BE49-F238E27FC236}">
              <a16:creationId xmlns:a16="http://schemas.microsoft.com/office/drawing/2014/main" id="{00000000-0008-0000-0C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8" name="Picture 1" descr="TDK CI Mark_blue_RGB_highres">
          <a:extLst>
            <a:ext uri="{FF2B5EF4-FFF2-40B4-BE49-F238E27FC236}">
              <a16:creationId xmlns:a16="http://schemas.microsoft.com/office/drawing/2014/main" id="{00000000-0008-0000-0C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75</xdr:row>
      <xdr:rowOff>28575</xdr:rowOff>
    </xdr:from>
    <xdr:ext cx="0" cy="657225"/>
    <xdr:pic>
      <xdr:nvPicPr>
        <xdr:cNvPr id="209" name="Picture 1" descr="TDK CI Mark_blue_RGB_highres">
          <a:extLst>
            <a:ext uri="{FF2B5EF4-FFF2-40B4-BE49-F238E27FC236}">
              <a16:creationId xmlns:a16="http://schemas.microsoft.com/office/drawing/2014/main" id="{00000000-0008-0000-0C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0" name="Picture 66" descr="TDK CI Mark_blue_RGB_highres">
          <a:extLst>
            <a:ext uri="{FF2B5EF4-FFF2-40B4-BE49-F238E27FC236}">
              <a16:creationId xmlns:a16="http://schemas.microsoft.com/office/drawing/2014/main" id="{00000000-0008-0000-0C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1" name="Picture 1" descr="TDK CI Mark_blue_RGB_highres">
          <a:extLst>
            <a:ext uri="{FF2B5EF4-FFF2-40B4-BE49-F238E27FC236}">
              <a16:creationId xmlns:a16="http://schemas.microsoft.com/office/drawing/2014/main" id="{00000000-0008-0000-0C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2" name="Picture 1" descr="TDK CI Mark_blue_RGB_highres">
          <a:extLst>
            <a:ext uri="{FF2B5EF4-FFF2-40B4-BE49-F238E27FC236}">
              <a16:creationId xmlns:a16="http://schemas.microsoft.com/office/drawing/2014/main" id="{00000000-0008-0000-0C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3" name="Picture 1" descr="TDK CI Mark_blue_RGB_highres">
          <a:extLst>
            <a:ext uri="{FF2B5EF4-FFF2-40B4-BE49-F238E27FC236}">
              <a16:creationId xmlns:a16="http://schemas.microsoft.com/office/drawing/2014/main" id="{00000000-0008-0000-0C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4" name="Picture 1" descr="TDK CI Mark_blue_RGB_highres">
          <a:extLst>
            <a:ext uri="{FF2B5EF4-FFF2-40B4-BE49-F238E27FC236}">
              <a16:creationId xmlns:a16="http://schemas.microsoft.com/office/drawing/2014/main" id="{00000000-0008-0000-0C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5" name="Picture 1" descr="TDK CI Mark_blue_RGB_highres">
          <a:extLst>
            <a:ext uri="{FF2B5EF4-FFF2-40B4-BE49-F238E27FC236}">
              <a16:creationId xmlns:a16="http://schemas.microsoft.com/office/drawing/2014/main" id="{00000000-0008-0000-0C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6" name="Picture 1" descr="TDK CI Mark_blue_RGB_highres">
          <a:extLst>
            <a:ext uri="{FF2B5EF4-FFF2-40B4-BE49-F238E27FC236}">
              <a16:creationId xmlns:a16="http://schemas.microsoft.com/office/drawing/2014/main" id="{00000000-0008-0000-0C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7" name="Picture 1" descr="TDK CI Mark_blue_RGB_highres">
          <a:extLst>
            <a:ext uri="{FF2B5EF4-FFF2-40B4-BE49-F238E27FC236}">
              <a16:creationId xmlns:a16="http://schemas.microsoft.com/office/drawing/2014/main" id="{00000000-0008-0000-0C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8" name="Picture 1" descr="TDK CI Mark_blue_RGB_highres">
          <a:extLst>
            <a:ext uri="{FF2B5EF4-FFF2-40B4-BE49-F238E27FC236}">
              <a16:creationId xmlns:a16="http://schemas.microsoft.com/office/drawing/2014/main" id="{00000000-0008-0000-0C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9" name="Picture 1" descr="TDK CI Mark_blue_RGB_highres">
          <a:extLst>
            <a:ext uri="{FF2B5EF4-FFF2-40B4-BE49-F238E27FC236}">
              <a16:creationId xmlns:a16="http://schemas.microsoft.com/office/drawing/2014/main" id="{00000000-0008-0000-0C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75</xdr:row>
      <xdr:rowOff>28575</xdr:rowOff>
    </xdr:from>
    <xdr:ext cx="0" cy="657225"/>
    <xdr:pic>
      <xdr:nvPicPr>
        <xdr:cNvPr id="220" name="Picture 1" descr="TDK CI Mark_blue_RGB_highres">
          <a:extLst>
            <a:ext uri="{FF2B5EF4-FFF2-40B4-BE49-F238E27FC236}">
              <a16:creationId xmlns:a16="http://schemas.microsoft.com/office/drawing/2014/main" id="{00000000-0008-0000-0C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75</xdr:row>
      <xdr:rowOff>76200</xdr:rowOff>
    </xdr:from>
    <xdr:ext cx="1000125" cy="447675"/>
    <xdr:pic>
      <xdr:nvPicPr>
        <xdr:cNvPr id="221" name="Picture 3" descr="TDK CI Mark_blue_RGB_highres">
          <a:extLst>
            <a:ext uri="{FF2B5EF4-FFF2-40B4-BE49-F238E27FC236}">
              <a16:creationId xmlns:a16="http://schemas.microsoft.com/office/drawing/2014/main" id="{00000000-0008-0000-0C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2" name="Picture 53" descr="TDK CI Mark_blue_RGB_highres">
          <a:extLst>
            <a:ext uri="{FF2B5EF4-FFF2-40B4-BE49-F238E27FC236}">
              <a16:creationId xmlns:a16="http://schemas.microsoft.com/office/drawing/2014/main" id="{00000000-0008-0000-0C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3" name="Picture 1" descr="TDK CI Mark_blue_RGB_highres">
          <a:extLst>
            <a:ext uri="{FF2B5EF4-FFF2-40B4-BE49-F238E27FC236}">
              <a16:creationId xmlns:a16="http://schemas.microsoft.com/office/drawing/2014/main" id="{00000000-0008-0000-0C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4" name="Picture 1" descr="TDK CI Mark_blue_RGB_highres">
          <a:extLst>
            <a:ext uri="{FF2B5EF4-FFF2-40B4-BE49-F238E27FC236}">
              <a16:creationId xmlns:a16="http://schemas.microsoft.com/office/drawing/2014/main" id="{00000000-0008-0000-0C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5" name="Picture 1" descr="TDK CI Mark_blue_RGB_highres">
          <a:extLst>
            <a:ext uri="{FF2B5EF4-FFF2-40B4-BE49-F238E27FC236}">
              <a16:creationId xmlns:a16="http://schemas.microsoft.com/office/drawing/2014/main" id="{00000000-0008-0000-0C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6" name="Picture 1" descr="TDK CI Mark_blue_RGB_highres">
          <a:extLst>
            <a:ext uri="{FF2B5EF4-FFF2-40B4-BE49-F238E27FC236}">
              <a16:creationId xmlns:a16="http://schemas.microsoft.com/office/drawing/2014/main" id="{00000000-0008-0000-0C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7" name="Picture 1" descr="TDK CI Mark_blue_RGB_highres">
          <a:extLst>
            <a:ext uri="{FF2B5EF4-FFF2-40B4-BE49-F238E27FC236}">
              <a16:creationId xmlns:a16="http://schemas.microsoft.com/office/drawing/2014/main" id="{00000000-0008-0000-0C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8" name="Picture 1" descr="TDK CI Mark_blue_RGB_highres">
          <a:extLst>
            <a:ext uri="{FF2B5EF4-FFF2-40B4-BE49-F238E27FC236}">
              <a16:creationId xmlns:a16="http://schemas.microsoft.com/office/drawing/2014/main" id="{00000000-0008-0000-0C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9" name="Picture 1" descr="TDK CI Mark_blue_RGB_highres">
          <a:extLst>
            <a:ext uri="{FF2B5EF4-FFF2-40B4-BE49-F238E27FC236}">
              <a16:creationId xmlns:a16="http://schemas.microsoft.com/office/drawing/2014/main" id="{00000000-0008-0000-0C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0" name="Picture 1" descr="TDK CI Mark_blue_RGB_highres">
          <a:extLst>
            <a:ext uri="{FF2B5EF4-FFF2-40B4-BE49-F238E27FC236}">
              <a16:creationId xmlns:a16="http://schemas.microsoft.com/office/drawing/2014/main" id="{00000000-0008-0000-0C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1" name="Picture 1" descr="TDK CI Mark_blue_RGB_highres">
          <a:extLst>
            <a:ext uri="{FF2B5EF4-FFF2-40B4-BE49-F238E27FC236}">
              <a16:creationId xmlns:a16="http://schemas.microsoft.com/office/drawing/2014/main" id="{00000000-0008-0000-0C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2" name="Picture 66" descr="TDK CI Mark_blue_RGB_highres">
          <a:extLst>
            <a:ext uri="{FF2B5EF4-FFF2-40B4-BE49-F238E27FC236}">
              <a16:creationId xmlns:a16="http://schemas.microsoft.com/office/drawing/2014/main" id="{00000000-0008-0000-0C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3" name="Picture 1" descr="TDK CI Mark_blue_RGB_highres">
          <a:extLst>
            <a:ext uri="{FF2B5EF4-FFF2-40B4-BE49-F238E27FC236}">
              <a16:creationId xmlns:a16="http://schemas.microsoft.com/office/drawing/2014/main" id="{00000000-0008-0000-0C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4" name="Picture 1" descr="TDK CI Mark_blue_RGB_highres">
          <a:extLst>
            <a:ext uri="{FF2B5EF4-FFF2-40B4-BE49-F238E27FC236}">
              <a16:creationId xmlns:a16="http://schemas.microsoft.com/office/drawing/2014/main" id="{00000000-0008-0000-0C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5" name="Picture 1" descr="TDK CI Mark_blue_RGB_highres">
          <a:extLst>
            <a:ext uri="{FF2B5EF4-FFF2-40B4-BE49-F238E27FC236}">
              <a16:creationId xmlns:a16="http://schemas.microsoft.com/office/drawing/2014/main" id="{00000000-0008-0000-0C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6" name="Picture 1" descr="TDK CI Mark_blue_RGB_highres">
          <a:extLst>
            <a:ext uri="{FF2B5EF4-FFF2-40B4-BE49-F238E27FC236}">
              <a16:creationId xmlns:a16="http://schemas.microsoft.com/office/drawing/2014/main" id="{00000000-0008-0000-0C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7" name="Picture 1" descr="TDK CI Mark_blue_RGB_highres">
          <a:extLst>
            <a:ext uri="{FF2B5EF4-FFF2-40B4-BE49-F238E27FC236}">
              <a16:creationId xmlns:a16="http://schemas.microsoft.com/office/drawing/2014/main" id="{00000000-0008-0000-0C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8" name="Picture 1" descr="TDK CI Mark_blue_RGB_highres">
          <a:extLst>
            <a:ext uri="{FF2B5EF4-FFF2-40B4-BE49-F238E27FC236}">
              <a16:creationId xmlns:a16="http://schemas.microsoft.com/office/drawing/2014/main" id="{00000000-0008-0000-0C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9" name="Picture 1" descr="TDK CI Mark_blue_RGB_highres">
          <a:extLst>
            <a:ext uri="{FF2B5EF4-FFF2-40B4-BE49-F238E27FC236}">
              <a16:creationId xmlns:a16="http://schemas.microsoft.com/office/drawing/2014/main" id="{00000000-0008-0000-0C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0" name="Picture 1" descr="TDK CI Mark_blue_RGB_highres">
          <a:extLst>
            <a:ext uri="{FF2B5EF4-FFF2-40B4-BE49-F238E27FC236}">
              <a16:creationId xmlns:a16="http://schemas.microsoft.com/office/drawing/2014/main" id="{00000000-0008-0000-0C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1" name="Picture 1" descr="TDK CI Mark_blue_RGB_highres">
          <a:extLst>
            <a:ext uri="{FF2B5EF4-FFF2-40B4-BE49-F238E27FC236}">
              <a16:creationId xmlns:a16="http://schemas.microsoft.com/office/drawing/2014/main" id="{00000000-0008-0000-0C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42" name="Picture 1" descr="TDK CI Mark_blue_RGB_highres">
          <a:extLst>
            <a:ext uri="{FF2B5EF4-FFF2-40B4-BE49-F238E27FC236}">
              <a16:creationId xmlns:a16="http://schemas.microsoft.com/office/drawing/2014/main" id="{00000000-0008-0000-0C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3" name="Picture 53" descr="TDK CI Mark_blue_RGB_highres">
          <a:extLst>
            <a:ext uri="{FF2B5EF4-FFF2-40B4-BE49-F238E27FC236}">
              <a16:creationId xmlns:a16="http://schemas.microsoft.com/office/drawing/2014/main" id="{00000000-0008-0000-0C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4" name="Picture 1" descr="TDK CI Mark_blue_RGB_highres">
          <a:extLst>
            <a:ext uri="{FF2B5EF4-FFF2-40B4-BE49-F238E27FC236}">
              <a16:creationId xmlns:a16="http://schemas.microsoft.com/office/drawing/2014/main" id="{00000000-0008-0000-0C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5" name="Picture 1" descr="TDK CI Mark_blue_RGB_highres">
          <a:extLst>
            <a:ext uri="{FF2B5EF4-FFF2-40B4-BE49-F238E27FC236}">
              <a16:creationId xmlns:a16="http://schemas.microsoft.com/office/drawing/2014/main" id="{00000000-0008-0000-0C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6" name="Picture 1" descr="TDK CI Mark_blue_RGB_highres">
          <a:extLst>
            <a:ext uri="{FF2B5EF4-FFF2-40B4-BE49-F238E27FC236}">
              <a16:creationId xmlns:a16="http://schemas.microsoft.com/office/drawing/2014/main" id="{00000000-0008-0000-0C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7" name="Picture 1" descr="TDK CI Mark_blue_RGB_highres">
          <a:extLst>
            <a:ext uri="{FF2B5EF4-FFF2-40B4-BE49-F238E27FC236}">
              <a16:creationId xmlns:a16="http://schemas.microsoft.com/office/drawing/2014/main" id="{00000000-0008-0000-0C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8" name="Picture 1" descr="TDK CI Mark_blue_RGB_highres">
          <a:extLst>
            <a:ext uri="{FF2B5EF4-FFF2-40B4-BE49-F238E27FC236}">
              <a16:creationId xmlns:a16="http://schemas.microsoft.com/office/drawing/2014/main" id="{00000000-0008-0000-0C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9" name="Picture 1" descr="TDK CI Mark_blue_RGB_highres">
          <a:extLst>
            <a:ext uri="{FF2B5EF4-FFF2-40B4-BE49-F238E27FC236}">
              <a16:creationId xmlns:a16="http://schemas.microsoft.com/office/drawing/2014/main" id="{00000000-0008-0000-0C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0" name="Picture 1" descr="TDK CI Mark_blue_RGB_highres">
          <a:extLst>
            <a:ext uri="{FF2B5EF4-FFF2-40B4-BE49-F238E27FC236}">
              <a16:creationId xmlns:a16="http://schemas.microsoft.com/office/drawing/2014/main" id="{00000000-0008-0000-0C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1" name="Picture 1" descr="TDK CI Mark_blue_RGB_highres">
          <a:extLst>
            <a:ext uri="{FF2B5EF4-FFF2-40B4-BE49-F238E27FC236}">
              <a16:creationId xmlns:a16="http://schemas.microsoft.com/office/drawing/2014/main" id="{00000000-0008-0000-0C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2" name="Picture 1" descr="TDK CI Mark_blue_RGB_highres">
          <a:extLst>
            <a:ext uri="{FF2B5EF4-FFF2-40B4-BE49-F238E27FC236}">
              <a16:creationId xmlns:a16="http://schemas.microsoft.com/office/drawing/2014/main" id="{00000000-0008-0000-0C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53" name="Picture 1" descr="TDK CI Mark_blue_RGB_highres">
          <a:extLst>
            <a:ext uri="{FF2B5EF4-FFF2-40B4-BE49-F238E27FC236}">
              <a16:creationId xmlns:a16="http://schemas.microsoft.com/office/drawing/2014/main" id="{00000000-0008-0000-0C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4" name="Picture 66" descr="TDK CI Mark_blue_RGB_highres">
          <a:extLst>
            <a:ext uri="{FF2B5EF4-FFF2-40B4-BE49-F238E27FC236}">
              <a16:creationId xmlns:a16="http://schemas.microsoft.com/office/drawing/2014/main" id="{00000000-0008-0000-0C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5" name="Picture 1" descr="TDK CI Mark_blue_RGB_highres">
          <a:extLst>
            <a:ext uri="{FF2B5EF4-FFF2-40B4-BE49-F238E27FC236}">
              <a16:creationId xmlns:a16="http://schemas.microsoft.com/office/drawing/2014/main" id="{00000000-0008-0000-0C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6" name="Picture 1" descr="TDK CI Mark_blue_RGB_highres">
          <a:extLst>
            <a:ext uri="{FF2B5EF4-FFF2-40B4-BE49-F238E27FC236}">
              <a16:creationId xmlns:a16="http://schemas.microsoft.com/office/drawing/2014/main" id="{00000000-0008-0000-0C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7" name="Picture 1" descr="TDK CI Mark_blue_RGB_highres">
          <a:extLst>
            <a:ext uri="{FF2B5EF4-FFF2-40B4-BE49-F238E27FC236}">
              <a16:creationId xmlns:a16="http://schemas.microsoft.com/office/drawing/2014/main" id="{00000000-0008-0000-0C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8" name="Picture 1" descr="TDK CI Mark_blue_RGB_highres">
          <a:extLst>
            <a:ext uri="{FF2B5EF4-FFF2-40B4-BE49-F238E27FC236}">
              <a16:creationId xmlns:a16="http://schemas.microsoft.com/office/drawing/2014/main" id="{00000000-0008-0000-0C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9" name="Picture 1" descr="TDK CI Mark_blue_RGB_highres">
          <a:extLst>
            <a:ext uri="{FF2B5EF4-FFF2-40B4-BE49-F238E27FC236}">
              <a16:creationId xmlns:a16="http://schemas.microsoft.com/office/drawing/2014/main" id="{00000000-0008-0000-0C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0" name="Picture 1" descr="TDK CI Mark_blue_RGB_highres">
          <a:extLst>
            <a:ext uri="{FF2B5EF4-FFF2-40B4-BE49-F238E27FC236}">
              <a16:creationId xmlns:a16="http://schemas.microsoft.com/office/drawing/2014/main" id="{00000000-0008-0000-0C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1" name="Picture 1" descr="TDK CI Mark_blue_RGB_highres">
          <a:extLst>
            <a:ext uri="{FF2B5EF4-FFF2-40B4-BE49-F238E27FC236}">
              <a16:creationId xmlns:a16="http://schemas.microsoft.com/office/drawing/2014/main" id="{00000000-0008-0000-0C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2" name="Picture 1" descr="TDK CI Mark_blue_RGB_highres">
          <a:extLst>
            <a:ext uri="{FF2B5EF4-FFF2-40B4-BE49-F238E27FC236}">
              <a16:creationId xmlns:a16="http://schemas.microsoft.com/office/drawing/2014/main" id="{00000000-0008-0000-0C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3" name="Picture 1" descr="TDK CI Mark_blue_RGB_highres">
          <a:extLst>
            <a:ext uri="{FF2B5EF4-FFF2-40B4-BE49-F238E27FC236}">
              <a16:creationId xmlns:a16="http://schemas.microsoft.com/office/drawing/2014/main" id="{00000000-0008-0000-0C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64" name="Picture 1" descr="TDK CI Mark_blue_RGB_highres">
          <a:extLst>
            <a:ext uri="{FF2B5EF4-FFF2-40B4-BE49-F238E27FC236}">
              <a16:creationId xmlns:a16="http://schemas.microsoft.com/office/drawing/2014/main" id="{00000000-0008-0000-0C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90</xdr:row>
      <xdr:rowOff>76200</xdr:rowOff>
    </xdr:from>
    <xdr:ext cx="1000125" cy="447675"/>
    <xdr:pic>
      <xdr:nvPicPr>
        <xdr:cNvPr id="265" name="Picture 3" descr="TDK CI Mark_blue_RGB_highres">
          <a:extLst>
            <a:ext uri="{FF2B5EF4-FFF2-40B4-BE49-F238E27FC236}">
              <a16:creationId xmlns:a16="http://schemas.microsoft.com/office/drawing/2014/main" id="{00000000-0008-0000-0C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078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6" name="Picture 53" descr="TDK CI Mark_blue_RGB_highres">
          <a:extLst>
            <a:ext uri="{FF2B5EF4-FFF2-40B4-BE49-F238E27FC236}">
              <a16:creationId xmlns:a16="http://schemas.microsoft.com/office/drawing/2014/main" id="{00000000-0008-0000-0C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7" name="Picture 1" descr="TDK CI Mark_blue_RGB_highres">
          <a:extLst>
            <a:ext uri="{FF2B5EF4-FFF2-40B4-BE49-F238E27FC236}">
              <a16:creationId xmlns:a16="http://schemas.microsoft.com/office/drawing/2014/main" id="{00000000-0008-0000-0C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8" name="Picture 1" descr="TDK CI Mark_blue_RGB_highres">
          <a:extLst>
            <a:ext uri="{FF2B5EF4-FFF2-40B4-BE49-F238E27FC236}">
              <a16:creationId xmlns:a16="http://schemas.microsoft.com/office/drawing/2014/main" id="{00000000-0008-0000-0C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9" name="Picture 1" descr="TDK CI Mark_blue_RGB_highres">
          <a:extLst>
            <a:ext uri="{FF2B5EF4-FFF2-40B4-BE49-F238E27FC236}">
              <a16:creationId xmlns:a16="http://schemas.microsoft.com/office/drawing/2014/main" id="{00000000-0008-0000-0C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0" name="Picture 1" descr="TDK CI Mark_blue_RGB_highres">
          <a:extLst>
            <a:ext uri="{FF2B5EF4-FFF2-40B4-BE49-F238E27FC236}">
              <a16:creationId xmlns:a16="http://schemas.microsoft.com/office/drawing/2014/main" id="{00000000-0008-0000-0C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1" name="Picture 1" descr="TDK CI Mark_blue_RGB_highres">
          <a:extLst>
            <a:ext uri="{FF2B5EF4-FFF2-40B4-BE49-F238E27FC236}">
              <a16:creationId xmlns:a16="http://schemas.microsoft.com/office/drawing/2014/main" id="{00000000-0008-0000-0C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2" name="Picture 1" descr="TDK CI Mark_blue_RGB_highres">
          <a:extLst>
            <a:ext uri="{FF2B5EF4-FFF2-40B4-BE49-F238E27FC236}">
              <a16:creationId xmlns:a16="http://schemas.microsoft.com/office/drawing/2014/main" id="{00000000-0008-0000-0C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3" name="Picture 1" descr="TDK CI Mark_blue_RGB_highres">
          <a:extLst>
            <a:ext uri="{FF2B5EF4-FFF2-40B4-BE49-F238E27FC236}">
              <a16:creationId xmlns:a16="http://schemas.microsoft.com/office/drawing/2014/main" id="{00000000-0008-0000-0C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4" name="Picture 1" descr="TDK CI Mark_blue_RGB_highres">
          <a:extLst>
            <a:ext uri="{FF2B5EF4-FFF2-40B4-BE49-F238E27FC236}">
              <a16:creationId xmlns:a16="http://schemas.microsoft.com/office/drawing/2014/main" id="{00000000-0008-0000-0C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5" name="Picture 1" descr="TDK CI Mark_blue_RGB_highres">
          <a:extLst>
            <a:ext uri="{FF2B5EF4-FFF2-40B4-BE49-F238E27FC236}">
              <a16:creationId xmlns:a16="http://schemas.microsoft.com/office/drawing/2014/main" id="{00000000-0008-0000-0C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6" name="Picture 66" descr="TDK CI Mark_blue_RGB_highres">
          <a:extLst>
            <a:ext uri="{FF2B5EF4-FFF2-40B4-BE49-F238E27FC236}">
              <a16:creationId xmlns:a16="http://schemas.microsoft.com/office/drawing/2014/main" id="{00000000-0008-0000-0C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7" name="Picture 1" descr="TDK CI Mark_blue_RGB_highres">
          <a:extLst>
            <a:ext uri="{FF2B5EF4-FFF2-40B4-BE49-F238E27FC236}">
              <a16:creationId xmlns:a16="http://schemas.microsoft.com/office/drawing/2014/main" id="{00000000-0008-0000-0C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8" name="Picture 1" descr="TDK CI Mark_blue_RGB_highres">
          <a:extLst>
            <a:ext uri="{FF2B5EF4-FFF2-40B4-BE49-F238E27FC236}">
              <a16:creationId xmlns:a16="http://schemas.microsoft.com/office/drawing/2014/main" id="{00000000-0008-0000-0C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9" name="Picture 1" descr="TDK CI Mark_blue_RGB_highres">
          <a:extLst>
            <a:ext uri="{FF2B5EF4-FFF2-40B4-BE49-F238E27FC236}">
              <a16:creationId xmlns:a16="http://schemas.microsoft.com/office/drawing/2014/main" id="{00000000-0008-0000-0C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0" name="Picture 1" descr="TDK CI Mark_blue_RGB_highres">
          <a:extLst>
            <a:ext uri="{FF2B5EF4-FFF2-40B4-BE49-F238E27FC236}">
              <a16:creationId xmlns:a16="http://schemas.microsoft.com/office/drawing/2014/main" id="{00000000-0008-0000-0C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1" name="Picture 1" descr="TDK CI Mark_blue_RGB_highres">
          <a:extLst>
            <a:ext uri="{FF2B5EF4-FFF2-40B4-BE49-F238E27FC236}">
              <a16:creationId xmlns:a16="http://schemas.microsoft.com/office/drawing/2014/main" id="{00000000-0008-0000-0C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2" name="Picture 1" descr="TDK CI Mark_blue_RGB_highres">
          <a:extLst>
            <a:ext uri="{FF2B5EF4-FFF2-40B4-BE49-F238E27FC236}">
              <a16:creationId xmlns:a16="http://schemas.microsoft.com/office/drawing/2014/main" id="{00000000-0008-0000-0C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3" name="Picture 1" descr="TDK CI Mark_blue_RGB_highres">
          <a:extLst>
            <a:ext uri="{FF2B5EF4-FFF2-40B4-BE49-F238E27FC236}">
              <a16:creationId xmlns:a16="http://schemas.microsoft.com/office/drawing/2014/main" id="{00000000-0008-0000-0C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4" name="Picture 1" descr="TDK CI Mark_blue_RGB_highres">
          <a:extLst>
            <a:ext uri="{FF2B5EF4-FFF2-40B4-BE49-F238E27FC236}">
              <a16:creationId xmlns:a16="http://schemas.microsoft.com/office/drawing/2014/main" id="{00000000-0008-0000-0C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5" name="Picture 1" descr="TDK CI Mark_blue_RGB_highres">
          <a:extLst>
            <a:ext uri="{FF2B5EF4-FFF2-40B4-BE49-F238E27FC236}">
              <a16:creationId xmlns:a16="http://schemas.microsoft.com/office/drawing/2014/main" id="{00000000-0008-0000-0C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86" name="Picture 1" descr="TDK CI Mark_blue_RGB_highres">
          <a:extLst>
            <a:ext uri="{FF2B5EF4-FFF2-40B4-BE49-F238E27FC236}">
              <a16:creationId xmlns:a16="http://schemas.microsoft.com/office/drawing/2014/main" id="{00000000-0008-0000-0C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7" name="Picture 53" descr="TDK CI Mark_blue_RGB_highres">
          <a:extLst>
            <a:ext uri="{FF2B5EF4-FFF2-40B4-BE49-F238E27FC236}">
              <a16:creationId xmlns:a16="http://schemas.microsoft.com/office/drawing/2014/main" id="{00000000-0008-0000-0C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8" name="Picture 1" descr="TDK CI Mark_blue_RGB_highres">
          <a:extLst>
            <a:ext uri="{FF2B5EF4-FFF2-40B4-BE49-F238E27FC236}">
              <a16:creationId xmlns:a16="http://schemas.microsoft.com/office/drawing/2014/main" id="{00000000-0008-0000-0C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9" name="Picture 1" descr="TDK CI Mark_blue_RGB_highres">
          <a:extLst>
            <a:ext uri="{FF2B5EF4-FFF2-40B4-BE49-F238E27FC236}">
              <a16:creationId xmlns:a16="http://schemas.microsoft.com/office/drawing/2014/main" id="{00000000-0008-0000-0C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0" name="Picture 1" descr="TDK CI Mark_blue_RGB_highres">
          <a:extLst>
            <a:ext uri="{FF2B5EF4-FFF2-40B4-BE49-F238E27FC236}">
              <a16:creationId xmlns:a16="http://schemas.microsoft.com/office/drawing/2014/main" id="{00000000-0008-0000-0C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1" name="Picture 1" descr="TDK CI Mark_blue_RGB_highres">
          <a:extLst>
            <a:ext uri="{FF2B5EF4-FFF2-40B4-BE49-F238E27FC236}">
              <a16:creationId xmlns:a16="http://schemas.microsoft.com/office/drawing/2014/main" id="{00000000-0008-0000-0C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2" name="Picture 1" descr="TDK CI Mark_blue_RGB_highres">
          <a:extLst>
            <a:ext uri="{FF2B5EF4-FFF2-40B4-BE49-F238E27FC236}">
              <a16:creationId xmlns:a16="http://schemas.microsoft.com/office/drawing/2014/main" id="{00000000-0008-0000-0C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3" name="Picture 1" descr="TDK CI Mark_blue_RGB_highres">
          <a:extLst>
            <a:ext uri="{FF2B5EF4-FFF2-40B4-BE49-F238E27FC236}">
              <a16:creationId xmlns:a16="http://schemas.microsoft.com/office/drawing/2014/main" id="{00000000-0008-0000-0C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4" name="Picture 1" descr="TDK CI Mark_blue_RGB_highres">
          <a:extLst>
            <a:ext uri="{FF2B5EF4-FFF2-40B4-BE49-F238E27FC236}">
              <a16:creationId xmlns:a16="http://schemas.microsoft.com/office/drawing/2014/main" id="{00000000-0008-0000-0C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5" name="Picture 1" descr="TDK CI Mark_blue_RGB_highres">
          <a:extLst>
            <a:ext uri="{FF2B5EF4-FFF2-40B4-BE49-F238E27FC236}">
              <a16:creationId xmlns:a16="http://schemas.microsoft.com/office/drawing/2014/main" id="{00000000-0008-0000-0C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6" name="Picture 1" descr="TDK CI Mark_blue_RGB_highres">
          <a:extLst>
            <a:ext uri="{FF2B5EF4-FFF2-40B4-BE49-F238E27FC236}">
              <a16:creationId xmlns:a16="http://schemas.microsoft.com/office/drawing/2014/main" id="{00000000-0008-0000-0C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97" name="Picture 1" descr="TDK CI Mark_blue_RGB_highres">
          <a:extLst>
            <a:ext uri="{FF2B5EF4-FFF2-40B4-BE49-F238E27FC236}">
              <a16:creationId xmlns:a16="http://schemas.microsoft.com/office/drawing/2014/main" id="{00000000-0008-0000-0C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8" name="Picture 66" descr="TDK CI Mark_blue_RGB_highres">
          <a:extLst>
            <a:ext uri="{FF2B5EF4-FFF2-40B4-BE49-F238E27FC236}">
              <a16:creationId xmlns:a16="http://schemas.microsoft.com/office/drawing/2014/main" id="{00000000-0008-0000-0C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9" name="Picture 1" descr="TDK CI Mark_blue_RGB_highres">
          <a:extLst>
            <a:ext uri="{FF2B5EF4-FFF2-40B4-BE49-F238E27FC236}">
              <a16:creationId xmlns:a16="http://schemas.microsoft.com/office/drawing/2014/main" id="{00000000-0008-0000-0C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0" name="Picture 1" descr="TDK CI Mark_blue_RGB_highres">
          <a:extLst>
            <a:ext uri="{FF2B5EF4-FFF2-40B4-BE49-F238E27FC236}">
              <a16:creationId xmlns:a16="http://schemas.microsoft.com/office/drawing/2014/main" id="{00000000-0008-0000-0C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1" name="Picture 1" descr="TDK CI Mark_blue_RGB_highres">
          <a:extLst>
            <a:ext uri="{FF2B5EF4-FFF2-40B4-BE49-F238E27FC236}">
              <a16:creationId xmlns:a16="http://schemas.microsoft.com/office/drawing/2014/main" id="{00000000-0008-0000-0C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2" name="Picture 1" descr="TDK CI Mark_blue_RGB_highres">
          <a:extLst>
            <a:ext uri="{FF2B5EF4-FFF2-40B4-BE49-F238E27FC236}">
              <a16:creationId xmlns:a16="http://schemas.microsoft.com/office/drawing/2014/main" id="{00000000-0008-0000-0C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3" name="Picture 1" descr="TDK CI Mark_blue_RGB_highres">
          <a:extLst>
            <a:ext uri="{FF2B5EF4-FFF2-40B4-BE49-F238E27FC236}">
              <a16:creationId xmlns:a16="http://schemas.microsoft.com/office/drawing/2014/main" id="{00000000-0008-0000-0C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4" name="Picture 1" descr="TDK CI Mark_blue_RGB_highres">
          <a:extLst>
            <a:ext uri="{FF2B5EF4-FFF2-40B4-BE49-F238E27FC236}">
              <a16:creationId xmlns:a16="http://schemas.microsoft.com/office/drawing/2014/main" id="{00000000-0008-0000-0C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5" name="Picture 1" descr="TDK CI Mark_blue_RGB_highres">
          <a:extLst>
            <a:ext uri="{FF2B5EF4-FFF2-40B4-BE49-F238E27FC236}">
              <a16:creationId xmlns:a16="http://schemas.microsoft.com/office/drawing/2014/main" id="{00000000-0008-0000-0C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6" name="Picture 1" descr="TDK CI Mark_blue_RGB_highres">
          <a:extLst>
            <a:ext uri="{FF2B5EF4-FFF2-40B4-BE49-F238E27FC236}">
              <a16:creationId xmlns:a16="http://schemas.microsoft.com/office/drawing/2014/main" id="{00000000-0008-0000-0C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7" name="Picture 1" descr="TDK CI Mark_blue_RGB_highres">
          <a:extLst>
            <a:ext uri="{FF2B5EF4-FFF2-40B4-BE49-F238E27FC236}">
              <a16:creationId xmlns:a16="http://schemas.microsoft.com/office/drawing/2014/main" id="{00000000-0008-0000-0C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308" name="Picture 1" descr="TDK CI Mark_blue_RGB_highres">
          <a:extLst>
            <a:ext uri="{FF2B5EF4-FFF2-40B4-BE49-F238E27FC236}">
              <a16:creationId xmlns:a16="http://schemas.microsoft.com/office/drawing/2014/main" id="{00000000-0008-0000-0C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0" name="Picture 53" descr="TDK CI Mark_blue_RGB_highres">
          <a:extLst>
            <a:ext uri="{FF2B5EF4-FFF2-40B4-BE49-F238E27FC236}">
              <a16:creationId xmlns:a16="http://schemas.microsoft.com/office/drawing/2014/main" id="{00000000-0008-0000-0C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1" name="Picture 1" descr="TDK CI Mark_blue_RGB_highres">
          <a:extLst>
            <a:ext uri="{FF2B5EF4-FFF2-40B4-BE49-F238E27FC236}">
              <a16:creationId xmlns:a16="http://schemas.microsoft.com/office/drawing/2014/main" id="{00000000-0008-0000-0C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2" name="Picture 1" descr="TDK CI Mark_blue_RGB_highres">
          <a:extLst>
            <a:ext uri="{FF2B5EF4-FFF2-40B4-BE49-F238E27FC236}">
              <a16:creationId xmlns:a16="http://schemas.microsoft.com/office/drawing/2014/main" id="{00000000-0008-0000-0C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3" name="Picture 1" descr="TDK CI Mark_blue_RGB_highres">
          <a:extLst>
            <a:ext uri="{FF2B5EF4-FFF2-40B4-BE49-F238E27FC236}">
              <a16:creationId xmlns:a16="http://schemas.microsoft.com/office/drawing/2014/main" id="{00000000-0008-0000-0C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4" name="Picture 1" descr="TDK CI Mark_blue_RGB_highres">
          <a:extLst>
            <a:ext uri="{FF2B5EF4-FFF2-40B4-BE49-F238E27FC236}">
              <a16:creationId xmlns:a16="http://schemas.microsoft.com/office/drawing/2014/main" id="{00000000-0008-0000-0C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5" name="Picture 1" descr="TDK CI Mark_blue_RGB_highres">
          <a:extLst>
            <a:ext uri="{FF2B5EF4-FFF2-40B4-BE49-F238E27FC236}">
              <a16:creationId xmlns:a16="http://schemas.microsoft.com/office/drawing/2014/main" id="{00000000-0008-0000-0C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6" name="Picture 1" descr="TDK CI Mark_blue_RGB_highres">
          <a:extLst>
            <a:ext uri="{FF2B5EF4-FFF2-40B4-BE49-F238E27FC236}">
              <a16:creationId xmlns:a16="http://schemas.microsoft.com/office/drawing/2014/main" id="{00000000-0008-0000-0C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7" name="Picture 1" descr="TDK CI Mark_blue_RGB_highres">
          <a:extLst>
            <a:ext uri="{FF2B5EF4-FFF2-40B4-BE49-F238E27FC236}">
              <a16:creationId xmlns:a16="http://schemas.microsoft.com/office/drawing/2014/main" id="{00000000-0008-0000-0C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8" name="Picture 1" descr="TDK CI Mark_blue_RGB_highres">
          <a:extLst>
            <a:ext uri="{FF2B5EF4-FFF2-40B4-BE49-F238E27FC236}">
              <a16:creationId xmlns:a16="http://schemas.microsoft.com/office/drawing/2014/main" id="{00000000-0008-0000-0C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9" name="Picture 1" descr="TDK CI Mark_blue_RGB_highres">
          <a:extLst>
            <a:ext uri="{FF2B5EF4-FFF2-40B4-BE49-F238E27FC236}">
              <a16:creationId xmlns:a16="http://schemas.microsoft.com/office/drawing/2014/main" id="{00000000-0008-0000-0C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0" name="Picture 66" descr="TDK CI Mark_blue_RGB_highres">
          <a:extLst>
            <a:ext uri="{FF2B5EF4-FFF2-40B4-BE49-F238E27FC236}">
              <a16:creationId xmlns:a16="http://schemas.microsoft.com/office/drawing/2014/main" id="{00000000-0008-0000-0C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1" name="Picture 1" descr="TDK CI Mark_blue_RGB_highres">
          <a:extLst>
            <a:ext uri="{FF2B5EF4-FFF2-40B4-BE49-F238E27FC236}">
              <a16:creationId xmlns:a16="http://schemas.microsoft.com/office/drawing/2014/main" id="{00000000-0008-0000-0C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2" name="Picture 1" descr="TDK CI Mark_blue_RGB_highres">
          <a:extLst>
            <a:ext uri="{FF2B5EF4-FFF2-40B4-BE49-F238E27FC236}">
              <a16:creationId xmlns:a16="http://schemas.microsoft.com/office/drawing/2014/main" id="{00000000-0008-0000-0C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3" name="Picture 1" descr="TDK CI Mark_blue_RGB_highres">
          <a:extLst>
            <a:ext uri="{FF2B5EF4-FFF2-40B4-BE49-F238E27FC236}">
              <a16:creationId xmlns:a16="http://schemas.microsoft.com/office/drawing/2014/main" id="{00000000-0008-0000-0C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4" name="Picture 1" descr="TDK CI Mark_blue_RGB_highres">
          <a:extLst>
            <a:ext uri="{FF2B5EF4-FFF2-40B4-BE49-F238E27FC236}">
              <a16:creationId xmlns:a16="http://schemas.microsoft.com/office/drawing/2014/main" id="{00000000-0008-0000-0C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5" name="Picture 1" descr="TDK CI Mark_blue_RGB_highres">
          <a:extLst>
            <a:ext uri="{FF2B5EF4-FFF2-40B4-BE49-F238E27FC236}">
              <a16:creationId xmlns:a16="http://schemas.microsoft.com/office/drawing/2014/main" id="{00000000-0008-0000-0C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6" name="Picture 1" descr="TDK CI Mark_blue_RGB_highres">
          <a:extLst>
            <a:ext uri="{FF2B5EF4-FFF2-40B4-BE49-F238E27FC236}">
              <a16:creationId xmlns:a16="http://schemas.microsoft.com/office/drawing/2014/main" id="{00000000-0008-0000-0C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7" name="Picture 1" descr="TDK CI Mark_blue_RGB_highres">
          <a:extLst>
            <a:ext uri="{FF2B5EF4-FFF2-40B4-BE49-F238E27FC236}">
              <a16:creationId xmlns:a16="http://schemas.microsoft.com/office/drawing/2014/main" id="{00000000-0008-0000-0C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8" name="Picture 1" descr="TDK CI Mark_blue_RGB_highres">
          <a:extLst>
            <a:ext uri="{FF2B5EF4-FFF2-40B4-BE49-F238E27FC236}">
              <a16:creationId xmlns:a16="http://schemas.microsoft.com/office/drawing/2014/main" id="{00000000-0008-0000-0C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9" name="Picture 1" descr="TDK CI Mark_blue_RGB_highres">
          <a:extLst>
            <a:ext uri="{FF2B5EF4-FFF2-40B4-BE49-F238E27FC236}">
              <a16:creationId xmlns:a16="http://schemas.microsoft.com/office/drawing/2014/main" id="{00000000-0008-0000-0C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30" name="Picture 1" descr="TDK CI Mark_blue_RGB_highres">
          <a:extLst>
            <a:ext uri="{FF2B5EF4-FFF2-40B4-BE49-F238E27FC236}">
              <a16:creationId xmlns:a16="http://schemas.microsoft.com/office/drawing/2014/main" id="{00000000-0008-0000-0C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1" name="Picture 53" descr="TDK CI Mark_blue_RGB_highres">
          <a:extLst>
            <a:ext uri="{FF2B5EF4-FFF2-40B4-BE49-F238E27FC236}">
              <a16:creationId xmlns:a16="http://schemas.microsoft.com/office/drawing/2014/main" id="{00000000-0008-0000-0C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2" name="Picture 1" descr="TDK CI Mark_blue_RGB_highres">
          <a:extLst>
            <a:ext uri="{FF2B5EF4-FFF2-40B4-BE49-F238E27FC236}">
              <a16:creationId xmlns:a16="http://schemas.microsoft.com/office/drawing/2014/main" id="{00000000-0008-0000-0C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3" name="Picture 1" descr="TDK CI Mark_blue_RGB_highres">
          <a:extLst>
            <a:ext uri="{FF2B5EF4-FFF2-40B4-BE49-F238E27FC236}">
              <a16:creationId xmlns:a16="http://schemas.microsoft.com/office/drawing/2014/main" id="{00000000-0008-0000-0C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4" name="Picture 1" descr="TDK CI Mark_blue_RGB_highres">
          <a:extLst>
            <a:ext uri="{FF2B5EF4-FFF2-40B4-BE49-F238E27FC236}">
              <a16:creationId xmlns:a16="http://schemas.microsoft.com/office/drawing/2014/main" id="{00000000-0008-0000-0C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5" name="Picture 1" descr="TDK CI Mark_blue_RGB_highres">
          <a:extLst>
            <a:ext uri="{FF2B5EF4-FFF2-40B4-BE49-F238E27FC236}">
              <a16:creationId xmlns:a16="http://schemas.microsoft.com/office/drawing/2014/main" id="{00000000-0008-0000-0C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6" name="Picture 1" descr="TDK CI Mark_blue_RGB_highres">
          <a:extLst>
            <a:ext uri="{FF2B5EF4-FFF2-40B4-BE49-F238E27FC236}">
              <a16:creationId xmlns:a16="http://schemas.microsoft.com/office/drawing/2014/main" id="{00000000-0008-0000-0C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7" name="Picture 1" descr="TDK CI Mark_blue_RGB_highres">
          <a:extLst>
            <a:ext uri="{FF2B5EF4-FFF2-40B4-BE49-F238E27FC236}">
              <a16:creationId xmlns:a16="http://schemas.microsoft.com/office/drawing/2014/main" id="{00000000-0008-0000-0C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8" name="Picture 1" descr="TDK CI Mark_blue_RGB_highres">
          <a:extLst>
            <a:ext uri="{FF2B5EF4-FFF2-40B4-BE49-F238E27FC236}">
              <a16:creationId xmlns:a16="http://schemas.microsoft.com/office/drawing/2014/main" id="{00000000-0008-0000-0C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9" name="Picture 1" descr="TDK CI Mark_blue_RGB_highres">
          <a:extLst>
            <a:ext uri="{FF2B5EF4-FFF2-40B4-BE49-F238E27FC236}">
              <a16:creationId xmlns:a16="http://schemas.microsoft.com/office/drawing/2014/main" id="{00000000-0008-0000-0C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0" name="Picture 1" descr="TDK CI Mark_blue_RGB_highres">
          <a:extLst>
            <a:ext uri="{FF2B5EF4-FFF2-40B4-BE49-F238E27FC236}">
              <a16:creationId xmlns:a16="http://schemas.microsoft.com/office/drawing/2014/main" id="{00000000-0008-0000-0C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41" name="Picture 1" descr="TDK CI Mark_blue_RGB_highres">
          <a:extLst>
            <a:ext uri="{FF2B5EF4-FFF2-40B4-BE49-F238E27FC236}">
              <a16:creationId xmlns:a16="http://schemas.microsoft.com/office/drawing/2014/main" id="{00000000-0008-0000-0C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2" name="Picture 66" descr="TDK CI Mark_blue_RGB_highres">
          <a:extLst>
            <a:ext uri="{FF2B5EF4-FFF2-40B4-BE49-F238E27FC236}">
              <a16:creationId xmlns:a16="http://schemas.microsoft.com/office/drawing/2014/main" id="{00000000-0008-0000-0C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3" name="Picture 1" descr="TDK CI Mark_blue_RGB_highres">
          <a:extLst>
            <a:ext uri="{FF2B5EF4-FFF2-40B4-BE49-F238E27FC236}">
              <a16:creationId xmlns:a16="http://schemas.microsoft.com/office/drawing/2014/main" id="{00000000-0008-0000-0C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4" name="Picture 1" descr="TDK CI Mark_blue_RGB_highres">
          <a:extLst>
            <a:ext uri="{FF2B5EF4-FFF2-40B4-BE49-F238E27FC236}">
              <a16:creationId xmlns:a16="http://schemas.microsoft.com/office/drawing/2014/main" id="{00000000-0008-0000-0C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5" name="Picture 1" descr="TDK CI Mark_blue_RGB_highres">
          <a:extLst>
            <a:ext uri="{FF2B5EF4-FFF2-40B4-BE49-F238E27FC236}">
              <a16:creationId xmlns:a16="http://schemas.microsoft.com/office/drawing/2014/main" id="{00000000-0008-0000-0C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6" name="Picture 1" descr="TDK CI Mark_blue_RGB_highres">
          <a:extLst>
            <a:ext uri="{FF2B5EF4-FFF2-40B4-BE49-F238E27FC236}">
              <a16:creationId xmlns:a16="http://schemas.microsoft.com/office/drawing/2014/main" id="{00000000-0008-0000-0C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7" name="Picture 1" descr="TDK CI Mark_blue_RGB_highres">
          <a:extLst>
            <a:ext uri="{FF2B5EF4-FFF2-40B4-BE49-F238E27FC236}">
              <a16:creationId xmlns:a16="http://schemas.microsoft.com/office/drawing/2014/main" id="{00000000-0008-0000-0C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8" name="Picture 1" descr="TDK CI Mark_blue_RGB_highres">
          <a:extLst>
            <a:ext uri="{FF2B5EF4-FFF2-40B4-BE49-F238E27FC236}">
              <a16:creationId xmlns:a16="http://schemas.microsoft.com/office/drawing/2014/main" id="{00000000-0008-0000-0C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9" name="Picture 1" descr="TDK CI Mark_blue_RGB_highres">
          <a:extLst>
            <a:ext uri="{FF2B5EF4-FFF2-40B4-BE49-F238E27FC236}">
              <a16:creationId xmlns:a16="http://schemas.microsoft.com/office/drawing/2014/main" id="{00000000-0008-0000-0C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0" name="Picture 1" descr="TDK CI Mark_blue_RGB_highres">
          <a:extLst>
            <a:ext uri="{FF2B5EF4-FFF2-40B4-BE49-F238E27FC236}">
              <a16:creationId xmlns:a16="http://schemas.microsoft.com/office/drawing/2014/main" id="{00000000-0008-0000-0C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1" name="Picture 1" descr="TDK CI Mark_blue_RGB_highres">
          <a:extLst>
            <a:ext uri="{FF2B5EF4-FFF2-40B4-BE49-F238E27FC236}">
              <a16:creationId xmlns:a16="http://schemas.microsoft.com/office/drawing/2014/main" id="{00000000-0008-0000-0C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52" name="Picture 1" descr="TDK CI Mark_blue_RGB_highres">
          <a:extLst>
            <a:ext uri="{FF2B5EF4-FFF2-40B4-BE49-F238E27FC236}">
              <a16:creationId xmlns:a16="http://schemas.microsoft.com/office/drawing/2014/main" id="{00000000-0008-0000-0C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4" name="Picture 53" descr="TDK CI Mark_blue_RGB_highres">
          <a:extLst>
            <a:ext uri="{FF2B5EF4-FFF2-40B4-BE49-F238E27FC236}">
              <a16:creationId xmlns:a16="http://schemas.microsoft.com/office/drawing/2014/main" id="{00000000-0008-0000-0C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5" name="Picture 1" descr="TDK CI Mark_blue_RGB_highres">
          <a:extLst>
            <a:ext uri="{FF2B5EF4-FFF2-40B4-BE49-F238E27FC236}">
              <a16:creationId xmlns:a16="http://schemas.microsoft.com/office/drawing/2014/main" id="{00000000-0008-0000-0C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6" name="Picture 1" descr="TDK CI Mark_blue_RGB_highres">
          <a:extLst>
            <a:ext uri="{FF2B5EF4-FFF2-40B4-BE49-F238E27FC236}">
              <a16:creationId xmlns:a16="http://schemas.microsoft.com/office/drawing/2014/main" id="{00000000-0008-0000-0C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7" name="Picture 1" descr="TDK CI Mark_blue_RGB_highres">
          <a:extLst>
            <a:ext uri="{FF2B5EF4-FFF2-40B4-BE49-F238E27FC236}">
              <a16:creationId xmlns:a16="http://schemas.microsoft.com/office/drawing/2014/main" id="{00000000-0008-0000-0C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8" name="Picture 1" descr="TDK CI Mark_blue_RGB_highres">
          <a:extLst>
            <a:ext uri="{FF2B5EF4-FFF2-40B4-BE49-F238E27FC236}">
              <a16:creationId xmlns:a16="http://schemas.microsoft.com/office/drawing/2014/main" id="{00000000-0008-0000-0C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9" name="Picture 1" descr="TDK CI Mark_blue_RGB_highres">
          <a:extLst>
            <a:ext uri="{FF2B5EF4-FFF2-40B4-BE49-F238E27FC236}">
              <a16:creationId xmlns:a16="http://schemas.microsoft.com/office/drawing/2014/main" id="{00000000-0008-0000-0C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0" name="Picture 1" descr="TDK CI Mark_blue_RGB_highres">
          <a:extLst>
            <a:ext uri="{FF2B5EF4-FFF2-40B4-BE49-F238E27FC236}">
              <a16:creationId xmlns:a16="http://schemas.microsoft.com/office/drawing/2014/main" id="{00000000-0008-0000-0C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1" name="Picture 1" descr="TDK CI Mark_blue_RGB_highres">
          <a:extLst>
            <a:ext uri="{FF2B5EF4-FFF2-40B4-BE49-F238E27FC236}">
              <a16:creationId xmlns:a16="http://schemas.microsoft.com/office/drawing/2014/main" id="{00000000-0008-0000-0C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2" name="Picture 1" descr="TDK CI Mark_blue_RGB_highres">
          <a:extLst>
            <a:ext uri="{FF2B5EF4-FFF2-40B4-BE49-F238E27FC236}">
              <a16:creationId xmlns:a16="http://schemas.microsoft.com/office/drawing/2014/main" id="{00000000-0008-0000-0C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3" name="Picture 1" descr="TDK CI Mark_blue_RGB_highres">
          <a:extLst>
            <a:ext uri="{FF2B5EF4-FFF2-40B4-BE49-F238E27FC236}">
              <a16:creationId xmlns:a16="http://schemas.microsoft.com/office/drawing/2014/main" id="{00000000-0008-0000-0C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4" name="Picture 66" descr="TDK CI Mark_blue_RGB_highres">
          <a:extLst>
            <a:ext uri="{FF2B5EF4-FFF2-40B4-BE49-F238E27FC236}">
              <a16:creationId xmlns:a16="http://schemas.microsoft.com/office/drawing/2014/main" id="{00000000-0008-0000-0C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5" name="Picture 1" descr="TDK CI Mark_blue_RGB_highres">
          <a:extLst>
            <a:ext uri="{FF2B5EF4-FFF2-40B4-BE49-F238E27FC236}">
              <a16:creationId xmlns:a16="http://schemas.microsoft.com/office/drawing/2014/main" id="{00000000-0008-0000-0C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6" name="Picture 1" descr="TDK CI Mark_blue_RGB_highres">
          <a:extLst>
            <a:ext uri="{FF2B5EF4-FFF2-40B4-BE49-F238E27FC236}">
              <a16:creationId xmlns:a16="http://schemas.microsoft.com/office/drawing/2014/main" id="{00000000-0008-0000-0C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7" name="Picture 1" descr="TDK CI Mark_blue_RGB_highres">
          <a:extLst>
            <a:ext uri="{FF2B5EF4-FFF2-40B4-BE49-F238E27FC236}">
              <a16:creationId xmlns:a16="http://schemas.microsoft.com/office/drawing/2014/main" id="{00000000-0008-0000-0C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8" name="Picture 1" descr="TDK CI Mark_blue_RGB_highres">
          <a:extLst>
            <a:ext uri="{FF2B5EF4-FFF2-40B4-BE49-F238E27FC236}">
              <a16:creationId xmlns:a16="http://schemas.microsoft.com/office/drawing/2014/main" id="{00000000-0008-0000-0C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9" name="Picture 1" descr="TDK CI Mark_blue_RGB_highres">
          <a:extLst>
            <a:ext uri="{FF2B5EF4-FFF2-40B4-BE49-F238E27FC236}">
              <a16:creationId xmlns:a16="http://schemas.microsoft.com/office/drawing/2014/main" id="{00000000-0008-0000-0C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0" name="Picture 1" descr="TDK CI Mark_blue_RGB_highres">
          <a:extLst>
            <a:ext uri="{FF2B5EF4-FFF2-40B4-BE49-F238E27FC236}">
              <a16:creationId xmlns:a16="http://schemas.microsoft.com/office/drawing/2014/main" id="{00000000-0008-0000-0C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1" name="Picture 1" descr="TDK CI Mark_blue_RGB_highres">
          <a:extLst>
            <a:ext uri="{FF2B5EF4-FFF2-40B4-BE49-F238E27FC236}">
              <a16:creationId xmlns:a16="http://schemas.microsoft.com/office/drawing/2014/main" id="{00000000-0008-0000-0C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2" name="Picture 1" descr="TDK CI Mark_blue_RGB_highres">
          <a:extLst>
            <a:ext uri="{FF2B5EF4-FFF2-40B4-BE49-F238E27FC236}">
              <a16:creationId xmlns:a16="http://schemas.microsoft.com/office/drawing/2014/main" id="{00000000-0008-0000-0C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3" name="Picture 1" descr="TDK CI Mark_blue_RGB_highres">
          <a:extLst>
            <a:ext uri="{FF2B5EF4-FFF2-40B4-BE49-F238E27FC236}">
              <a16:creationId xmlns:a16="http://schemas.microsoft.com/office/drawing/2014/main" id="{00000000-0008-0000-0C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74" name="Picture 1" descr="TDK CI Mark_blue_RGB_highres">
          <a:extLst>
            <a:ext uri="{FF2B5EF4-FFF2-40B4-BE49-F238E27FC236}">
              <a16:creationId xmlns:a16="http://schemas.microsoft.com/office/drawing/2014/main" id="{00000000-0008-0000-0C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5" name="Picture 53" descr="TDK CI Mark_blue_RGB_highres">
          <a:extLst>
            <a:ext uri="{FF2B5EF4-FFF2-40B4-BE49-F238E27FC236}">
              <a16:creationId xmlns:a16="http://schemas.microsoft.com/office/drawing/2014/main" id="{00000000-0008-0000-0C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6" name="Picture 1" descr="TDK CI Mark_blue_RGB_highres">
          <a:extLst>
            <a:ext uri="{FF2B5EF4-FFF2-40B4-BE49-F238E27FC236}">
              <a16:creationId xmlns:a16="http://schemas.microsoft.com/office/drawing/2014/main" id="{00000000-0008-0000-0C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7" name="Picture 1" descr="TDK CI Mark_blue_RGB_highres">
          <a:extLst>
            <a:ext uri="{FF2B5EF4-FFF2-40B4-BE49-F238E27FC236}">
              <a16:creationId xmlns:a16="http://schemas.microsoft.com/office/drawing/2014/main" id="{00000000-0008-0000-0C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8" name="Picture 1" descr="TDK CI Mark_blue_RGB_highres">
          <a:extLst>
            <a:ext uri="{FF2B5EF4-FFF2-40B4-BE49-F238E27FC236}">
              <a16:creationId xmlns:a16="http://schemas.microsoft.com/office/drawing/2014/main" id="{00000000-0008-0000-0C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9" name="Picture 1" descr="TDK CI Mark_blue_RGB_highres">
          <a:extLst>
            <a:ext uri="{FF2B5EF4-FFF2-40B4-BE49-F238E27FC236}">
              <a16:creationId xmlns:a16="http://schemas.microsoft.com/office/drawing/2014/main" id="{00000000-0008-0000-0C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0" name="Picture 1" descr="TDK CI Mark_blue_RGB_highres">
          <a:extLst>
            <a:ext uri="{FF2B5EF4-FFF2-40B4-BE49-F238E27FC236}">
              <a16:creationId xmlns:a16="http://schemas.microsoft.com/office/drawing/2014/main" id="{00000000-0008-0000-0C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1" name="Picture 1" descr="TDK CI Mark_blue_RGB_highres">
          <a:extLst>
            <a:ext uri="{FF2B5EF4-FFF2-40B4-BE49-F238E27FC236}">
              <a16:creationId xmlns:a16="http://schemas.microsoft.com/office/drawing/2014/main" id="{00000000-0008-0000-0C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2" name="Picture 1" descr="TDK CI Mark_blue_RGB_highres">
          <a:extLst>
            <a:ext uri="{FF2B5EF4-FFF2-40B4-BE49-F238E27FC236}">
              <a16:creationId xmlns:a16="http://schemas.microsoft.com/office/drawing/2014/main" id="{00000000-0008-0000-0C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3" name="Picture 1" descr="TDK CI Mark_blue_RGB_highres">
          <a:extLst>
            <a:ext uri="{FF2B5EF4-FFF2-40B4-BE49-F238E27FC236}">
              <a16:creationId xmlns:a16="http://schemas.microsoft.com/office/drawing/2014/main" id="{00000000-0008-0000-0C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4" name="Picture 1" descr="TDK CI Mark_blue_RGB_highres">
          <a:extLst>
            <a:ext uri="{FF2B5EF4-FFF2-40B4-BE49-F238E27FC236}">
              <a16:creationId xmlns:a16="http://schemas.microsoft.com/office/drawing/2014/main" id="{00000000-0008-0000-0C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85" name="Picture 1" descr="TDK CI Mark_blue_RGB_highres">
          <a:extLst>
            <a:ext uri="{FF2B5EF4-FFF2-40B4-BE49-F238E27FC236}">
              <a16:creationId xmlns:a16="http://schemas.microsoft.com/office/drawing/2014/main" id="{00000000-0008-0000-0C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6" name="Picture 66" descr="TDK CI Mark_blue_RGB_highres">
          <a:extLst>
            <a:ext uri="{FF2B5EF4-FFF2-40B4-BE49-F238E27FC236}">
              <a16:creationId xmlns:a16="http://schemas.microsoft.com/office/drawing/2014/main" id="{00000000-0008-0000-0C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7" name="Picture 1" descr="TDK CI Mark_blue_RGB_highres">
          <a:extLst>
            <a:ext uri="{FF2B5EF4-FFF2-40B4-BE49-F238E27FC236}">
              <a16:creationId xmlns:a16="http://schemas.microsoft.com/office/drawing/2014/main" id="{00000000-0008-0000-0C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8" name="Picture 1" descr="TDK CI Mark_blue_RGB_highres">
          <a:extLst>
            <a:ext uri="{FF2B5EF4-FFF2-40B4-BE49-F238E27FC236}">
              <a16:creationId xmlns:a16="http://schemas.microsoft.com/office/drawing/2014/main" id="{00000000-0008-0000-0C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9" name="Picture 1" descr="TDK CI Mark_blue_RGB_highres">
          <a:extLst>
            <a:ext uri="{FF2B5EF4-FFF2-40B4-BE49-F238E27FC236}">
              <a16:creationId xmlns:a16="http://schemas.microsoft.com/office/drawing/2014/main" id="{00000000-0008-0000-0C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0" name="Picture 1" descr="TDK CI Mark_blue_RGB_highres">
          <a:extLst>
            <a:ext uri="{FF2B5EF4-FFF2-40B4-BE49-F238E27FC236}">
              <a16:creationId xmlns:a16="http://schemas.microsoft.com/office/drawing/2014/main" id="{00000000-0008-0000-0C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1" name="Picture 1" descr="TDK CI Mark_blue_RGB_highres">
          <a:extLst>
            <a:ext uri="{FF2B5EF4-FFF2-40B4-BE49-F238E27FC236}">
              <a16:creationId xmlns:a16="http://schemas.microsoft.com/office/drawing/2014/main" id="{00000000-0008-0000-0C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2" name="Picture 1" descr="TDK CI Mark_blue_RGB_highres">
          <a:extLst>
            <a:ext uri="{FF2B5EF4-FFF2-40B4-BE49-F238E27FC236}">
              <a16:creationId xmlns:a16="http://schemas.microsoft.com/office/drawing/2014/main" id="{00000000-0008-0000-0C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3" name="Picture 1" descr="TDK CI Mark_blue_RGB_highres">
          <a:extLst>
            <a:ext uri="{FF2B5EF4-FFF2-40B4-BE49-F238E27FC236}">
              <a16:creationId xmlns:a16="http://schemas.microsoft.com/office/drawing/2014/main" id="{00000000-0008-0000-0C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4" name="Picture 1" descr="TDK CI Mark_blue_RGB_highres">
          <a:extLst>
            <a:ext uri="{FF2B5EF4-FFF2-40B4-BE49-F238E27FC236}">
              <a16:creationId xmlns:a16="http://schemas.microsoft.com/office/drawing/2014/main" id="{00000000-0008-0000-0C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5" name="Picture 1" descr="TDK CI Mark_blue_RGB_highres">
          <a:extLst>
            <a:ext uri="{FF2B5EF4-FFF2-40B4-BE49-F238E27FC236}">
              <a16:creationId xmlns:a16="http://schemas.microsoft.com/office/drawing/2014/main" id="{00000000-0008-0000-0C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96" name="Picture 1" descr="TDK CI Mark_blue_RGB_highres">
          <a:extLst>
            <a:ext uri="{FF2B5EF4-FFF2-40B4-BE49-F238E27FC236}">
              <a16:creationId xmlns:a16="http://schemas.microsoft.com/office/drawing/2014/main" id="{00000000-0008-0000-0C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7" name="Picture 53" descr="TDK CI Mark_blue_RGB_highres">
          <a:extLst>
            <a:ext uri="{FF2B5EF4-FFF2-40B4-BE49-F238E27FC236}">
              <a16:creationId xmlns:a16="http://schemas.microsoft.com/office/drawing/2014/main" id="{00000000-0008-0000-0C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8" name="Picture 1" descr="TDK CI Mark_blue_RGB_highres">
          <a:extLst>
            <a:ext uri="{FF2B5EF4-FFF2-40B4-BE49-F238E27FC236}">
              <a16:creationId xmlns:a16="http://schemas.microsoft.com/office/drawing/2014/main" id="{00000000-0008-0000-0C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9" name="Picture 1" descr="TDK CI Mark_blue_RGB_highres">
          <a:extLst>
            <a:ext uri="{FF2B5EF4-FFF2-40B4-BE49-F238E27FC236}">
              <a16:creationId xmlns:a16="http://schemas.microsoft.com/office/drawing/2014/main" id="{00000000-0008-0000-0C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0" name="Picture 1" descr="TDK CI Mark_blue_RGB_highres">
          <a:extLst>
            <a:ext uri="{FF2B5EF4-FFF2-40B4-BE49-F238E27FC236}">
              <a16:creationId xmlns:a16="http://schemas.microsoft.com/office/drawing/2014/main" id="{00000000-0008-0000-0C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1" name="Picture 1" descr="TDK CI Mark_blue_RGB_highres">
          <a:extLst>
            <a:ext uri="{FF2B5EF4-FFF2-40B4-BE49-F238E27FC236}">
              <a16:creationId xmlns:a16="http://schemas.microsoft.com/office/drawing/2014/main" id="{00000000-0008-0000-0C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2" name="Picture 1" descr="TDK CI Mark_blue_RGB_highres">
          <a:extLst>
            <a:ext uri="{FF2B5EF4-FFF2-40B4-BE49-F238E27FC236}">
              <a16:creationId xmlns:a16="http://schemas.microsoft.com/office/drawing/2014/main" id="{00000000-0008-0000-0C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3" name="Picture 1" descr="TDK CI Mark_blue_RGB_highres">
          <a:extLst>
            <a:ext uri="{FF2B5EF4-FFF2-40B4-BE49-F238E27FC236}">
              <a16:creationId xmlns:a16="http://schemas.microsoft.com/office/drawing/2014/main" id="{00000000-0008-0000-0C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4" name="Picture 1" descr="TDK CI Mark_blue_RGB_highres">
          <a:extLst>
            <a:ext uri="{FF2B5EF4-FFF2-40B4-BE49-F238E27FC236}">
              <a16:creationId xmlns:a16="http://schemas.microsoft.com/office/drawing/2014/main" id="{00000000-0008-0000-0C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5" name="Picture 1" descr="TDK CI Mark_blue_RGB_highres">
          <a:extLst>
            <a:ext uri="{FF2B5EF4-FFF2-40B4-BE49-F238E27FC236}">
              <a16:creationId xmlns:a16="http://schemas.microsoft.com/office/drawing/2014/main" id="{00000000-0008-0000-0C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6" name="Picture 1" descr="TDK CI Mark_blue_RGB_highres">
          <a:extLst>
            <a:ext uri="{FF2B5EF4-FFF2-40B4-BE49-F238E27FC236}">
              <a16:creationId xmlns:a16="http://schemas.microsoft.com/office/drawing/2014/main" id="{00000000-0008-0000-0C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7" name="Picture 66" descr="TDK CI Mark_blue_RGB_highres">
          <a:extLst>
            <a:ext uri="{FF2B5EF4-FFF2-40B4-BE49-F238E27FC236}">
              <a16:creationId xmlns:a16="http://schemas.microsoft.com/office/drawing/2014/main" id="{00000000-0008-0000-0C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8" name="Picture 1" descr="TDK CI Mark_blue_RGB_highres">
          <a:extLst>
            <a:ext uri="{FF2B5EF4-FFF2-40B4-BE49-F238E27FC236}">
              <a16:creationId xmlns:a16="http://schemas.microsoft.com/office/drawing/2014/main" id="{00000000-0008-0000-0C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9" name="Picture 1" descr="TDK CI Mark_blue_RGB_highres">
          <a:extLst>
            <a:ext uri="{FF2B5EF4-FFF2-40B4-BE49-F238E27FC236}">
              <a16:creationId xmlns:a16="http://schemas.microsoft.com/office/drawing/2014/main" id="{00000000-0008-0000-0C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0" name="Picture 1" descr="TDK CI Mark_blue_RGB_highres">
          <a:extLst>
            <a:ext uri="{FF2B5EF4-FFF2-40B4-BE49-F238E27FC236}">
              <a16:creationId xmlns:a16="http://schemas.microsoft.com/office/drawing/2014/main" id="{00000000-0008-0000-0C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1" name="Picture 1" descr="TDK CI Mark_blue_RGB_highres">
          <a:extLst>
            <a:ext uri="{FF2B5EF4-FFF2-40B4-BE49-F238E27FC236}">
              <a16:creationId xmlns:a16="http://schemas.microsoft.com/office/drawing/2014/main" id="{00000000-0008-0000-0C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2" name="Picture 1" descr="TDK CI Mark_blue_RGB_highres">
          <a:extLst>
            <a:ext uri="{FF2B5EF4-FFF2-40B4-BE49-F238E27FC236}">
              <a16:creationId xmlns:a16="http://schemas.microsoft.com/office/drawing/2014/main" id="{00000000-0008-0000-0C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3" name="Picture 1" descr="TDK CI Mark_blue_RGB_highres">
          <a:extLst>
            <a:ext uri="{FF2B5EF4-FFF2-40B4-BE49-F238E27FC236}">
              <a16:creationId xmlns:a16="http://schemas.microsoft.com/office/drawing/2014/main" id="{00000000-0008-0000-0C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4" name="Picture 1" descr="TDK CI Mark_blue_RGB_highres">
          <a:extLst>
            <a:ext uri="{FF2B5EF4-FFF2-40B4-BE49-F238E27FC236}">
              <a16:creationId xmlns:a16="http://schemas.microsoft.com/office/drawing/2014/main" id="{00000000-0008-0000-0C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5" name="Picture 1" descr="TDK CI Mark_blue_RGB_highres">
          <a:extLst>
            <a:ext uri="{FF2B5EF4-FFF2-40B4-BE49-F238E27FC236}">
              <a16:creationId xmlns:a16="http://schemas.microsoft.com/office/drawing/2014/main" id="{00000000-0008-0000-0C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6" name="Picture 1" descr="TDK CI Mark_blue_RGB_highres">
          <a:extLst>
            <a:ext uri="{FF2B5EF4-FFF2-40B4-BE49-F238E27FC236}">
              <a16:creationId xmlns:a16="http://schemas.microsoft.com/office/drawing/2014/main" id="{00000000-0008-0000-0C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17" name="Picture 1" descr="TDK CI Mark_blue_RGB_highres">
          <a:extLst>
            <a:ext uri="{FF2B5EF4-FFF2-40B4-BE49-F238E27FC236}">
              <a16:creationId xmlns:a16="http://schemas.microsoft.com/office/drawing/2014/main" id="{00000000-0008-0000-0C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8" name="Picture 53" descr="TDK CI Mark_blue_RGB_highres">
          <a:extLst>
            <a:ext uri="{FF2B5EF4-FFF2-40B4-BE49-F238E27FC236}">
              <a16:creationId xmlns:a16="http://schemas.microsoft.com/office/drawing/2014/main" id="{00000000-0008-0000-0C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9" name="Picture 1" descr="TDK CI Mark_blue_RGB_highres">
          <a:extLst>
            <a:ext uri="{FF2B5EF4-FFF2-40B4-BE49-F238E27FC236}">
              <a16:creationId xmlns:a16="http://schemas.microsoft.com/office/drawing/2014/main" id="{00000000-0008-0000-0C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0" name="Picture 1" descr="TDK CI Mark_blue_RGB_highres">
          <a:extLst>
            <a:ext uri="{FF2B5EF4-FFF2-40B4-BE49-F238E27FC236}">
              <a16:creationId xmlns:a16="http://schemas.microsoft.com/office/drawing/2014/main" id="{00000000-0008-0000-0C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1" name="Picture 1" descr="TDK CI Mark_blue_RGB_highres">
          <a:extLst>
            <a:ext uri="{FF2B5EF4-FFF2-40B4-BE49-F238E27FC236}">
              <a16:creationId xmlns:a16="http://schemas.microsoft.com/office/drawing/2014/main" id="{00000000-0008-0000-0C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2" name="Picture 1" descr="TDK CI Mark_blue_RGB_highres">
          <a:extLst>
            <a:ext uri="{FF2B5EF4-FFF2-40B4-BE49-F238E27FC236}">
              <a16:creationId xmlns:a16="http://schemas.microsoft.com/office/drawing/2014/main" id="{00000000-0008-0000-0C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3" name="Picture 1" descr="TDK CI Mark_blue_RGB_highres">
          <a:extLst>
            <a:ext uri="{FF2B5EF4-FFF2-40B4-BE49-F238E27FC236}">
              <a16:creationId xmlns:a16="http://schemas.microsoft.com/office/drawing/2014/main" id="{00000000-0008-0000-0C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4" name="Picture 1" descr="TDK CI Mark_blue_RGB_highres">
          <a:extLst>
            <a:ext uri="{FF2B5EF4-FFF2-40B4-BE49-F238E27FC236}">
              <a16:creationId xmlns:a16="http://schemas.microsoft.com/office/drawing/2014/main" id="{00000000-0008-0000-0C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5" name="Picture 1" descr="TDK CI Mark_blue_RGB_highres">
          <a:extLst>
            <a:ext uri="{FF2B5EF4-FFF2-40B4-BE49-F238E27FC236}">
              <a16:creationId xmlns:a16="http://schemas.microsoft.com/office/drawing/2014/main" id="{00000000-0008-0000-0C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6" name="Picture 1" descr="TDK CI Mark_blue_RGB_highres">
          <a:extLst>
            <a:ext uri="{FF2B5EF4-FFF2-40B4-BE49-F238E27FC236}">
              <a16:creationId xmlns:a16="http://schemas.microsoft.com/office/drawing/2014/main" id="{00000000-0008-0000-0C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7" name="Picture 1" descr="TDK CI Mark_blue_RGB_highres">
          <a:extLst>
            <a:ext uri="{FF2B5EF4-FFF2-40B4-BE49-F238E27FC236}">
              <a16:creationId xmlns:a16="http://schemas.microsoft.com/office/drawing/2014/main" id="{00000000-0008-0000-0C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28" name="Picture 1" descr="TDK CI Mark_blue_RGB_highres">
          <a:extLst>
            <a:ext uri="{FF2B5EF4-FFF2-40B4-BE49-F238E27FC236}">
              <a16:creationId xmlns:a16="http://schemas.microsoft.com/office/drawing/2014/main" id="{00000000-0008-0000-0C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9" name="Picture 66" descr="TDK CI Mark_blue_RGB_highres">
          <a:extLst>
            <a:ext uri="{FF2B5EF4-FFF2-40B4-BE49-F238E27FC236}">
              <a16:creationId xmlns:a16="http://schemas.microsoft.com/office/drawing/2014/main" id="{00000000-0008-0000-0C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0" name="Picture 1" descr="TDK CI Mark_blue_RGB_highres">
          <a:extLst>
            <a:ext uri="{FF2B5EF4-FFF2-40B4-BE49-F238E27FC236}">
              <a16:creationId xmlns:a16="http://schemas.microsoft.com/office/drawing/2014/main" id="{00000000-0008-0000-0C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1" name="Picture 1" descr="TDK CI Mark_blue_RGB_highres">
          <a:extLst>
            <a:ext uri="{FF2B5EF4-FFF2-40B4-BE49-F238E27FC236}">
              <a16:creationId xmlns:a16="http://schemas.microsoft.com/office/drawing/2014/main" id="{00000000-0008-0000-0C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2" name="Picture 1" descr="TDK CI Mark_blue_RGB_highres">
          <a:extLst>
            <a:ext uri="{FF2B5EF4-FFF2-40B4-BE49-F238E27FC236}">
              <a16:creationId xmlns:a16="http://schemas.microsoft.com/office/drawing/2014/main" id="{00000000-0008-0000-0C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3" name="Picture 1" descr="TDK CI Mark_blue_RGB_highres">
          <a:extLst>
            <a:ext uri="{FF2B5EF4-FFF2-40B4-BE49-F238E27FC236}">
              <a16:creationId xmlns:a16="http://schemas.microsoft.com/office/drawing/2014/main" id="{00000000-0008-0000-0C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4" name="Picture 1" descr="TDK CI Mark_blue_RGB_highres">
          <a:extLst>
            <a:ext uri="{FF2B5EF4-FFF2-40B4-BE49-F238E27FC236}">
              <a16:creationId xmlns:a16="http://schemas.microsoft.com/office/drawing/2014/main" id="{00000000-0008-0000-0C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5" name="Picture 1" descr="TDK CI Mark_blue_RGB_highres">
          <a:extLst>
            <a:ext uri="{FF2B5EF4-FFF2-40B4-BE49-F238E27FC236}">
              <a16:creationId xmlns:a16="http://schemas.microsoft.com/office/drawing/2014/main" id="{00000000-0008-0000-0C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6" name="Picture 1" descr="TDK CI Mark_blue_RGB_highres">
          <a:extLst>
            <a:ext uri="{FF2B5EF4-FFF2-40B4-BE49-F238E27FC236}">
              <a16:creationId xmlns:a16="http://schemas.microsoft.com/office/drawing/2014/main" id="{00000000-0008-0000-0C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7" name="Picture 1" descr="TDK CI Mark_blue_RGB_highres">
          <a:extLst>
            <a:ext uri="{FF2B5EF4-FFF2-40B4-BE49-F238E27FC236}">
              <a16:creationId xmlns:a16="http://schemas.microsoft.com/office/drawing/2014/main" id="{00000000-0008-0000-0C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8" name="Picture 1" descr="TDK CI Mark_blue_RGB_highres">
          <a:extLst>
            <a:ext uri="{FF2B5EF4-FFF2-40B4-BE49-F238E27FC236}">
              <a16:creationId xmlns:a16="http://schemas.microsoft.com/office/drawing/2014/main" id="{00000000-0008-0000-0C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39" name="Picture 1" descr="TDK CI Mark_blue_RGB_highres">
          <a:extLst>
            <a:ext uri="{FF2B5EF4-FFF2-40B4-BE49-F238E27FC236}">
              <a16:creationId xmlns:a16="http://schemas.microsoft.com/office/drawing/2014/main" id="{00000000-0008-0000-0C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0" name="Picture 53" descr="TDK CI Mark_blue_RGB_highres">
          <a:extLst>
            <a:ext uri="{FF2B5EF4-FFF2-40B4-BE49-F238E27FC236}">
              <a16:creationId xmlns:a16="http://schemas.microsoft.com/office/drawing/2014/main" id="{00000000-0008-0000-0C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1" name="Picture 1" descr="TDK CI Mark_blue_RGB_highres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2" name="Picture 1" descr="TDK CI Mark_blue_RGB_highres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3" name="Picture 1" descr="TDK CI Mark_blue_RGB_highres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4" name="Picture 1" descr="TDK CI Mark_blue_RGB_highres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5" name="Picture 1" descr="TDK CI Mark_blue_RGB_highres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6" name="Picture 1" descr="TDK CI Mark_blue_RGB_highres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7" name="Picture 1" descr="TDK CI Mark_blue_RGB_highres">
          <a:extLst>
            <a:ext uri="{FF2B5EF4-FFF2-40B4-BE49-F238E27FC236}">
              <a16:creationId xmlns:a16="http://schemas.microsoft.com/office/drawing/2014/main" id="{00000000-0008-0000-0C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8" name="Picture 1" descr="TDK CI Mark_blue_RGB_highres">
          <a:extLst>
            <a:ext uri="{FF2B5EF4-FFF2-40B4-BE49-F238E27FC236}">
              <a16:creationId xmlns:a16="http://schemas.microsoft.com/office/drawing/2014/main" id="{00000000-0008-0000-0C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9" name="Picture 1" descr="TDK CI Mark_blue_RGB_highres">
          <a:extLst>
            <a:ext uri="{FF2B5EF4-FFF2-40B4-BE49-F238E27FC236}">
              <a16:creationId xmlns:a16="http://schemas.microsoft.com/office/drawing/2014/main" id="{00000000-0008-0000-0C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0" name="Picture 66" descr="TDK CI Mark_blue_RGB_highres">
          <a:extLst>
            <a:ext uri="{FF2B5EF4-FFF2-40B4-BE49-F238E27FC236}">
              <a16:creationId xmlns:a16="http://schemas.microsoft.com/office/drawing/2014/main" id="{00000000-0008-0000-0C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1" name="Picture 1" descr="TDK CI Mark_blue_RGB_highres">
          <a:extLst>
            <a:ext uri="{FF2B5EF4-FFF2-40B4-BE49-F238E27FC236}">
              <a16:creationId xmlns:a16="http://schemas.microsoft.com/office/drawing/2014/main" id="{00000000-0008-0000-0C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2" name="Picture 1" descr="TDK CI Mark_blue_RGB_highres">
          <a:extLst>
            <a:ext uri="{FF2B5EF4-FFF2-40B4-BE49-F238E27FC236}">
              <a16:creationId xmlns:a16="http://schemas.microsoft.com/office/drawing/2014/main" id="{00000000-0008-0000-0C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3" name="Picture 1" descr="TDK CI Mark_blue_RGB_highres">
          <a:extLst>
            <a:ext uri="{FF2B5EF4-FFF2-40B4-BE49-F238E27FC236}">
              <a16:creationId xmlns:a16="http://schemas.microsoft.com/office/drawing/2014/main" id="{00000000-0008-0000-0C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4" name="Picture 1" descr="TDK CI Mark_blue_RGB_highres">
          <a:extLst>
            <a:ext uri="{FF2B5EF4-FFF2-40B4-BE49-F238E27FC236}">
              <a16:creationId xmlns:a16="http://schemas.microsoft.com/office/drawing/2014/main" id="{00000000-0008-0000-0C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5" name="Picture 1" descr="TDK CI Mark_blue_RGB_highres">
          <a:extLst>
            <a:ext uri="{FF2B5EF4-FFF2-40B4-BE49-F238E27FC236}">
              <a16:creationId xmlns:a16="http://schemas.microsoft.com/office/drawing/2014/main" id="{00000000-0008-0000-0C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6" name="Picture 1" descr="TDK CI Mark_blue_RGB_highres">
          <a:extLst>
            <a:ext uri="{FF2B5EF4-FFF2-40B4-BE49-F238E27FC236}">
              <a16:creationId xmlns:a16="http://schemas.microsoft.com/office/drawing/2014/main" id="{00000000-0008-0000-0C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7" name="Picture 1" descr="TDK CI Mark_blue_RGB_highres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8" name="Picture 1" descr="TDK CI Mark_blue_RGB_highres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9" name="Picture 1" descr="TDK CI Mark_blue_RGB_highres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60" name="Picture 1" descr="TDK CI Mark_blue_RGB_highres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1" name="Picture 53" descr="TDK CI Mark_blue_RGB_highres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2" name="Picture 1" descr="TDK CI Mark_blue_RGB_highres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3" name="Picture 1" descr="TDK CI Mark_blue_RGB_highres">
          <a:extLst>
            <a:ext uri="{FF2B5EF4-FFF2-40B4-BE49-F238E27FC236}">
              <a16:creationId xmlns:a16="http://schemas.microsoft.com/office/drawing/2014/main" id="{00000000-0008-0000-0C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4" name="Picture 1" descr="TDK CI Mark_blue_RGB_highres">
          <a:extLst>
            <a:ext uri="{FF2B5EF4-FFF2-40B4-BE49-F238E27FC236}">
              <a16:creationId xmlns:a16="http://schemas.microsoft.com/office/drawing/2014/main" id="{00000000-0008-0000-0C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5" name="Picture 1" descr="TDK CI Mark_blue_RGB_highres">
          <a:extLst>
            <a:ext uri="{FF2B5EF4-FFF2-40B4-BE49-F238E27FC236}">
              <a16:creationId xmlns:a16="http://schemas.microsoft.com/office/drawing/2014/main" id="{00000000-0008-0000-0C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6" name="Picture 1" descr="TDK CI Mark_blue_RGB_highres">
          <a:extLst>
            <a:ext uri="{FF2B5EF4-FFF2-40B4-BE49-F238E27FC236}">
              <a16:creationId xmlns:a16="http://schemas.microsoft.com/office/drawing/2014/main" id="{00000000-0008-0000-0C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7" name="Picture 1" descr="TDK CI Mark_blue_RGB_highres">
          <a:extLst>
            <a:ext uri="{FF2B5EF4-FFF2-40B4-BE49-F238E27FC236}">
              <a16:creationId xmlns:a16="http://schemas.microsoft.com/office/drawing/2014/main" id="{00000000-0008-0000-0C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8" name="Picture 1" descr="TDK CI Mark_blue_RGB_highres">
          <a:extLst>
            <a:ext uri="{FF2B5EF4-FFF2-40B4-BE49-F238E27FC236}">
              <a16:creationId xmlns:a16="http://schemas.microsoft.com/office/drawing/2014/main" id="{00000000-0008-0000-0C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9" name="Picture 1" descr="TDK CI Mark_blue_RGB_highres">
          <a:extLst>
            <a:ext uri="{FF2B5EF4-FFF2-40B4-BE49-F238E27FC236}">
              <a16:creationId xmlns:a16="http://schemas.microsoft.com/office/drawing/2014/main" id="{00000000-0008-0000-0C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0" name="Picture 1" descr="TDK CI Mark_blue_RGB_highres">
          <a:extLst>
            <a:ext uri="{FF2B5EF4-FFF2-40B4-BE49-F238E27FC236}">
              <a16:creationId xmlns:a16="http://schemas.microsoft.com/office/drawing/2014/main" id="{00000000-0008-0000-0C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71" name="Picture 1" descr="TDK CI Mark_blue_RGB_highres">
          <a:extLst>
            <a:ext uri="{FF2B5EF4-FFF2-40B4-BE49-F238E27FC236}">
              <a16:creationId xmlns:a16="http://schemas.microsoft.com/office/drawing/2014/main" id="{00000000-0008-0000-0C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2" name="Picture 66" descr="TDK CI Mark_blue_RGB_highres">
          <a:extLst>
            <a:ext uri="{FF2B5EF4-FFF2-40B4-BE49-F238E27FC236}">
              <a16:creationId xmlns:a16="http://schemas.microsoft.com/office/drawing/2014/main" id="{00000000-0008-0000-0C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3" name="Picture 1" descr="TDK CI Mark_blue_RGB_highres">
          <a:extLst>
            <a:ext uri="{FF2B5EF4-FFF2-40B4-BE49-F238E27FC236}">
              <a16:creationId xmlns:a16="http://schemas.microsoft.com/office/drawing/2014/main" id="{00000000-0008-0000-0C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4" name="Picture 1" descr="TDK CI Mark_blue_RGB_highres">
          <a:extLst>
            <a:ext uri="{FF2B5EF4-FFF2-40B4-BE49-F238E27FC236}">
              <a16:creationId xmlns:a16="http://schemas.microsoft.com/office/drawing/2014/main" id="{00000000-0008-0000-0C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5" name="Picture 1" descr="TDK CI Mark_blue_RGB_highres">
          <a:extLst>
            <a:ext uri="{FF2B5EF4-FFF2-40B4-BE49-F238E27FC236}">
              <a16:creationId xmlns:a16="http://schemas.microsoft.com/office/drawing/2014/main" id="{00000000-0008-0000-0C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6" name="Picture 1" descr="TDK CI Mark_blue_RGB_highres">
          <a:extLst>
            <a:ext uri="{FF2B5EF4-FFF2-40B4-BE49-F238E27FC236}">
              <a16:creationId xmlns:a16="http://schemas.microsoft.com/office/drawing/2014/main" id="{00000000-0008-0000-0C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7" name="Picture 1" descr="TDK CI Mark_blue_RGB_highres">
          <a:extLst>
            <a:ext uri="{FF2B5EF4-FFF2-40B4-BE49-F238E27FC236}">
              <a16:creationId xmlns:a16="http://schemas.microsoft.com/office/drawing/2014/main" id="{00000000-0008-0000-0C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8" name="Picture 1" descr="TDK CI Mark_blue_RGB_highres">
          <a:extLst>
            <a:ext uri="{FF2B5EF4-FFF2-40B4-BE49-F238E27FC236}">
              <a16:creationId xmlns:a16="http://schemas.microsoft.com/office/drawing/2014/main" id="{00000000-0008-0000-0C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9" name="Picture 1" descr="TDK CI Mark_blue_RGB_highres">
          <a:extLst>
            <a:ext uri="{FF2B5EF4-FFF2-40B4-BE49-F238E27FC236}">
              <a16:creationId xmlns:a16="http://schemas.microsoft.com/office/drawing/2014/main" id="{00000000-0008-0000-0C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80" name="Picture 1" descr="TDK CI Mark_blue_RGB_highres">
          <a:extLst>
            <a:ext uri="{FF2B5EF4-FFF2-40B4-BE49-F238E27FC236}">
              <a16:creationId xmlns:a16="http://schemas.microsoft.com/office/drawing/2014/main" id="{00000000-0008-0000-0C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81" name="Picture 1" descr="TDK CI Mark_blue_RGB_highres">
          <a:extLst>
            <a:ext uri="{FF2B5EF4-FFF2-40B4-BE49-F238E27FC236}">
              <a16:creationId xmlns:a16="http://schemas.microsoft.com/office/drawing/2014/main" id="{00000000-0008-0000-0C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82" name="Picture 1" descr="TDK CI Mark_blue_RGB_highres">
          <a:extLst>
            <a:ext uri="{FF2B5EF4-FFF2-40B4-BE49-F238E27FC236}">
              <a16:creationId xmlns:a16="http://schemas.microsoft.com/office/drawing/2014/main" id="{00000000-0008-0000-0C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3" name="Picture 53" descr="TDK CI Mark_blue_RGB_highres">
          <a:extLst>
            <a:ext uri="{FF2B5EF4-FFF2-40B4-BE49-F238E27FC236}">
              <a16:creationId xmlns:a16="http://schemas.microsoft.com/office/drawing/2014/main" id="{00000000-0008-0000-0C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4" name="Picture 1" descr="TDK CI Mark_blue_RGB_highres">
          <a:extLst>
            <a:ext uri="{FF2B5EF4-FFF2-40B4-BE49-F238E27FC236}">
              <a16:creationId xmlns:a16="http://schemas.microsoft.com/office/drawing/2014/main" id="{00000000-0008-0000-0C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5" name="Picture 1" descr="TDK CI Mark_blue_RGB_highres">
          <a:extLst>
            <a:ext uri="{FF2B5EF4-FFF2-40B4-BE49-F238E27FC236}">
              <a16:creationId xmlns:a16="http://schemas.microsoft.com/office/drawing/2014/main" id="{00000000-0008-0000-0C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6" name="Picture 1" descr="TDK CI Mark_blue_RGB_highres">
          <a:extLst>
            <a:ext uri="{FF2B5EF4-FFF2-40B4-BE49-F238E27FC236}">
              <a16:creationId xmlns:a16="http://schemas.microsoft.com/office/drawing/2014/main" id="{00000000-0008-0000-0C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7" name="Picture 1" descr="TDK CI Mark_blue_RGB_highres">
          <a:extLst>
            <a:ext uri="{FF2B5EF4-FFF2-40B4-BE49-F238E27FC236}">
              <a16:creationId xmlns:a16="http://schemas.microsoft.com/office/drawing/2014/main" id="{00000000-0008-0000-0C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8" name="Picture 1" descr="TDK CI Mark_blue_RGB_highres">
          <a:extLst>
            <a:ext uri="{FF2B5EF4-FFF2-40B4-BE49-F238E27FC236}">
              <a16:creationId xmlns:a16="http://schemas.microsoft.com/office/drawing/2014/main" id="{00000000-0008-0000-0C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9" name="Picture 1" descr="TDK CI Mark_blue_RGB_highres">
          <a:extLst>
            <a:ext uri="{FF2B5EF4-FFF2-40B4-BE49-F238E27FC236}">
              <a16:creationId xmlns:a16="http://schemas.microsoft.com/office/drawing/2014/main" id="{00000000-0008-0000-0C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0" name="Picture 1" descr="TDK CI Mark_blue_RGB_highres">
          <a:extLst>
            <a:ext uri="{FF2B5EF4-FFF2-40B4-BE49-F238E27FC236}">
              <a16:creationId xmlns:a16="http://schemas.microsoft.com/office/drawing/2014/main" id="{00000000-0008-0000-0C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1" name="Picture 1" descr="TDK CI Mark_blue_RGB_highres">
          <a:extLst>
            <a:ext uri="{FF2B5EF4-FFF2-40B4-BE49-F238E27FC236}">
              <a16:creationId xmlns:a16="http://schemas.microsoft.com/office/drawing/2014/main" id="{00000000-0008-0000-0C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2" name="Picture 1" descr="TDK CI Mark_blue_RGB_highres">
          <a:extLst>
            <a:ext uri="{FF2B5EF4-FFF2-40B4-BE49-F238E27FC236}">
              <a16:creationId xmlns:a16="http://schemas.microsoft.com/office/drawing/2014/main" id="{00000000-0008-0000-0C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3" name="Picture 66" descr="TDK CI Mark_blue_RGB_highres">
          <a:extLst>
            <a:ext uri="{FF2B5EF4-FFF2-40B4-BE49-F238E27FC236}">
              <a16:creationId xmlns:a16="http://schemas.microsoft.com/office/drawing/2014/main" id="{00000000-0008-0000-0C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4" name="Picture 1" descr="TDK CI Mark_blue_RGB_highres">
          <a:extLst>
            <a:ext uri="{FF2B5EF4-FFF2-40B4-BE49-F238E27FC236}">
              <a16:creationId xmlns:a16="http://schemas.microsoft.com/office/drawing/2014/main" id="{00000000-0008-0000-0C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5" name="Picture 1" descr="TDK CI Mark_blue_RGB_highres">
          <a:extLst>
            <a:ext uri="{FF2B5EF4-FFF2-40B4-BE49-F238E27FC236}">
              <a16:creationId xmlns:a16="http://schemas.microsoft.com/office/drawing/2014/main" id="{00000000-0008-0000-0C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6" name="Picture 1" descr="TDK CI Mark_blue_RGB_highres">
          <a:extLst>
            <a:ext uri="{FF2B5EF4-FFF2-40B4-BE49-F238E27FC236}">
              <a16:creationId xmlns:a16="http://schemas.microsoft.com/office/drawing/2014/main" id="{00000000-0008-0000-0C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7" name="Picture 1" descr="TDK CI Mark_blue_RGB_highres">
          <a:extLst>
            <a:ext uri="{FF2B5EF4-FFF2-40B4-BE49-F238E27FC236}">
              <a16:creationId xmlns:a16="http://schemas.microsoft.com/office/drawing/2014/main" id="{00000000-0008-0000-0C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8" name="Picture 1" descr="TDK CI Mark_blue_RGB_highres">
          <a:extLst>
            <a:ext uri="{FF2B5EF4-FFF2-40B4-BE49-F238E27FC236}">
              <a16:creationId xmlns:a16="http://schemas.microsoft.com/office/drawing/2014/main" id="{00000000-0008-0000-0C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9" name="Picture 1" descr="TDK CI Mark_blue_RGB_highres">
          <a:extLst>
            <a:ext uri="{FF2B5EF4-FFF2-40B4-BE49-F238E27FC236}">
              <a16:creationId xmlns:a16="http://schemas.microsoft.com/office/drawing/2014/main" id="{00000000-0008-0000-0C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0" name="Picture 1" descr="TDK CI Mark_blue_RGB_highres">
          <a:extLst>
            <a:ext uri="{FF2B5EF4-FFF2-40B4-BE49-F238E27FC236}">
              <a16:creationId xmlns:a16="http://schemas.microsoft.com/office/drawing/2014/main" id="{00000000-0008-0000-0C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1" name="Picture 1" descr="TDK CI Mark_blue_RGB_highres">
          <a:extLst>
            <a:ext uri="{FF2B5EF4-FFF2-40B4-BE49-F238E27FC236}">
              <a16:creationId xmlns:a16="http://schemas.microsoft.com/office/drawing/2014/main" id="{00000000-0008-0000-0C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2" name="Picture 1" descr="TDK CI Mark_blue_RGB_highres">
          <a:extLst>
            <a:ext uri="{FF2B5EF4-FFF2-40B4-BE49-F238E27FC236}">
              <a16:creationId xmlns:a16="http://schemas.microsoft.com/office/drawing/2014/main" id="{00000000-0008-0000-0C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503" name="Picture 1" descr="TDK CI Mark_blue_RGB_highres">
          <a:extLst>
            <a:ext uri="{FF2B5EF4-FFF2-40B4-BE49-F238E27FC236}">
              <a16:creationId xmlns:a16="http://schemas.microsoft.com/office/drawing/2014/main" id="{00000000-0008-0000-0C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4" name="Picture 53" descr="TDK CI Mark_blue_RGB_highres">
          <a:extLst>
            <a:ext uri="{FF2B5EF4-FFF2-40B4-BE49-F238E27FC236}">
              <a16:creationId xmlns:a16="http://schemas.microsoft.com/office/drawing/2014/main" id="{00000000-0008-0000-0C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5" name="Picture 1" descr="TDK CI Mark_blue_RGB_highres">
          <a:extLst>
            <a:ext uri="{FF2B5EF4-FFF2-40B4-BE49-F238E27FC236}">
              <a16:creationId xmlns:a16="http://schemas.microsoft.com/office/drawing/2014/main" id="{00000000-0008-0000-0C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6" name="Picture 1" descr="TDK CI Mark_blue_RGB_highres">
          <a:extLst>
            <a:ext uri="{FF2B5EF4-FFF2-40B4-BE49-F238E27FC236}">
              <a16:creationId xmlns:a16="http://schemas.microsoft.com/office/drawing/2014/main" id="{00000000-0008-0000-0C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7" name="Picture 1" descr="TDK CI Mark_blue_RGB_highres">
          <a:extLst>
            <a:ext uri="{FF2B5EF4-FFF2-40B4-BE49-F238E27FC236}">
              <a16:creationId xmlns:a16="http://schemas.microsoft.com/office/drawing/2014/main" id="{00000000-0008-0000-0C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8" name="Picture 1" descr="TDK CI Mark_blue_RGB_highres">
          <a:extLst>
            <a:ext uri="{FF2B5EF4-FFF2-40B4-BE49-F238E27FC236}">
              <a16:creationId xmlns:a16="http://schemas.microsoft.com/office/drawing/2014/main" id="{00000000-0008-0000-0C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9" name="Picture 1" descr="TDK CI Mark_blue_RGB_highres">
          <a:extLst>
            <a:ext uri="{FF2B5EF4-FFF2-40B4-BE49-F238E27FC236}">
              <a16:creationId xmlns:a16="http://schemas.microsoft.com/office/drawing/2014/main" id="{00000000-0008-0000-0C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0" name="Picture 1" descr="TDK CI Mark_blue_RGB_highres">
          <a:extLst>
            <a:ext uri="{FF2B5EF4-FFF2-40B4-BE49-F238E27FC236}">
              <a16:creationId xmlns:a16="http://schemas.microsoft.com/office/drawing/2014/main" id="{00000000-0008-0000-0C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1" name="Picture 1" descr="TDK CI Mark_blue_RGB_highres">
          <a:extLst>
            <a:ext uri="{FF2B5EF4-FFF2-40B4-BE49-F238E27FC236}">
              <a16:creationId xmlns:a16="http://schemas.microsoft.com/office/drawing/2014/main" id="{00000000-0008-0000-0C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2" name="Picture 1" descr="TDK CI Mark_blue_RGB_highres">
          <a:extLst>
            <a:ext uri="{FF2B5EF4-FFF2-40B4-BE49-F238E27FC236}">
              <a16:creationId xmlns:a16="http://schemas.microsoft.com/office/drawing/2014/main" id="{00000000-0008-0000-0C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3" name="Picture 1" descr="TDK CI Mark_blue_RGB_highres">
          <a:extLst>
            <a:ext uri="{FF2B5EF4-FFF2-40B4-BE49-F238E27FC236}">
              <a16:creationId xmlns:a16="http://schemas.microsoft.com/office/drawing/2014/main" id="{00000000-0008-0000-0C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514" name="Picture 1" descr="TDK CI Mark_blue_RGB_highres">
          <a:extLst>
            <a:ext uri="{FF2B5EF4-FFF2-40B4-BE49-F238E27FC236}">
              <a16:creationId xmlns:a16="http://schemas.microsoft.com/office/drawing/2014/main" id="{00000000-0008-0000-0C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5" name="Picture 66" descr="TDK CI Mark_blue_RGB_highres">
          <a:extLst>
            <a:ext uri="{FF2B5EF4-FFF2-40B4-BE49-F238E27FC236}">
              <a16:creationId xmlns:a16="http://schemas.microsoft.com/office/drawing/2014/main" id="{00000000-0008-0000-0C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6" name="Picture 1" descr="TDK CI Mark_blue_RGB_highres">
          <a:extLst>
            <a:ext uri="{FF2B5EF4-FFF2-40B4-BE49-F238E27FC236}">
              <a16:creationId xmlns:a16="http://schemas.microsoft.com/office/drawing/2014/main" id="{00000000-0008-0000-0C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7" name="Picture 1" descr="TDK CI Mark_blue_RGB_highres">
          <a:extLst>
            <a:ext uri="{FF2B5EF4-FFF2-40B4-BE49-F238E27FC236}">
              <a16:creationId xmlns:a16="http://schemas.microsoft.com/office/drawing/2014/main" id="{00000000-0008-0000-0C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8" name="Picture 1" descr="TDK CI Mark_blue_RGB_highres">
          <a:extLst>
            <a:ext uri="{FF2B5EF4-FFF2-40B4-BE49-F238E27FC236}">
              <a16:creationId xmlns:a16="http://schemas.microsoft.com/office/drawing/2014/main" id="{00000000-0008-0000-0C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9" name="Picture 1" descr="TDK CI Mark_blue_RGB_highres">
          <a:extLst>
            <a:ext uri="{FF2B5EF4-FFF2-40B4-BE49-F238E27FC236}">
              <a16:creationId xmlns:a16="http://schemas.microsoft.com/office/drawing/2014/main" id="{00000000-0008-0000-0C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0" name="Picture 1" descr="TDK CI Mark_blue_RGB_highres">
          <a:extLst>
            <a:ext uri="{FF2B5EF4-FFF2-40B4-BE49-F238E27FC236}">
              <a16:creationId xmlns:a16="http://schemas.microsoft.com/office/drawing/2014/main" id="{00000000-0008-0000-0C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1" name="Picture 1" descr="TDK CI Mark_blue_RGB_highres">
          <a:extLst>
            <a:ext uri="{FF2B5EF4-FFF2-40B4-BE49-F238E27FC236}">
              <a16:creationId xmlns:a16="http://schemas.microsoft.com/office/drawing/2014/main" id="{00000000-0008-0000-0C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2" name="Picture 1" descr="TDK CI Mark_blue_RGB_highres">
          <a:extLst>
            <a:ext uri="{FF2B5EF4-FFF2-40B4-BE49-F238E27FC236}">
              <a16:creationId xmlns:a16="http://schemas.microsoft.com/office/drawing/2014/main" id="{00000000-0008-0000-0C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3" name="Picture 1" descr="TDK CI Mark_blue_RGB_highres">
          <a:extLst>
            <a:ext uri="{FF2B5EF4-FFF2-40B4-BE49-F238E27FC236}">
              <a16:creationId xmlns:a16="http://schemas.microsoft.com/office/drawing/2014/main" id="{00000000-0008-0000-0C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4" name="Picture 1" descr="TDK CI Mark_blue_RGB_highres">
          <a:extLst>
            <a:ext uri="{FF2B5EF4-FFF2-40B4-BE49-F238E27FC236}">
              <a16:creationId xmlns:a16="http://schemas.microsoft.com/office/drawing/2014/main" id="{00000000-0008-0000-0C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525" name="Picture 1" descr="TDK CI Mark_blue_RGB_highres">
          <a:extLst>
            <a:ext uri="{FF2B5EF4-FFF2-40B4-BE49-F238E27FC236}">
              <a16:creationId xmlns:a16="http://schemas.microsoft.com/office/drawing/2014/main" id="{00000000-0008-0000-0C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7" name="Picture 53" descr="TDK CI Mark_blue_RGB_highres">
          <a:extLst>
            <a:ext uri="{FF2B5EF4-FFF2-40B4-BE49-F238E27FC236}">
              <a16:creationId xmlns:a16="http://schemas.microsoft.com/office/drawing/2014/main" id="{00000000-0008-0000-0C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8" name="Picture 1" descr="TDK CI Mark_blue_RGB_highres">
          <a:extLst>
            <a:ext uri="{FF2B5EF4-FFF2-40B4-BE49-F238E27FC236}">
              <a16:creationId xmlns:a16="http://schemas.microsoft.com/office/drawing/2014/main" id="{00000000-0008-0000-0C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9" name="Picture 1" descr="TDK CI Mark_blue_RGB_highres">
          <a:extLst>
            <a:ext uri="{FF2B5EF4-FFF2-40B4-BE49-F238E27FC236}">
              <a16:creationId xmlns:a16="http://schemas.microsoft.com/office/drawing/2014/main" id="{00000000-0008-0000-0C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0" name="Picture 1" descr="TDK CI Mark_blue_RGB_highres">
          <a:extLst>
            <a:ext uri="{FF2B5EF4-FFF2-40B4-BE49-F238E27FC236}">
              <a16:creationId xmlns:a16="http://schemas.microsoft.com/office/drawing/2014/main" id="{00000000-0008-0000-0C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1" name="Picture 1" descr="TDK CI Mark_blue_RGB_highres">
          <a:extLst>
            <a:ext uri="{FF2B5EF4-FFF2-40B4-BE49-F238E27FC236}">
              <a16:creationId xmlns:a16="http://schemas.microsoft.com/office/drawing/2014/main" id="{00000000-0008-0000-0C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2" name="Picture 1" descr="TDK CI Mark_blue_RGB_highres">
          <a:extLst>
            <a:ext uri="{FF2B5EF4-FFF2-40B4-BE49-F238E27FC236}">
              <a16:creationId xmlns:a16="http://schemas.microsoft.com/office/drawing/2014/main" id="{00000000-0008-0000-0C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3" name="Picture 1" descr="TDK CI Mark_blue_RGB_highres">
          <a:extLst>
            <a:ext uri="{FF2B5EF4-FFF2-40B4-BE49-F238E27FC236}">
              <a16:creationId xmlns:a16="http://schemas.microsoft.com/office/drawing/2014/main" id="{00000000-0008-0000-0C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4" name="Picture 1" descr="TDK CI Mark_blue_RGB_highres">
          <a:extLst>
            <a:ext uri="{FF2B5EF4-FFF2-40B4-BE49-F238E27FC236}">
              <a16:creationId xmlns:a16="http://schemas.microsoft.com/office/drawing/2014/main" id="{00000000-0008-0000-0C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5" name="Picture 1" descr="TDK CI Mark_blue_RGB_highres">
          <a:extLst>
            <a:ext uri="{FF2B5EF4-FFF2-40B4-BE49-F238E27FC236}">
              <a16:creationId xmlns:a16="http://schemas.microsoft.com/office/drawing/2014/main" id="{00000000-0008-0000-0C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6" name="Picture 1" descr="TDK CI Mark_blue_RGB_highres">
          <a:extLst>
            <a:ext uri="{FF2B5EF4-FFF2-40B4-BE49-F238E27FC236}">
              <a16:creationId xmlns:a16="http://schemas.microsoft.com/office/drawing/2014/main" id="{00000000-0008-0000-0C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7" name="Picture 66" descr="TDK CI Mark_blue_RGB_highres">
          <a:extLst>
            <a:ext uri="{FF2B5EF4-FFF2-40B4-BE49-F238E27FC236}">
              <a16:creationId xmlns:a16="http://schemas.microsoft.com/office/drawing/2014/main" id="{00000000-0008-0000-0C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8" name="Picture 1" descr="TDK CI Mark_blue_RGB_highres">
          <a:extLst>
            <a:ext uri="{FF2B5EF4-FFF2-40B4-BE49-F238E27FC236}">
              <a16:creationId xmlns:a16="http://schemas.microsoft.com/office/drawing/2014/main" id="{00000000-0008-0000-0C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9" name="Picture 1" descr="TDK CI Mark_blue_RGB_highres">
          <a:extLst>
            <a:ext uri="{FF2B5EF4-FFF2-40B4-BE49-F238E27FC236}">
              <a16:creationId xmlns:a16="http://schemas.microsoft.com/office/drawing/2014/main" id="{00000000-0008-0000-0C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0" name="Picture 1" descr="TDK CI Mark_blue_RGB_highres">
          <a:extLst>
            <a:ext uri="{FF2B5EF4-FFF2-40B4-BE49-F238E27FC236}">
              <a16:creationId xmlns:a16="http://schemas.microsoft.com/office/drawing/2014/main" id="{00000000-0008-0000-0C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1" name="Picture 1" descr="TDK CI Mark_blue_RGB_highres">
          <a:extLst>
            <a:ext uri="{FF2B5EF4-FFF2-40B4-BE49-F238E27FC236}">
              <a16:creationId xmlns:a16="http://schemas.microsoft.com/office/drawing/2014/main" id="{00000000-0008-0000-0C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2" name="Picture 1" descr="TDK CI Mark_blue_RGB_highres">
          <a:extLst>
            <a:ext uri="{FF2B5EF4-FFF2-40B4-BE49-F238E27FC236}">
              <a16:creationId xmlns:a16="http://schemas.microsoft.com/office/drawing/2014/main" id="{00000000-0008-0000-0C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3" name="Picture 1" descr="TDK CI Mark_blue_RGB_highres">
          <a:extLst>
            <a:ext uri="{FF2B5EF4-FFF2-40B4-BE49-F238E27FC236}">
              <a16:creationId xmlns:a16="http://schemas.microsoft.com/office/drawing/2014/main" id="{00000000-0008-0000-0C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4" name="Picture 1" descr="TDK CI Mark_blue_RGB_highres">
          <a:extLst>
            <a:ext uri="{FF2B5EF4-FFF2-40B4-BE49-F238E27FC236}">
              <a16:creationId xmlns:a16="http://schemas.microsoft.com/office/drawing/2014/main" id="{00000000-0008-0000-0C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5" name="Picture 1" descr="TDK CI Mark_blue_RGB_highres">
          <a:extLst>
            <a:ext uri="{FF2B5EF4-FFF2-40B4-BE49-F238E27FC236}">
              <a16:creationId xmlns:a16="http://schemas.microsoft.com/office/drawing/2014/main" id="{00000000-0008-0000-0C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6" name="Picture 1" descr="TDK CI Mark_blue_RGB_highres">
          <a:extLst>
            <a:ext uri="{FF2B5EF4-FFF2-40B4-BE49-F238E27FC236}">
              <a16:creationId xmlns:a16="http://schemas.microsoft.com/office/drawing/2014/main" id="{00000000-0008-0000-0C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47" name="Picture 1" descr="TDK CI Mark_blue_RGB_highres">
          <a:extLst>
            <a:ext uri="{FF2B5EF4-FFF2-40B4-BE49-F238E27FC236}">
              <a16:creationId xmlns:a16="http://schemas.microsoft.com/office/drawing/2014/main" id="{00000000-0008-0000-0C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8" name="Picture 53" descr="TDK CI Mark_blue_RGB_highres">
          <a:extLst>
            <a:ext uri="{FF2B5EF4-FFF2-40B4-BE49-F238E27FC236}">
              <a16:creationId xmlns:a16="http://schemas.microsoft.com/office/drawing/2014/main" id="{00000000-0008-0000-0C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9" name="Picture 1" descr="TDK CI Mark_blue_RGB_highres">
          <a:extLst>
            <a:ext uri="{FF2B5EF4-FFF2-40B4-BE49-F238E27FC236}">
              <a16:creationId xmlns:a16="http://schemas.microsoft.com/office/drawing/2014/main" id="{00000000-0008-0000-0C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0" name="Picture 1" descr="TDK CI Mark_blue_RGB_highres">
          <a:extLst>
            <a:ext uri="{FF2B5EF4-FFF2-40B4-BE49-F238E27FC236}">
              <a16:creationId xmlns:a16="http://schemas.microsoft.com/office/drawing/2014/main" id="{00000000-0008-0000-0C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1" name="Picture 1" descr="TDK CI Mark_blue_RGB_highres">
          <a:extLst>
            <a:ext uri="{FF2B5EF4-FFF2-40B4-BE49-F238E27FC236}">
              <a16:creationId xmlns:a16="http://schemas.microsoft.com/office/drawing/2014/main" id="{00000000-0008-0000-0C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2" name="Picture 1" descr="TDK CI Mark_blue_RGB_highres">
          <a:extLst>
            <a:ext uri="{FF2B5EF4-FFF2-40B4-BE49-F238E27FC236}">
              <a16:creationId xmlns:a16="http://schemas.microsoft.com/office/drawing/2014/main" id="{00000000-0008-0000-0C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3" name="Picture 1" descr="TDK CI Mark_blue_RGB_highres">
          <a:extLst>
            <a:ext uri="{FF2B5EF4-FFF2-40B4-BE49-F238E27FC236}">
              <a16:creationId xmlns:a16="http://schemas.microsoft.com/office/drawing/2014/main" id="{00000000-0008-0000-0C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4" name="Picture 1" descr="TDK CI Mark_blue_RGB_highres">
          <a:extLst>
            <a:ext uri="{FF2B5EF4-FFF2-40B4-BE49-F238E27FC236}">
              <a16:creationId xmlns:a16="http://schemas.microsoft.com/office/drawing/2014/main" id="{00000000-0008-0000-0C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5" name="Picture 1" descr="TDK CI Mark_blue_RGB_highres">
          <a:extLst>
            <a:ext uri="{FF2B5EF4-FFF2-40B4-BE49-F238E27FC236}">
              <a16:creationId xmlns:a16="http://schemas.microsoft.com/office/drawing/2014/main" id="{00000000-0008-0000-0C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6" name="Picture 1" descr="TDK CI Mark_blue_RGB_highres">
          <a:extLst>
            <a:ext uri="{FF2B5EF4-FFF2-40B4-BE49-F238E27FC236}">
              <a16:creationId xmlns:a16="http://schemas.microsoft.com/office/drawing/2014/main" id="{00000000-0008-0000-0C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7" name="Picture 1" descr="TDK CI Mark_blue_RGB_highres">
          <a:extLst>
            <a:ext uri="{FF2B5EF4-FFF2-40B4-BE49-F238E27FC236}">
              <a16:creationId xmlns:a16="http://schemas.microsoft.com/office/drawing/2014/main" id="{00000000-0008-0000-0C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58" name="Picture 1" descr="TDK CI Mark_blue_RGB_highres">
          <a:extLst>
            <a:ext uri="{FF2B5EF4-FFF2-40B4-BE49-F238E27FC236}">
              <a16:creationId xmlns:a16="http://schemas.microsoft.com/office/drawing/2014/main" id="{00000000-0008-0000-0C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9" name="Picture 66" descr="TDK CI Mark_blue_RGB_highres">
          <a:extLst>
            <a:ext uri="{FF2B5EF4-FFF2-40B4-BE49-F238E27FC236}">
              <a16:creationId xmlns:a16="http://schemas.microsoft.com/office/drawing/2014/main" id="{00000000-0008-0000-0C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0" name="Picture 1" descr="TDK CI Mark_blue_RGB_highres">
          <a:extLst>
            <a:ext uri="{FF2B5EF4-FFF2-40B4-BE49-F238E27FC236}">
              <a16:creationId xmlns:a16="http://schemas.microsoft.com/office/drawing/2014/main" id="{00000000-0008-0000-0C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1" name="Picture 1" descr="TDK CI Mark_blue_RGB_highres">
          <a:extLst>
            <a:ext uri="{FF2B5EF4-FFF2-40B4-BE49-F238E27FC236}">
              <a16:creationId xmlns:a16="http://schemas.microsoft.com/office/drawing/2014/main" id="{00000000-0008-0000-0C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2" name="Picture 1" descr="TDK CI Mark_blue_RGB_highres">
          <a:extLst>
            <a:ext uri="{FF2B5EF4-FFF2-40B4-BE49-F238E27FC236}">
              <a16:creationId xmlns:a16="http://schemas.microsoft.com/office/drawing/2014/main" id="{00000000-0008-0000-0C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3" name="Picture 1" descr="TDK CI Mark_blue_RGB_highres">
          <a:extLst>
            <a:ext uri="{FF2B5EF4-FFF2-40B4-BE49-F238E27FC236}">
              <a16:creationId xmlns:a16="http://schemas.microsoft.com/office/drawing/2014/main" id="{00000000-0008-0000-0C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4" name="Picture 1" descr="TDK CI Mark_blue_RGB_highres">
          <a:extLst>
            <a:ext uri="{FF2B5EF4-FFF2-40B4-BE49-F238E27FC236}">
              <a16:creationId xmlns:a16="http://schemas.microsoft.com/office/drawing/2014/main" id="{00000000-0008-0000-0C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5" name="Picture 1" descr="TDK CI Mark_blue_RGB_highres">
          <a:extLst>
            <a:ext uri="{FF2B5EF4-FFF2-40B4-BE49-F238E27FC236}">
              <a16:creationId xmlns:a16="http://schemas.microsoft.com/office/drawing/2014/main" id="{00000000-0008-0000-0C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6" name="Picture 1" descr="TDK CI Mark_blue_RGB_highres">
          <a:extLst>
            <a:ext uri="{FF2B5EF4-FFF2-40B4-BE49-F238E27FC236}">
              <a16:creationId xmlns:a16="http://schemas.microsoft.com/office/drawing/2014/main" id="{00000000-0008-0000-0C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7" name="Picture 1" descr="TDK CI Mark_blue_RGB_highres">
          <a:extLst>
            <a:ext uri="{FF2B5EF4-FFF2-40B4-BE49-F238E27FC236}">
              <a16:creationId xmlns:a16="http://schemas.microsoft.com/office/drawing/2014/main" id="{00000000-0008-0000-0C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8" name="Picture 1" descr="TDK CI Mark_blue_RGB_highres">
          <a:extLst>
            <a:ext uri="{FF2B5EF4-FFF2-40B4-BE49-F238E27FC236}">
              <a16:creationId xmlns:a16="http://schemas.microsoft.com/office/drawing/2014/main" id="{00000000-0008-0000-0C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69" name="Picture 1" descr="TDK CI Mark_blue_RGB_highres">
          <a:extLst>
            <a:ext uri="{FF2B5EF4-FFF2-40B4-BE49-F238E27FC236}">
              <a16:creationId xmlns:a16="http://schemas.microsoft.com/office/drawing/2014/main" id="{00000000-0008-0000-0C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76200</xdr:rowOff>
    </xdr:from>
    <xdr:ext cx="1000125" cy="447675"/>
    <xdr:pic>
      <xdr:nvPicPr>
        <xdr:cNvPr id="570" name="Picture 3" descr="TDK CI Mark_blue_RGB_highres">
          <a:extLst>
            <a:ext uri="{FF2B5EF4-FFF2-40B4-BE49-F238E27FC236}">
              <a16:creationId xmlns:a16="http://schemas.microsoft.com/office/drawing/2014/main" id="{00000000-0008-0000-0C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58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1" name="Picture 53" descr="TDK CI Mark_blue_RGB_highres">
          <a:extLst>
            <a:ext uri="{FF2B5EF4-FFF2-40B4-BE49-F238E27FC236}">
              <a16:creationId xmlns:a16="http://schemas.microsoft.com/office/drawing/2014/main" id="{00000000-0008-0000-0C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2" name="Picture 1" descr="TDK CI Mark_blue_RGB_highres">
          <a:extLst>
            <a:ext uri="{FF2B5EF4-FFF2-40B4-BE49-F238E27FC236}">
              <a16:creationId xmlns:a16="http://schemas.microsoft.com/office/drawing/2014/main" id="{00000000-0008-0000-0C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3" name="Picture 1" descr="TDK CI Mark_blue_RGB_highres">
          <a:extLst>
            <a:ext uri="{FF2B5EF4-FFF2-40B4-BE49-F238E27FC236}">
              <a16:creationId xmlns:a16="http://schemas.microsoft.com/office/drawing/2014/main" id="{00000000-0008-0000-0C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4" name="Picture 1" descr="TDK CI Mark_blue_RGB_highres">
          <a:extLst>
            <a:ext uri="{FF2B5EF4-FFF2-40B4-BE49-F238E27FC236}">
              <a16:creationId xmlns:a16="http://schemas.microsoft.com/office/drawing/2014/main" id="{00000000-0008-0000-0C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5" name="Picture 1" descr="TDK CI Mark_blue_RGB_highres">
          <a:extLst>
            <a:ext uri="{FF2B5EF4-FFF2-40B4-BE49-F238E27FC236}">
              <a16:creationId xmlns:a16="http://schemas.microsoft.com/office/drawing/2014/main" id="{00000000-0008-0000-0C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6" name="Picture 1" descr="TDK CI Mark_blue_RGB_highres">
          <a:extLst>
            <a:ext uri="{FF2B5EF4-FFF2-40B4-BE49-F238E27FC236}">
              <a16:creationId xmlns:a16="http://schemas.microsoft.com/office/drawing/2014/main" id="{00000000-0008-0000-0C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7" name="Picture 1" descr="TDK CI Mark_blue_RGB_highres">
          <a:extLst>
            <a:ext uri="{FF2B5EF4-FFF2-40B4-BE49-F238E27FC236}">
              <a16:creationId xmlns:a16="http://schemas.microsoft.com/office/drawing/2014/main" id="{00000000-0008-0000-0C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8" name="Picture 1" descr="TDK CI Mark_blue_RGB_highres">
          <a:extLst>
            <a:ext uri="{FF2B5EF4-FFF2-40B4-BE49-F238E27FC236}">
              <a16:creationId xmlns:a16="http://schemas.microsoft.com/office/drawing/2014/main" id="{00000000-0008-0000-0C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9" name="Picture 1" descr="TDK CI Mark_blue_RGB_highres">
          <a:extLst>
            <a:ext uri="{FF2B5EF4-FFF2-40B4-BE49-F238E27FC236}">
              <a16:creationId xmlns:a16="http://schemas.microsoft.com/office/drawing/2014/main" id="{00000000-0008-0000-0C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0" name="Picture 1" descr="TDK CI Mark_blue_RGB_highres">
          <a:extLst>
            <a:ext uri="{FF2B5EF4-FFF2-40B4-BE49-F238E27FC236}">
              <a16:creationId xmlns:a16="http://schemas.microsoft.com/office/drawing/2014/main" id="{00000000-0008-0000-0C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1" name="Picture 66" descr="TDK CI Mark_blue_RGB_highres">
          <a:extLst>
            <a:ext uri="{FF2B5EF4-FFF2-40B4-BE49-F238E27FC236}">
              <a16:creationId xmlns:a16="http://schemas.microsoft.com/office/drawing/2014/main" id="{00000000-0008-0000-0C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2" name="Picture 1" descr="TDK CI Mark_blue_RGB_highres">
          <a:extLst>
            <a:ext uri="{FF2B5EF4-FFF2-40B4-BE49-F238E27FC236}">
              <a16:creationId xmlns:a16="http://schemas.microsoft.com/office/drawing/2014/main" id="{00000000-0008-0000-0C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3" name="Picture 1" descr="TDK CI Mark_blue_RGB_highres">
          <a:extLst>
            <a:ext uri="{FF2B5EF4-FFF2-40B4-BE49-F238E27FC236}">
              <a16:creationId xmlns:a16="http://schemas.microsoft.com/office/drawing/2014/main" id="{00000000-0008-0000-0C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4" name="Picture 1" descr="TDK CI Mark_blue_RGB_highres">
          <a:extLst>
            <a:ext uri="{FF2B5EF4-FFF2-40B4-BE49-F238E27FC236}">
              <a16:creationId xmlns:a16="http://schemas.microsoft.com/office/drawing/2014/main" id="{00000000-0008-0000-0C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5" name="Picture 1" descr="TDK CI Mark_blue_RGB_highres">
          <a:extLst>
            <a:ext uri="{FF2B5EF4-FFF2-40B4-BE49-F238E27FC236}">
              <a16:creationId xmlns:a16="http://schemas.microsoft.com/office/drawing/2014/main" id="{00000000-0008-0000-0C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6" name="Picture 1" descr="TDK CI Mark_blue_RGB_highres">
          <a:extLst>
            <a:ext uri="{FF2B5EF4-FFF2-40B4-BE49-F238E27FC236}">
              <a16:creationId xmlns:a16="http://schemas.microsoft.com/office/drawing/2014/main" id="{00000000-0008-0000-0C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7" name="Picture 1" descr="TDK CI Mark_blue_RGB_highres">
          <a:extLst>
            <a:ext uri="{FF2B5EF4-FFF2-40B4-BE49-F238E27FC236}">
              <a16:creationId xmlns:a16="http://schemas.microsoft.com/office/drawing/2014/main" id="{00000000-0008-0000-0C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8" name="Picture 1" descr="TDK CI Mark_blue_RGB_highres">
          <a:extLst>
            <a:ext uri="{FF2B5EF4-FFF2-40B4-BE49-F238E27FC236}">
              <a16:creationId xmlns:a16="http://schemas.microsoft.com/office/drawing/2014/main" id="{00000000-0008-0000-0C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9" name="Picture 1" descr="TDK CI Mark_blue_RGB_highres">
          <a:extLst>
            <a:ext uri="{FF2B5EF4-FFF2-40B4-BE49-F238E27FC236}">
              <a16:creationId xmlns:a16="http://schemas.microsoft.com/office/drawing/2014/main" id="{00000000-0008-0000-0C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0" name="Picture 1" descr="TDK CI Mark_blue_RGB_highres">
          <a:extLst>
            <a:ext uri="{FF2B5EF4-FFF2-40B4-BE49-F238E27FC236}">
              <a16:creationId xmlns:a16="http://schemas.microsoft.com/office/drawing/2014/main" id="{00000000-0008-0000-0C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91" name="Picture 1" descr="TDK CI Mark_blue_RGB_highres">
          <a:extLst>
            <a:ext uri="{FF2B5EF4-FFF2-40B4-BE49-F238E27FC236}">
              <a16:creationId xmlns:a16="http://schemas.microsoft.com/office/drawing/2014/main" id="{00000000-0008-0000-0C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2" name="Picture 53" descr="TDK CI Mark_blue_RGB_highres">
          <a:extLst>
            <a:ext uri="{FF2B5EF4-FFF2-40B4-BE49-F238E27FC236}">
              <a16:creationId xmlns:a16="http://schemas.microsoft.com/office/drawing/2014/main" id="{00000000-0008-0000-0C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3" name="Picture 1" descr="TDK CI Mark_blue_RGB_highres">
          <a:extLst>
            <a:ext uri="{FF2B5EF4-FFF2-40B4-BE49-F238E27FC236}">
              <a16:creationId xmlns:a16="http://schemas.microsoft.com/office/drawing/2014/main" id="{00000000-0008-0000-0C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4" name="Picture 1" descr="TDK CI Mark_blue_RGB_highres">
          <a:extLst>
            <a:ext uri="{FF2B5EF4-FFF2-40B4-BE49-F238E27FC236}">
              <a16:creationId xmlns:a16="http://schemas.microsoft.com/office/drawing/2014/main" id="{00000000-0008-0000-0C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5" name="Picture 1" descr="TDK CI Mark_blue_RGB_highres">
          <a:extLst>
            <a:ext uri="{FF2B5EF4-FFF2-40B4-BE49-F238E27FC236}">
              <a16:creationId xmlns:a16="http://schemas.microsoft.com/office/drawing/2014/main" id="{00000000-0008-0000-0C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6" name="Picture 1" descr="TDK CI Mark_blue_RGB_highres">
          <a:extLst>
            <a:ext uri="{FF2B5EF4-FFF2-40B4-BE49-F238E27FC236}">
              <a16:creationId xmlns:a16="http://schemas.microsoft.com/office/drawing/2014/main" id="{00000000-0008-0000-0C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7" name="Picture 1" descr="TDK CI Mark_blue_RGB_highres">
          <a:extLst>
            <a:ext uri="{FF2B5EF4-FFF2-40B4-BE49-F238E27FC236}">
              <a16:creationId xmlns:a16="http://schemas.microsoft.com/office/drawing/2014/main" id="{00000000-0008-0000-0C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8" name="Picture 1" descr="TDK CI Mark_blue_RGB_highres">
          <a:extLst>
            <a:ext uri="{FF2B5EF4-FFF2-40B4-BE49-F238E27FC236}">
              <a16:creationId xmlns:a16="http://schemas.microsoft.com/office/drawing/2014/main" id="{00000000-0008-0000-0C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9" name="Picture 1" descr="TDK CI Mark_blue_RGB_highres">
          <a:extLst>
            <a:ext uri="{FF2B5EF4-FFF2-40B4-BE49-F238E27FC236}">
              <a16:creationId xmlns:a16="http://schemas.microsoft.com/office/drawing/2014/main" id="{00000000-0008-0000-0C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0" name="Picture 1" descr="TDK CI Mark_blue_RGB_highres">
          <a:extLst>
            <a:ext uri="{FF2B5EF4-FFF2-40B4-BE49-F238E27FC236}">
              <a16:creationId xmlns:a16="http://schemas.microsoft.com/office/drawing/2014/main" id="{00000000-0008-0000-0C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1" name="Picture 1" descr="TDK CI Mark_blue_RGB_highres">
          <a:extLst>
            <a:ext uri="{FF2B5EF4-FFF2-40B4-BE49-F238E27FC236}">
              <a16:creationId xmlns:a16="http://schemas.microsoft.com/office/drawing/2014/main" id="{00000000-0008-0000-0C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602" name="Picture 1" descr="TDK CI Mark_blue_RGB_highres">
          <a:extLst>
            <a:ext uri="{FF2B5EF4-FFF2-40B4-BE49-F238E27FC236}">
              <a16:creationId xmlns:a16="http://schemas.microsoft.com/office/drawing/2014/main" id="{00000000-0008-0000-0C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3" name="Picture 66" descr="TDK CI Mark_blue_RGB_highres">
          <a:extLst>
            <a:ext uri="{FF2B5EF4-FFF2-40B4-BE49-F238E27FC236}">
              <a16:creationId xmlns:a16="http://schemas.microsoft.com/office/drawing/2014/main" id="{00000000-0008-0000-0C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4" name="Picture 1" descr="TDK CI Mark_blue_RGB_highres">
          <a:extLst>
            <a:ext uri="{FF2B5EF4-FFF2-40B4-BE49-F238E27FC236}">
              <a16:creationId xmlns:a16="http://schemas.microsoft.com/office/drawing/2014/main" id="{00000000-0008-0000-0C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5" name="Picture 1" descr="TDK CI Mark_blue_RGB_highres">
          <a:extLst>
            <a:ext uri="{FF2B5EF4-FFF2-40B4-BE49-F238E27FC236}">
              <a16:creationId xmlns:a16="http://schemas.microsoft.com/office/drawing/2014/main" id="{00000000-0008-0000-0C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6" name="Picture 1" descr="TDK CI Mark_blue_RGB_highres">
          <a:extLst>
            <a:ext uri="{FF2B5EF4-FFF2-40B4-BE49-F238E27FC236}">
              <a16:creationId xmlns:a16="http://schemas.microsoft.com/office/drawing/2014/main" id="{00000000-0008-0000-0C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7" name="Picture 1" descr="TDK CI Mark_blue_RGB_highres">
          <a:extLst>
            <a:ext uri="{FF2B5EF4-FFF2-40B4-BE49-F238E27FC236}">
              <a16:creationId xmlns:a16="http://schemas.microsoft.com/office/drawing/2014/main" id="{00000000-0008-0000-0C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8" name="Picture 1" descr="TDK CI Mark_blue_RGB_highres">
          <a:extLst>
            <a:ext uri="{FF2B5EF4-FFF2-40B4-BE49-F238E27FC236}">
              <a16:creationId xmlns:a16="http://schemas.microsoft.com/office/drawing/2014/main" id="{00000000-0008-0000-0C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9" name="Picture 1" descr="TDK CI Mark_blue_RGB_highres">
          <a:extLst>
            <a:ext uri="{FF2B5EF4-FFF2-40B4-BE49-F238E27FC236}">
              <a16:creationId xmlns:a16="http://schemas.microsoft.com/office/drawing/2014/main" id="{00000000-0008-0000-0C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0" name="Picture 1" descr="TDK CI Mark_blue_RGB_highres">
          <a:extLst>
            <a:ext uri="{FF2B5EF4-FFF2-40B4-BE49-F238E27FC236}">
              <a16:creationId xmlns:a16="http://schemas.microsoft.com/office/drawing/2014/main" id="{00000000-0008-0000-0C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1" name="Picture 1" descr="TDK CI Mark_blue_RGB_highres">
          <a:extLst>
            <a:ext uri="{FF2B5EF4-FFF2-40B4-BE49-F238E27FC236}">
              <a16:creationId xmlns:a16="http://schemas.microsoft.com/office/drawing/2014/main" id="{00000000-0008-0000-0C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2" name="Picture 1" descr="TDK CI Mark_blue_RGB_highres">
          <a:extLst>
            <a:ext uri="{FF2B5EF4-FFF2-40B4-BE49-F238E27FC236}">
              <a16:creationId xmlns:a16="http://schemas.microsoft.com/office/drawing/2014/main" id="{00000000-0008-0000-0C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613" name="Picture 1" descr="TDK CI Mark_blue_RGB_highres">
          <a:extLst>
            <a:ext uri="{FF2B5EF4-FFF2-40B4-BE49-F238E27FC236}">
              <a16:creationId xmlns:a16="http://schemas.microsoft.com/office/drawing/2014/main" id="{00000000-0008-0000-0C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4" name="Picture 53" descr="TDK CI Mark_blue_RGB_highres">
          <a:extLst>
            <a:ext uri="{FF2B5EF4-FFF2-40B4-BE49-F238E27FC236}">
              <a16:creationId xmlns:a16="http://schemas.microsoft.com/office/drawing/2014/main" id="{00000000-0008-0000-0C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5" name="Picture 1" descr="TDK CI Mark_blue_RGB_highres">
          <a:extLst>
            <a:ext uri="{FF2B5EF4-FFF2-40B4-BE49-F238E27FC236}">
              <a16:creationId xmlns:a16="http://schemas.microsoft.com/office/drawing/2014/main" id="{00000000-0008-0000-0C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6" name="Picture 1" descr="TDK CI Mark_blue_RGB_highres">
          <a:extLst>
            <a:ext uri="{FF2B5EF4-FFF2-40B4-BE49-F238E27FC236}">
              <a16:creationId xmlns:a16="http://schemas.microsoft.com/office/drawing/2014/main" id="{00000000-0008-0000-0C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7" name="Picture 1" descr="TDK CI Mark_blue_RGB_highres">
          <a:extLst>
            <a:ext uri="{FF2B5EF4-FFF2-40B4-BE49-F238E27FC236}">
              <a16:creationId xmlns:a16="http://schemas.microsoft.com/office/drawing/2014/main" id="{00000000-0008-0000-0C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8" name="Picture 1" descr="TDK CI Mark_blue_RGB_highres">
          <a:extLst>
            <a:ext uri="{FF2B5EF4-FFF2-40B4-BE49-F238E27FC236}">
              <a16:creationId xmlns:a16="http://schemas.microsoft.com/office/drawing/2014/main" id="{00000000-0008-0000-0C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9" name="Picture 1" descr="TDK CI Mark_blue_RGB_highres">
          <a:extLst>
            <a:ext uri="{FF2B5EF4-FFF2-40B4-BE49-F238E27FC236}">
              <a16:creationId xmlns:a16="http://schemas.microsoft.com/office/drawing/2014/main" id="{00000000-0008-0000-0C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0" name="Picture 1" descr="TDK CI Mark_blue_RGB_highres">
          <a:extLst>
            <a:ext uri="{FF2B5EF4-FFF2-40B4-BE49-F238E27FC236}">
              <a16:creationId xmlns:a16="http://schemas.microsoft.com/office/drawing/2014/main" id="{00000000-0008-0000-0C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1" name="Picture 1" descr="TDK CI Mark_blue_RGB_highres">
          <a:extLst>
            <a:ext uri="{FF2B5EF4-FFF2-40B4-BE49-F238E27FC236}">
              <a16:creationId xmlns:a16="http://schemas.microsoft.com/office/drawing/2014/main" id="{00000000-0008-0000-0C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2" name="Picture 1" descr="TDK CI Mark_blue_RGB_highres">
          <a:extLst>
            <a:ext uri="{FF2B5EF4-FFF2-40B4-BE49-F238E27FC236}">
              <a16:creationId xmlns:a16="http://schemas.microsoft.com/office/drawing/2014/main" id="{00000000-0008-0000-0C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3" name="Picture 1" descr="TDK CI Mark_blue_RGB_highres">
          <a:extLst>
            <a:ext uri="{FF2B5EF4-FFF2-40B4-BE49-F238E27FC236}">
              <a16:creationId xmlns:a16="http://schemas.microsoft.com/office/drawing/2014/main" id="{00000000-0008-0000-0C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4" name="Picture 66" descr="TDK CI Mark_blue_RGB_highres">
          <a:extLst>
            <a:ext uri="{FF2B5EF4-FFF2-40B4-BE49-F238E27FC236}">
              <a16:creationId xmlns:a16="http://schemas.microsoft.com/office/drawing/2014/main" id="{00000000-0008-0000-0C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5" name="Picture 1" descr="TDK CI Mark_blue_RGB_highres">
          <a:extLst>
            <a:ext uri="{FF2B5EF4-FFF2-40B4-BE49-F238E27FC236}">
              <a16:creationId xmlns:a16="http://schemas.microsoft.com/office/drawing/2014/main" id="{00000000-0008-0000-0C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6" name="Picture 1" descr="TDK CI Mark_blue_RGB_highres">
          <a:extLst>
            <a:ext uri="{FF2B5EF4-FFF2-40B4-BE49-F238E27FC236}">
              <a16:creationId xmlns:a16="http://schemas.microsoft.com/office/drawing/2014/main" id="{00000000-0008-0000-0C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7" name="Picture 1" descr="TDK CI Mark_blue_RGB_highres">
          <a:extLst>
            <a:ext uri="{FF2B5EF4-FFF2-40B4-BE49-F238E27FC236}">
              <a16:creationId xmlns:a16="http://schemas.microsoft.com/office/drawing/2014/main" id="{00000000-0008-0000-0C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8" name="Picture 1" descr="TDK CI Mark_blue_RGB_highres">
          <a:extLst>
            <a:ext uri="{FF2B5EF4-FFF2-40B4-BE49-F238E27FC236}">
              <a16:creationId xmlns:a16="http://schemas.microsoft.com/office/drawing/2014/main" id="{00000000-0008-0000-0C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9" name="Picture 1" descr="TDK CI Mark_blue_RGB_highres">
          <a:extLst>
            <a:ext uri="{FF2B5EF4-FFF2-40B4-BE49-F238E27FC236}">
              <a16:creationId xmlns:a16="http://schemas.microsoft.com/office/drawing/2014/main" id="{00000000-0008-0000-0C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0" name="Picture 1" descr="TDK CI Mark_blue_RGB_highres">
          <a:extLst>
            <a:ext uri="{FF2B5EF4-FFF2-40B4-BE49-F238E27FC236}">
              <a16:creationId xmlns:a16="http://schemas.microsoft.com/office/drawing/2014/main" id="{00000000-0008-0000-0C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1" name="Picture 1" descr="TDK CI Mark_blue_RGB_highres">
          <a:extLst>
            <a:ext uri="{FF2B5EF4-FFF2-40B4-BE49-F238E27FC236}">
              <a16:creationId xmlns:a16="http://schemas.microsoft.com/office/drawing/2014/main" id="{00000000-0008-0000-0C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2" name="Picture 1" descr="TDK CI Mark_blue_RGB_highres">
          <a:extLst>
            <a:ext uri="{FF2B5EF4-FFF2-40B4-BE49-F238E27FC236}">
              <a16:creationId xmlns:a16="http://schemas.microsoft.com/office/drawing/2014/main" id="{00000000-0008-0000-0C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3" name="Picture 1" descr="TDK CI Mark_blue_RGB_highres">
          <a:extLst>
            <a:ext uri="{FF2B5EF4-FFF2-40B4-BE49-F238E27FC236}">
              <a16:creationId xmlns:a16="http://schemas.microsoft.com/office/drawing/2014/main" id="{00000000-0008-0000-0C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34" name="Picture 1" descr="TDK CI Mark_blue_RGB_highres">
          <a:extLst>
            <a:ext uri="{FF2B5EF4-FFF2-40B4-BE49-F238E27FC236}">
              <a16:creationId xmlns:a16="http://schemas.microsoft.com/office/drawing/2014/main" id="{00000000-0008-0000-0C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5" name="Picture 53" descr="TDK CI Mark_blue_RGB_highres">
          <a:extLst>
            <a:ext uri="{FF2B5EF4-FFF2-40B4-BE49-F238E27FC236}">
              <a16:creationId xmlns:a16="http://schemas.microsoft.com/office/drawing/2014/main" id="{00000000-0008-0000-0C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6" name="Picture 1" descr="TDK CI Mark_blue_RGB_highres">
          <a:extLst>
            <a:ext uri="{FF2B5EF4-FFF2-40B4-BE49-F238E27FC236}">
              <a16:creationId xmlns:a16="http://schemas.microsoft.com/office/drawing/2014/main" id="{00000000-0008-0000-0C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7" name="Picture 1" descr="TDK CI Mark_blue_RGB_highres">
          <a:extLst>
            <a:ext uri="{FF2B5EF4-FFF2-40B4-BE49-F238E27FC236}">
              <a16:creationId xmlns:a16="http://schemas.microsoft.com/office/drawing/2014/main" id="{00000000-0008-0000-0C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8" name="Picture 1" descr="TDK CI Mark_blue_RGB_highres">
          <a:extLst>
            <a:ext uri="{FF2B5EF4-FFF2-40B4-BE49-F238E27FC236}">
              <a16:creationId xmlns:a16="http://schemas.microsoft.com/office/drawing/2014/main" id="{00000000-0008-0000-0C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9" name="Picture 1" descr="TDK CI Mark_blue_RGB_highres">
          <a:extLst>
            <a:ext uri="{FF2B5EF4-FFF2-40B4-BE49-F238E27FC236}">
              <a16:creationId xmlns:a16="http://schemas.microsoft.com/office/drawing/2014/main" id="{00000000-0008-0000-0C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0" name="Picture 1" descr="TDK CI Mark_blue_RGB_highres">
          <a:extLst>
            <a:ext uri="{FF2B5EF4-FFF2-40B4-BE49-F238E27FC236}">
              <a16:creationId xmlns:a16="http://schemas.microsoft.com/office/drawing/2014/main" id="{00000000-0008-0000-0C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1" name="Picture 1" descr="TDK CI Mark_blue_RGB_highres">
          <a:extLst>
            <a:ext uri="{FF2B5EF4-FFF2-40B4-BE49-F238E27FC236}">
              <a16:creationId xmlns:a16="http://schemas.microsoft.com/office/drawing/2014/main" id="{00000000-0008-0000-0C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2" name="Picture 1" descr="TDK CI Mark_blue_RGB_highres">
          <a:extLst>
            <a:ext uri="{FF2B5EF4-FFF2-40B4-BE49-F238E27FC236}">
              <a16:creationId xmlns:a16="http://schemas.microsoft.com/office/drawing/2014/main" id="{00000000-0008-0000-0C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3" name="Picture 1" descr="TDK CI Mark_blue_RGB_highres">
          <a:extLst>
            <a:ext uri="{FF2B5EF4-FFF2-40B4-BE49-F238E27FC236}">
              <a16:creationId xmlns:a16="http://schemas.microsoft.com/office/drawing/2014/main" id="{00000000-0008-0000-0C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4" name="Picture 1" descr="TDK CI Mark_blue_RGB_highres">
          <a:extLst>
            <a:ext uri="{FF2B5EF4-FFF2-40B4-BE49-F238E27FC236}">
              <a16:creationId xmlns:a16="http://schemas.microsoft.com/office/drawing/2014/main" id="{00000000-0008-0000-0C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45" name="Picture 1" descr="TDK CI Mark_blue_RGB_highres">
          <a:extLst>
            <a:ext uri="{FF2B5EF4-FFF2-40B4-BE49-F238E27FC236}">
              <a16:creationId xmlns:a16="http://schemas.microsoft.com/office/drawing/2014/main" id="{00000000-0008-0000-0C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6" name="Picture 66" descr="TDK CI Mark_blue_RGB_highres">
          <a:extLst>
            <a:ext uri="{FF2B5EF4-FFF2-40B4-BE49-F238E27FC236}">
              <a16:creationId xmlns:a16="http://schemas.microsoft.com/office/drawing/2014/main" id="{00000000-0008-0000-0C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7" name="Picture 1" descr="TDK CI Mark_blue_RGB_highres">
          <a:extLst>
            <a:ext uri="{FF2B5EF4-FFF2-40B4-BE49-F238E27FC236}">
              <a16:creationId xmlns:a16="http://schemas.microsoft.com/office/drawing/2014/main" id="{00000000-0008-0000-0C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8" name="Picture 1" descr="TDK CI Mark_blue_RGB_highres">
          <a:extLst>
            <a:ext uri="{FF2B5EF4-FFF2-40B4-BE49-F238E27FC236}">
              <a16:creationId xmlns:a16="http://schemas.microsoft.com/office/drawing/2014/main" id="{00000000-0008-0000-0C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9" name="Picture 1" descr="TDK CI Mark_blue_RGB_highres">
          <a:extLst>
            <a:ext uri="{FF2B5EF4-FFF2-40B4-BE49-F238E27FC236}">
              <a16:creationId xmlns:a16="http://schemas.microsoft.com/office/drawing/2014/main" id="{00000000-0008-0000-0C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0" name="Picture 1" descr="TDK CI Mark_blue_RGB_highres">
          <a:extLst>
            <a:ext uri="{FF2B5EF4-FFF2-40B4-BE49-F238E27FC236}">
              <a16:creationId xmlns:a16="http://schemas.microsoft.com/office/drawing/2014/main" id="{00000000-0008-0000-0C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1" name="Picture 1" descr="TDK CI Mark_blue_RGB_highres">
          <a:extLst>
            <a:ext uri="{FF2B5EF4-FFF2-40B4-BE49-F238E27FC236}">
              <a16:creationId xmlns:a16="http://schemas.microsoft.com/office/drawing/2014/main" id="{00000000-0008-0000-0C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2" name="Picture 1" descr="TDK CI Mark_blue_RGB_highres">
          <a:extLst>
            <a:ext uri="{FF2B5EF4-FFF2-40B4-BE49-F238E27FC236}">
              <a16:creationId xmlns:a16="http://schemas.microsoft.com/office/drawing/2014/main" id="{00000000-0008-0000-0C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3" name="Picture 1" descr="TDK CI Mark_blue_RGB_highres">
          <a:extLst>
            <a:ext uri="{FF2B5EF4-FFF2-40B4-BE49-F238E27FC236}">
              <a16:creationId xmlns:a16="http://schemas.microsoft.com/office/drawing/2014/main" id="{00000000-0008-0000-0C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4" name="Picture 1" descr="TDK CI Mark_blue_RGB_highres">
          <a:extLst>
            <a:ext uri="{FF2B5EF4-FFF2-40B4-BE49-F238E27FC236}">
              <a16:creationId xmlns:a16="http://schemas.microsoft.com/office/drawing/2014/main" id="{00000000-0008-0000-0C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5" name="Picture 1" descr="TDK CI Mark_blue_RGB_highres">
          <a:extLst>
            <a:ext uri="{FF2B5EF4-FFF2-40B4-BE49-F238E27FC236}">
              <a16:creationId xmlns:a16="http://schemas.microsoft.com/office/drawing/2014/main" id="{00000000-0008-0000-0C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56" name="Picture 1" descr="TDK CI Mark_blue_RGB_highres">
          <a:extLst>
            <a:ext uri="{FF2B5EF4-FFF2-40B4-BE49-F238E27FC236}">
              <a16:creationId xmlns:a16="http://schemas.microsoft.com/office/drawing/2014/main" id="{00000000-0008-0000-0C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105</xdr:row>
      <xdr:rowOff>76200</xdr:rowOff>
    </xdr:from>
    <xdr:ext cx="1000125" cy="447675"/>
    <xdr:pic>
      <xdr:nvPicPr>
        <xdr:cNvPr id="657" name="Picture 3" descr="TDK CI Mark_blue_RGB_highres">
          <a:extLst>
            <a:ext uri="{FF2B5EF4-FFF2-40B4-BE49-F238E27FC236}">
              <a16:creationId xmlns:a16="http://schemas.microsoft.com/office/drawing/2014/main" id="{00000000-0008-0000-0C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96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8" name="Picture 53" descr="TDK CI Mark_blue_RGB_highres">
          <a:extLst>
            <a:ext uri="{FF2B5EF4-FFF2-40B4-BE49-F238E27FC236}">
              <a16:creationId xmlns:a16="http://schemas.microsoft.com/office/drawing/2014/main" id="{00000000-0008-0000-0C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9" name="Picture 1" descr="TDK CI Mark_blue_RGB_highres">
          <a:extLst>
            <a:ext uri="{FF2B5EF4-FFF2-40B4-BE49-F238E27FC236}">
              <a16:creationId xmlns:a16="http://schemas.microsoft.com/office/drawing/2014/main" id="{00000000-0008-0000-0C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0" name="Picture 1" descr="TDK CI Mark_blue_RGB_highres">
          <a:extLst>
            <a:ext uri="{FF2B5EF4-FFF2-40B4-BE49-F238E27FC236}">
              <a16:creationId xmlns:a16="http://schemas.microsoft.com/office/drawing/2014/main" id="{00000000-0008-0000-0C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1" name="Picture 1" descr="TDK CI Mark_blue_RGB_highres">
          <a:extLst>
            <a:ext uri="{FF2B5EF4-FFF2-40B4-BE49-F238E27FC236}">
              <a16:creationId xmlns:a16="http://schemas.microsoft.com/office/drawing/2014/main" id="{00000000-0008-0000-0C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2" name="Picture 1" descr="TDK CI Mark_blue_RGB_highres">
          <a:extLst>
            <a:ext uri="{FF2B5EF4-FFF2-40B4-BE49-F238E27FC236}">
              <a16:creationId xmlns:a16="http://schemas.microsoft.com/office/drawing/2014/main" id="{00000000-0008-0000-0C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3" name="Picture 1" descr="TDK CI Mark_blue_RGB_highres">
          <a:extLst>
            <a:ext uri="{FF2B5EF4-FFF2-40B4-BE49-F238E27FC236}">
              <a16:creationId xmlns:a16="http://schemas.microsoft.com/office/drawing/2014/main" id="{00000000-0008-0000-0C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4" name="Picture 1" descr="TDK CI Mark_blue_RGB_highres">
          <a:extLst>
            <a:ext uri="{FF2B5EF4-FFF2-40B4-BE49-F238E27FC236}">
              <a16:creationId xmlns:a16="http://schemas.microsoft.com/office/drawing/2014/main" id="{00000000-0008-0000-0C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5" name="Picture 1" descr="TDK CI Mark_blue_RGB_highres">
          <a:extLst>
            <a:ext uri="{FF2B5EF4-FFF2-40B4-BE49-F238E27FC236}">
              <a16:creationId xmlns:a16="http://schemas.microsoft.com/office/drawing/2014/main" id="{00000000-0008-0000-0C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6" name="Picture 1" descr="TDK CI Mark_blue_RGB_highres">
          <a:extLst>
            <a:ext uri="{FF2B5EF4-FFF2-40B4-BE49-F238E27FC236}">
              <a16:creationId xmlns:a16="http://schemas.microsoft.com/office/drawing/2014/main" id="{00000000-0008-0000-0C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7" name="Picture 1" descr="TDK CI Mark_blue_RGB_highres">
          <a:extLst>
            <a:ext uri="{FF2B5EF4-FFF2-40B4-BE49-F238E27FC236}">
              <a16:creationId xmlns:a16="http://schemas.microsoft.com/office/drawing/2014/main" id="{00000000-0008-0000-0C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8" name="Picture 66" descr="TDK CI Mark_blue_RGB_highres">
          <a:extLst>
            <a:ext uri="{FF2B5EF4-FFF2-40B4-BE49-F238E27FC236}">
              <a16:creationId xmlns:a16="http://schemas.microsoft.com/office/drawing/2014/main" id="{00000000-0008-0000-0C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9" name="Picture 1" descr="TDK CI Mark_blue_RGB_highres">
          <a:extLst>
            <a:ext uri="{FF2B5EF4-FFF2-40B4-BE49-F238E27FC236}">
              <a16:creationId xmlns:a16="http://schemas.microsoft.com/office/drawing/2014/main" id="{00000000-0008-0000-0C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0" name="Picture 1" descr="TDK CI Mark_blue_RGB_highres">
          <a:extLst>
            <a:ext uri="{FF2B5EF4-FFF2-40B4-BE49-F238E27FC236}">
              <a16:creationId xmlns:a16="http://schemas.microsoft.com/office/drawing/2014/main" id="{00000000-0008-0000-0C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1" name="Picture 1" descr="TDK CI Mark_blue_RGB_highres">
          <a:extLst>
            <a:ext uri="{FF2B5EF4-FFF2-40B4-BE49-F238E27FC236}">
              <a16:creationId xmlns:a16="http://schemas.microsoft.com/office/drawing/2014/main" id="{00000000-0008-0000-0C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2" name="Picture 1" descr="TDK CI Mark_blue_RGB_highres">
          <a:extLst>
            <a:ext uri="{FF2B5EF4-FFF2-40B4-BE49-F238E27FC236}">
              <a16:creationId xmlns:a16="http://schemas.microsoft.com/office/drawing/2014/main" id="{00000000-0008-0000-0C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3" name="Picture 1" descr="TDK CI Mark_blue_RGB_highres">
          <a:extLst>
            <a:ext uri="{FF2B5EF4-FFF2-40B4-BE49-F238E27FC236}">
              <a16:creationId xmlns:a16="http://schemas.microsoft.com/office/drawing/2014/main" id="{00000000-0008-0000-0C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4" name="Picture 1" descr="TDK CI Mark_blue_RGB_highres">
          <a:extLst>
            <a:ext uri="{FF2B5EF4-FFF2-40B4-BE49-F238E27FC236}">
              <a16:creationId xmlns:a16="http://schemas.microsoft.com/office/drawing/2014/main" id="{00000000-0008-0000-0C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5" name="Picture 1" descr="TDK CI Mark_blue_RGB_highres">
          <a:extLst>
            <a:ext uri="{FF2B5EF4-FFF2-40B4-BE49-F238E27FC236}">
              <a16:creationId xmlns:a16="http://schemas.microsoft.com/office/drawing/2014/main" id="{00000000-0008-0000-0C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6" name="Picture 1" descr="TDK CI Mark_blue_RGB_highres">
          <a:extLst>
            <a:ext uri="{FF2B5EF4-FFF2-40B4-BE49-F238E27FC236}">
              <a16:creationId xmlns:a16="http://schemas.microsoft.com/office/drawing/2014/main" id="{00000000-0008-0000-0C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7" name="Picture 1" descr="TDK CI Mark_blue_RGB_highres">
          <a:extLst>
            <a:ext uri="{FF2B5EF4-FFF2-40B4-BE49-F238E27FC236}">
              <a16:creationId xmlns:a16="http://schemas.microsoft.com/office/drawing/2014/main" id="{00000000-0008-0000-0C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78" name="Picture 1" descr="TDK CI Mark_blue_RGB_highres">
          <a:extLst>
            <a:ext uri="{FF2B5EF4-FFF2-40B4-BE49-F238E27FC236}">
              <a16:creationId xmlns:a16="http://schemas.microsoft.com/office/drawing/2014/main" id="{00000000-0008-0000-0C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9" name="Picture 53" descr="TDK CI Mark_blue_RGB_highres">
          <a:extLst>
            <a:ext uri="{FF2B5EF4-FFF2-40B4-BE49-F238E27FC236}">
              <a16:creationId xmlns:a16="http://schemas.microsoft.com/office/drawing/2014/main" id="{00000000-0008-0000-0C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0" name="Picture 1" descr="TDK CI Mark_blue_RGB_highres">
          <a:extLst>
            <a:ext uri="{FF2B5EF4-FFF2-40B4-BE49-F238E27FC236}">
              <a16:creationId xmlns:a16="http://schemas.microsoft.com/office/drawing/2014/main" id="{00000000-0008-0000-0C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1" name="Picture 1" descr="TDK CI Mark_blue_RGB_highres">
          <a:extLst>
            <a:ext uri="{FF2B5EF4-FFF2-40B4-BE49-F238E27FC236}">
              <a16:creationId xmlns:a16="http://schemas.microsoft.com/office/drawing/2014/main" id="{00000000-0008-0000-0C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2" name="Picture 1" descr="TDK CI Mark_blue_RGB_highres">
          <a:extLst>
            <a:ext uri="{FF2B5EF4-FFF2-40B4-BE49-F238E27FC236}">
              <a16:creationId xmlns:a16="http://schemas.microsoft.com/office/drawing/2014/main" id="{00000000-0008-0000-0C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3" name="Picture 1" descr="TDK CI Mark_blue_RGB_highres">
          <a:extLst>
            <a:ext uri="{FF2B5EF4-FFF2-40B4-BE49-F238E27FC236}">
              <a16:creationId xmlns:a16="http://schemas.microsoft.com/office/drawing/2014/main" id="{00000000-0008-0000-0C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4" name="Picture 1" descr="TDK CI Mark_blue_RGB_highres">
          <a:extLst>
            <a:ext uri="{FF2B5EF4-FFF2-40B4-BE49-F238E27FC236}">
              <a16:creationId xmlns:a16="http://schemas.microsoft.com/office/drawing/2014/main" id="{00000000-0008-0000-0C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5" name="Picture 1" descr="TDK CI Mark_blue_RGB_highres">
          <a:extLst>
            <a:ext uri="{FF2B5EF4-FFF2-40B4-BE49-F238E27FC236}">
              <a16:creationId xmlns:a16="http://schemas.microsoft.com/office/drawing/2014/main" id="{00000000-0008-0000-0C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6" name="Picture 1" descr="TDK CI Mark_blue_RGB_highres">
          <a:extLst>
            <a:ext uri="{FF2B5EF4-FFF2-40B4-BE49-F238E27FC236}">
              <a16:creationId xmlns:a16="http://schemas.microsoft.com/office/drawing/2014/main" id="{00000000-0008-0000-0C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7" name="Picture 1" descr="TDK CI Mark_blue_RGB_highres">
          <a:extLst>
            <a:ext uri="{FF2B5EF4-FFF2-40B4-BE49-F238E27FC236}">
              <a16:creationId xmlns:a16="http://schemas.microsoft.com/office/drawing/2014/main" id="{00000000-0008-0000-0C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8" name="Picture 1" descr="TDK CI Mark_blue_RGB_highres">
          <a:extLst>
            <a:ext uri="{FF2B5EF4-FFF2-40B4-BE49-F238E27FC236}">
              <a16:creationId xmlns:a16="http://schemas.microsoft.com/office/drawing/2014/main" id="{00000000-0008-0000-0C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89" name="Picture 1" descr="TDK CI Mark_blue_RGB_highres">
          <a:extLst>
            <a:ext uri="{FF2B5EF4-FFF2-40B4-BE49-F238E27FC236}">
              <a16:creationId xmlns:a16="http://schemas.microsoft.com/office/drawing/2014/main" id="{00000000-0008-0000-0C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0" name="Picture 66" descr="TDK CI Mark_blue_RGB_highres">
          <a:extLst>
            <a:ext uri="{FF2B5EF4-FFF2-40B4-BE49-F238E27FC236}">
              <a16:creationId xmlns:a16="http://schemas.microsoft.com/office/drawing/2014/main" id="{00000000-0008-0000-0C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1" name="Picture 1" descr="TDK CI Mark_blue_RGB_highres">
          <a:extLst>
            <a:ext uri="{FF2B5EF4-FFF2-40B4-BE49-F238E27FC236}">
              <a16:creationId xmlns:a16="http://schemas.microsoft.com/office/drawing/2014/main" id="{00000000-0008-0000-0C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2" name="Picture 1" descr="TDK CI Mark_blue_RGB_highres">
          <a:extLst>
            <a:ext uri="{FF2B5EF4-FFF2-40B4-BE49-F238E27FC236}">
              <a16:creationId xmlns:a16="http://schemas.microsoft.com/office/drawing/2014/main" id="{00000000-0008-0000-0C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3" name="Picture 1" descr="TDK CI Mark_blue_RGB_highres">
          <a:extLst>
            <a:ext uri="{FF2B5EF4-FFF2-40B4-BE49-F238E27FC236}">
              <a16:creationId xmlns:a16="http://schemas.microsoft.com/office/drawing/2014/main" id="{00000000-0008-0000-0C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4" name="Picture 1" descr="TDK CI Mark_blue_RGB_highres">
          <a:extLst>
            <a:ext uri="{FF2B5EF4-FFF2-40B4-BE49-F238E27FC236}">
              <a16:creationId xmlns:a16="http://schemas.microsoft.com/office/drawing/2014/main" id="{00000000-0008-0000-0C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5" name="Picture 1" descr="TDK CI Mark_blue_RGB_highres">
          <a:extLst>
            <a:ext uri="{FF2B5EF4-FFF2-40B4-BE49-F238E27FC236}">
              <a16:creationId xmlns:a16="http://schemas.microsoft.com/office/drawing/2014/main" id="{00000000-0008-0000-0C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6" name="Picture 1" descr="TDK CI Mark_blue_RGB_highres">
          <a:extLst>
            <a:ext uri="{FF2B5EF4-FFF2-40B4-BE49-F238E27FC236}">
              <a16:creationId xmlns:a16="http://schemas.microsoft.com/office/drawing/2014/main" id="{00000000-0008-0000-0C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7" name="Picture 1" descr="TDK CI Mark_blue_RGB_highres">
          <a:extLst>
            <a:ext uri="{FF2B5EF4-FFF2-40B4-BE49-F238E27FC236}">
              <a16:creationId xmlns:a16="http://schemas.microsoft.com/office/drawing/2014/main" id="{00000000-0008-0000-0C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8" name="Picture 1" descr="TDK CI Mark_blue_RGB_highres">
          <a:extLst>
            <a:ext uri="{FF2B5EF4-FFF2-40B4-BE49-F238E27FC236}">
              <a16:creationId xmlns:a16="http://schemas.microsoft.com/office/drawing/2014/main" id="{00000000-0008-0000-0C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9" name="Picture 1" descr="TDK CI Mark_blue_RGB_highres">
          <a:extLst>
            <a:ext uri="{FF2B5EF4-FFF2-40B4-BE49-F238E27FC236}">
              <a16:creationId xmlns:a16="http://schemas.microsoft.com/office/drawing/2014/main" id="{00000000-0008-0000-0C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700" name="Picture 1" descr="TDK CI Mark_blue_RGB_highres">
          <a:extLst>
            <a:ext uri="{FF2B5EF4-FFF2-40B4-BE49-F238E27FC236}">
              <a16:creationId xmlns:a16="http://schemas.microsoft.com/office/drawing/2014/main" id="{00000000-0008-0000-0C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1009650</xdr:colOff>
      <xdr:row>0</xdr:row>
      <xdr:rowOff>28575</xdr:rowOff>
    </xdr:from>
    <xdr:ext cx="0" cy="657225"/>
    <xdr:pic>
      <xdr:nvPicPr>
        <xdr:cNvPr id="2" name="Picture 53" descr="TDK CI Mark_blue_RGB_highres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" name="Picture 1" descr="TDK CI Mark_blue_RGB_highres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" name="Picture 1" descr="TDK CI Mark_blue_RGB_highres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5" name="Picture 1" descr="TDK CI Mark_blue_RGB_highres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6" name="Picture 1" descr="TDK CI Mark_blue_RGB_highres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7" name="Picture 1" descr="TDK CI Mark_blue_RGB_highres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8" name="Picture 1" descr="TDK CI Mark_blue_RGB_highres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9" name="Picture 1" descr="TDK CI Mark_blue_RGB_highres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0" name="Picture 1" descr="TDK CI Mark_blue_RGB_highres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1" name="Picture 1" descr="TDK CI Mark_blue_RGB_highres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2" name="Picture 66" descr="TDK CI Mark_blue_RGB_highres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3" name="Picture 1" descr="TDK CI Mark_blue_RGB_highres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4" name="Picture 1" descr="TDK CI Mark_blue_RGB_highres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5" name="Picture 1" descr="TDK CI Mark_blue_RGB_highres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6" name="Picture 1" descr="TDK CI Mark_blue_RGB_highres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7" name="Picture 1" descr="TDK CI Mark_blue_RGB_highres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8" name="Picture 1" descr="TDK CI Mark_blue_RGB_highres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9" name="Picture 1" descr="TDK CI Mark_blue_RGB_highres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0" name="Picture 1" descr="TDK CI Mark_blue_RGB_highres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1" name="Picture 1" descr="TDK CI Mark_blue_RGB_highres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22" name="Picture 1" descr="TDK CI Mark_blue_RGB_highres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3" name="Picture 53" descr="TDK CI Mark_blue_RGB_highres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4" name="Picture 1" descr="TDK CI Mark_blue_RGB_highres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5" name="Picture 1" descr="TDK CI Mark_blue_RGB_highres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6" name="Picture 1" descr="TDK CI Mark_blue_RGB_highres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7" name="Picture 1" descr="TDK CI Mark_blue_RGB_highres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8" name="Picture 1" descr="TDK CI Mark_blue_RGB_highres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9" name="Picture 1" descr="TDK CI Mark_blue_RGB_highres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0" name="Picture 1" descr="TDK CI Mark_blue_RGB_highres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1" name="Picture 1" descr="TDK CI Mark_blue_RGB_highres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2" name="Picture 1" descr="TDK CI Mark_blue_RGB_highres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33" name="Picture 1" descr="TDK CI Mark_blue_RGB_highres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4" name="Picture 66" descr="TDK CI Mark_blue_RGB_highres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5" name="Picture 1" descr="TDK CI Mark_blue_RGB_highres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6" name="Picture 1" descr="TDK CI Mark_blue_RGB_highres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7" name="Picture 1" descr="TDK CI Mark_blue_RGB_highres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8" name="Picture 1" descr="TDK CI Mark_blue_RGB_highres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9" name="Picture 1" descr="TDK CI Mark_blue_RGB_highres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0" name="Picture 1" descr="TDK CI Mark_blue_RGB_highres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1" name="Picture 1" descr="TDK CI Mark_blue_RGB_highres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2" name="Picture 1" descr="TDK CI Mark_blue_RGB_highres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3" name="Picture 1" descr="TDK CI Mark_blue_RGB_highres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44" name="Picture 1" descr="TDK CI Mark_blue_RGB_highres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76200</xdr:rowOff>
    </xdr:from>
    <xdr:ext cx="1000125" cy="447675"/>
    <xdr:pic>
      <xdr:nvPicPr>
        <xdr:cNvPr id="45" name="Picture 3" descr="TDK CI Mark_blue_RGB_highres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6" name="Picture 53" descr="TDK CI Mark_blue_RGB_highres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7" name="Picture 1" descr="TDK CI Mark_blue_RGB_highres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8" name="Picture 1" descr="TDK CI Mark_blue_RGB_highres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9" name="Picture 1" descr="TDK CI Mark_blue_RGB_highres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0" name="Picture 1" descr="TDK CI Mark_blue_RGB_highres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1" name="Picture 1" descr="TDK CI Mark_blue_RGB_highres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" name="Picture 1" descr="TDK CI Mark_blue_RGB_highres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" name="Picture 1" descr="TDK CI Mark_blue_RGB_highres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" name="Picture 1" descr="TDK CI Mark_blue_RGB_highres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" name="Picture 1" descr="TDK CI Mark_blue_RGB_highres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" name="Picture 66" descr="TDK CI Mark_blue_RGB_highres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" name="Picture 1" descr="TDK CI Mark_blue_RGB_highres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" name="Picture 1" descr="TDK CI Mark_blue_RGB_highres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" name="Picture 1" descr="TDK CI Mark_blue_RGB_highres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" name="Picture 1" descr="TDK CI Mark_blue_RGB_highres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" name="Picture 1" descr="TDK CI Mark_blue_RGB_highres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2" name="Picture 1" descr="TDK CI Mark_blue_RGB_highres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3" name="Picture 1" descr="TDK CI Mark_blue_RGB_highres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4" name="Picture 1" descr="TDK CI Mark_blue_RGB_highres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5" name="Picture 1" descr="TDK CI Mark_blue_RGB_highres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66" name="Picture 1" descr="TDK CI Mark_blue_RGB_highres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7" name="Picture 53" descr="TDK CI Mark_blue_RGB_highres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8" name="Picture 1" descr="TDK CI Mark_blue_RGB_highres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9" name="Picture 1" descr="TDK CI Mark_blue_RGB_highres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0" name="Picture 1" descr="TDK CI Mark_blue_RGB_highres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1" name="Picture 1" descr="TDK CI Mark_blue_RGB_highres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2" name="Picture 1" descr="TDK CI Mark_blue_RGB_highres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3" name="Picture 1" descr="TDK CI Mark_blue_RGB_highres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4" name="Picture 1" descr="TDK CI Mark_blue_RGB_highres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5" name="Picture 1" descr="TDK CI Mark_blue_RGB_highres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6" name="Picture 1" descr="TDK CI Mark_blue_RGB_highres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77" name="Picture 1" descr="TDK CI Mark_blue_RGB_highres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8" name="Picture 66" descr="TDK CI Mark_blue_RGB_highres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9" name="Picture 1" descr="TDK CI Mark_blue_RGB_highres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0" name="Picture 1" descr="TDK CI Mark_blue_RGB_highres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1" name="Picture 1" descr="TDK CI Mark_blue_RGB_highres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2" name="Picture 1" descr="TDK CI Mark_blue_RGB_highres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3" name="Picture 1" descr="TDK CI Mark_blue_RGB_highres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4" name="Picture 1" descr="TDK CI Mark_blue_RGB_highres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5" name="Picture 1" descr="TDK CI Mark_blue_RGB_highres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6" name="Picture 1" descr="TDK CI Mark_blue_RGB_highres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7" name="Picture 1" descr="TDK CI Mark_blue_RGB_highres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88" name="Picture 1" descr="TDK CI Mark_blue_RGB_highres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76200</xdr:rowOff>
    </xdr:from>
    <xdr:ext cx="1000125" cy="447675"/>
    <xdr:pic>
      <xdr:nvPicPr>
        <xdr:cNvPr id="89" name="Picture 3" descr="TDK CI Mark_blue_RGB_highres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0" name="Picture 53" descr="TDK CI Mark_blue_RGB_highres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1" name="Picture 1" descr="TDK CI Mark_blue_RGB_highres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2" name="Picture 1" descr="TDK CI Mark_blue_RGB_highres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3" name="Picture 1" descr="TDK CI Mark_blue_RGB_highres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4" name="Picture 1" descr="TDK CI Mark_blue_RGB_highres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5" name="Picture 1" descr="TDK CI Mark_blue_RGB_highres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6" name="Picture 1" descr="TDK CI Mark_blue_RGB_highres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7" name="Picture 1" descr="TDK CI Mark_blue_RGB_highres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8" name="Picture 1" descr="TDK CI Mark_blue_RGB_highres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9" name="Picture 1" descr="TDK CI Mark_blue_RGB_highres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0" name="Picture 66" descr="TDK CI Mark_blue_RGB_highres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1" name="Picture 1" descr="TDK CI Mark_blue_RGB_highres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2" name="Picture 1" descr="TDK CI Mark_blue_RGB_highres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3" name="Picture 1" descr="TDK CI Mark_blue_RGB_highres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4" name="Picture 1" descr="TDK CI Mark_blue_RGB_highres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5" name="Picture 1" descr="TDK CI Mark_blue_RGB_highres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6" name="Picture 1" descr="TDK CI Mark_blue_RGB_highres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7" name="Picture 1" descr="TDK CI Mark_blue_RGB_highres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8" name="Picture 1" descr="TDK CI Mark_blue_RGB_highres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9" name="Picture 1" descr="TDK CI Mark_blue_RGB_highres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110" name="Picture 1" descr="TDK CI Mark_blue_RGB_highres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1" name="Picture 53" descr="TDK CI Mark_blue_RGB_highres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2" name="Picture 1" descr="TDK CI Mark_blue_RGB_highres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3" name="Picture 1" descr="TDK CI Mark_blue_RGB_highres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4" name="Picture 1" descr="TDK CI Mark_blue_RGB_highres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5" name="Picture 1" descr="TDK CI Mark_blue_RGB_highres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6" name="Picture 1" descr="TDK CI Mark_blue_RGB_highres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7" name="Picture 1" descr="TDK CI Mark_blue_RGB_highres">
          <a:extLst>
            <a:ext uri="{FF2B5EF4-FFF2-40B4-BE49-F238E27FC236}">
              <a16:creationId xmlns:a16="http://schemas.microsoft.com/office/drawing/2014/main" id="{00000000-0008-0000-0D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8" name="Picture 1" descr="TDK CI Mark_blue_RGB_highres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9" name="Picture 1" descr="TDK CI Mark_blue_RGB_highres">
          <a:extLst>
            <a:ext uri="{FF2B5EF4-FFF2-40B4-BE49-F238E27FC236}">
              <a16:creationId xmlns:a16="http://schemas.microsoft.com/office/drawing/2014/main" id="{00000000-0008-0000-0D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0" name="Picture 1" descr="TDK CI Mark_blue_RGB_highres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121" name="Picture 1" descr="TDK CI Mark_blue_RGB_highres">
          <a:extLst>
            <a:ext uri="{FF2B5EF4-FFF2-40B4-BE49-F238E27FC236}">
              <a16:creationId xmlns:a16="http://schemas.microsoft.com/office/drawing/2014/main" id="{00000000-0008-0000-0D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2" name="Picture 66" descr="TDK CI Mark_blue_RGB_highres">
          <a:extLst>
            <a:ext uri="{FF2B5EF4-FFF2-40B4-BE49-F238E27FC236}">
              <a16:creationId xmlns:a16="http://schemas.microsoft.com/office/drawing/2014/main" id="{00000000-0008-0000-0D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3" name="Picture 1" descr="TDK CI Mark_blue_RGB_highres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4" name="Picture 1" descr="TDK CI Mark_blue_RGB_highres">
          <a:extLst>
            <a:ext uri="{FF2B5EF4-FFF2-40B4-BE49-F238E27FC236}">
              <a16:creationId xmlns:a16="http://schemas.microsoft.com/office/drawing/2014/main" id="{00000000-0008-0000-0D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5" name="Picture 1" descr="TDK CI Mark_blue_RGB_highres">
          <a:extLst>
            <a:ext uri="{FF2B5EF4-FFF2-40B4-BE49-F238E27FC236}">
              <a16:creationId xmlns:a16="http://schemas.microsoft.com/office/drawing/2014/main" id="{00000000-0008-0000-0D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6" name="Picture 1" descr="TDK CI Mark_blue_RGB_highres">
          <a:extLst>
            <a:ext uri="{FF2B5EF4-FFF2-40B4-BE49-F238E27FC236}">
              <a16:creationId xmlns:a16="http://schemas.microsoft.com/office/drawing/2014/main" id="{00000000-0008-0000-0D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7" name="Picture 1" descr="TDK CI Mark_blue_RGB_highres">
          <a:extLst>
            <a:ext uri="{FF2B5EF4-FFF2-40B4-BE49-F238E27FC236}">
              <a16:creationId xmlns:a16="http://schemas.microsoft.com/office/drawing/2014/main" id="{00000000-0008-0000-0D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8" name="Picture 1" descr="TDK CI Mark_blue_RGB_highres">
          <a:extLst>
            <a:ext uri="{FF2B5EF4-FFF2-40B4-BE49-F238E27FC236}">
              <a16:creationId xmlns:a16="http://schemas.microsoft.com/office/drawing/2014/main" id="{00000000-0008-0000-0D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9" name="Picture 1" descr="TDK CI Mark_blue_RGB_highres">
          <a:extLst>
            <a:ext uri="{FF2B5EF4-FFF2-40B4-BE49-F238E27FC236}">
              <a16:creationId xmlns:a16="http://schemas.microsoft.com/office/drawing/2014/main" id="{00000000-0008-0000-0D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30" name="Picture 1" descr="TDK CI Mark_blue_RGB_highres">
          <a:extLst>
            <a:ext uri="{FF2B5EF4-FFF2-40B4-BE49-F238E27FC236}">
              <a16:creationId xmlns:a16="http://schemas.microsoft.com/office/drawing/2014/main" id="{00000000-0008-0000-0D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31" name="Picture 1" descr="TDK CI Mark_blue_RGB_highres">
          <a:extLst>
            <a:ext uri="{FF2B5EF4-FFF2-40B4-BE49-F238E27FC236}">
              <a16:creationId xmlns:a16="http://schemas.microsoft.com/office/drawing/2014/main" id="{00000000-0008-0000-0D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132" name="Picture 1" descr="TDK CI Mark_blue_RGB_highres">
          <a:extLst>
            <a:ext uri="{FF2B5EF4-FFF2-40B4-BE49-F238E27FC236}">
              <a16:creationId xmlns:a16="http://schemas.microsoft.com/office/drawing/2014/main" id="{00000000-0008-0000-0D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76200</xdr:rowOff>
    </xdr:from>
    <xdr:ext cx="1000125" cy="447675"/>
    <xdr:pic>
      <xdr:nvPicPr>
        <xdr:cNvPr id="133" name="Picture 3" descr="TDK CI Mark_blue_RGB_highres">
          <a:extLst>
            <a:ext uri="{FF2B5EF4-FFF2-40B4-BE49-F238E27FC236}">
              <a16:creationId xmlns:a16="http://schemas.microsoft.com/office/drawing/2014/main" id="{00000000-0008-0000-0D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4" name="Picture 53" descr="TDK CI Mark_blue_RGB_highres">
          <a:extLst>
            <a:ext uri="{FF2B5EF4-FFF2-40B4-BE49-F238E27FC236}">
              <a16:creationId xmlns:a16="http://schemas.microsoft.com/office/drawing/2014/main" id="{00000000-0008-0000-0D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5" name="Picture 1" descr="TDK CI Mark_blue_RGB_highres">
          <a:extLst>
            <a:ext uri="{FF2B5EF4-FFF2-40B4-BE49-F238E27FC236}">
              <a16:creationId xmlns:a16="http://schemas.microsoft.com/office/drawing/2014/main" id="{00000000-0008-0000-0D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6" name="Picture 1" descr="TDK CI Mark_blue_RGB_highres">
          <a:extLst>
            <a:ext uri="{FF2B5EF4-FFF2-40B4-BE49-F238E27FC236}">
              <a16:creationId xmlns:a16="http://schemas.microsoft.com/office/drawing/2014/main" id="{00000000-0008-0000-0D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7" name="Picture 1" descr="TDK CI Mark_blue_RGB_highres">
          <a:extLst>
            <a:ext uri="{FF2B5EF4-FFF2-40B4-BE49-F238E27FC236}">
              <a16:creationId xmlns:a16="http://schemas.microsoft.com/office/drawing/2014/main" id="{00000000-0008-0000-0D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8" name="Picture 1" descr="TDK CI Mark_blue_RGB_highres">
          <a:extLst>
            <a:ext uri="{FF2B5EF4-FFF2-40B4-BE49-F238E27FC236}">
              <a16:creationId xmlns:a16="http://schemas.microsoft.com/office/drawing/2014/main" id="{00000000-0008-0000-0D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9" name="Picture 1" descr="TDK CI Mark_blue_RGB_highres">
          <a:extLst>
            <a:ext uri="{FF2B5EF4-FFF2-40B4-BE49-F238E27FC236}">
              <a16:creationId xmlns:a16="http://schemas.microsoft.com/office/drawing/2014/main" id="{00000000-0008-0000-0D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0" name="Picture 1" descr="TDK CI Mark_blue_RGB_highres">
          <a:extLst>
            <a:ext uri="{FF2B5EF4-FFF2-40B4-BE49-F238E27FC236}">
              <a16:creationId xmlns:a16="http://schemas.microsoft.com/office/drawing/2014/main" id="{00000000-0008-0000-0D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1" name="Picture 1" descr="TDK CI Mark_blue_RGB_highres">
          <a:extLst>
            <a:ext uri="{FF2B5EF4-FFF2-40B4-BE49-F238E27FC236}">
              <a16:creationId xmlns:a16="http://schemas.microsoft.com/office/drawing/2014/main" id="{00000000-0008-0000-0D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2" name="Picture 1" descr="TDK CI Mark_blue_RGB_highres">
          <a:extLst>
            <a:ext uri="{FF2B5EF4-FFF2-40B4-BE49-F238E27FC236}">
              <a16:creationId xmlns:a16="http://schemas.microsoft.com/office/drawing/2014/main" id="{00000000-0008-0000-0D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3" name="Picture 1" descr="TDK CI Mark_blue_RGB_highres">
          <a:extLst>
            <a:ext uri="{FF2B5EF4-FFF2-40B4-BE49-F238E27FC236}">
              <a16:creationId xmlns:a16="http://schemas.microsoft.com/office/drawing/2014/main" id="{00000000-0008-0000-0D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4" name="Picture 66" descr="TDK CI Mark_blue_RGB_highres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5" name="Picture 1" descr="TDK CI Mark_blue_RGB_highres">
          <a:extLst>
            <a:ext uri="{FF2B5EF4-FFF2-40B4-BE49-F238E27FC236}">
              <a16:creationId xmlns:a16="http://schemas.microsoft.com/office/drawing/2014/main" id="{00000000-0008-0000-0D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6" name="Picture 1" descr="TDK CI Mark_blue_RGB_highres">
          <a:extLst>
            <a:ext uri="{FF2B5EF4-FFF2-40B4-BE49-F238E27FC236}">
              <a16:creationId xmlns:a16="http://schemas.microsoft.com/office/drawing/2014/main" id="{00000000-0008-0000-0D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7" name="Picture 1" descr="TDK CI Mark_blue_RGB_highres">
          <a:extLst>
            <a:ext uri="{FF2B5EF4-FFF2-40B4-BE49-F238E27FC236}">
              <a16:creationId xmlns:a16="http://schemas.microsoft.com/office/drawing/2014/main" id="{00000000-0008-0000-0D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8" name="Picture 1" descr="TDK CI Mark_blue_RGB_highres">
          <a:extLst>
            <a:ext uri="{FF2B5EF4-FFF2-40B4-BE49-F238E27FC236}">
              <a16:creationId xmlns:a16="http://schemas.microsoft.com/office/drawing/2014/main" id="{00000000-0008-0000-0D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9" name="Picture 1" descr="TDK CI Mark_blue_RGB_highres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0" name="Picture 1" descr="TDK CI Mark_blue_RGB_highres">
          <a:extLst>
            <a:ext uri="{FF2B5EF4-FFF2-40B4-BE49-F238E27FC236}">
              <a16:creationId xmlns:a16="http://schemas.microsoft.com/office/drawing/2014/main" id="{00000000-0008-0000-0D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1" name="Picture 1" descr="TDK CI Mark_blue_RGB_highres">
          <a:extLst>
            <a:ext uri="{FF2B5EF4-FFF2-40B4-BE49-F238E27FC236}">
              <a16:creationId xmlns:a16="http://schemas.microsoft.com/office/drawing/2014/main" id="{00000000-0008-0000-0D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2" name="Picture 1" descr="TDK CI Mark_blue_RGB_highres">
          <a:extLst>
            <a:ext uri="{FF2B5EF4-FFF2-40B4-BE49-F238E27FC236}">
              <a16:creationId xmlns:a16="http://schemas.microsoft.com/office/drawing/2014/main" id="{00000000-0008-0000-0D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3" name="Picture 1" descr="TDK CI Mark_blue_RGB_highres">
          <a:extLst>
            <a:ext uri="{FF2B5EF4-FFF2-40B4-BE49-F238E27FC236}">
              <a16:creationId xmlns:a16="http://schemas.microsoft.com/office/drawing/2014/main" id="{00000000-0008-0000-0D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54" name="Picture 1" descr="TDK CI Mark_blue_RGB_highres">
          <a:extLst>
            <a:ext uri="{FF2B5EF4-FFF2-40B4-BE49-F238E27FC236}">
              <a16:creationId xmlns:a16="http://schemas.microsoft.com/office/drawing/2014/main" id="{00000000-0008-0000-0D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5" name="Picture 53" descr="TDK CI Mark_blue_RGB_highres">
          <a:extLst>
            <a:ext uri="{FF2B5EF4-FFF2-40B4-BE49-F238E27FC236}">
              <a16:creationId xmlns:a16="http://schemas.microsoft.com/office/drawing/2014/main" id="{00000000-0008-0000-0D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6" name="Picture 1" descr="TDK CI Mark_blue_RGB_highres">
          <a:extLst>
            <a:ext uri="{FF2B5EF4-FFF2-40B4-BE49-F238E27FC236}">
              <a16:creationId xmlns:a16="http://schemas.microsoft.com/office/drawing/2014/main" id="{00000000-0008-0000-0D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7" name="Picture 1" descr="TDK CI Mark_blue_RGB_highres">
          <a:extLst>
            <a:ext uri="{FF2B5EF4-FFF2-40B4-BE49-F238E27FC236}">
              <a16:creationId xmlns:a16="http://schemas.microsoft.com/office/drawing/2014/main" id="{00000000-0008-0000-0D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8" name="Picture 1" descr="TDK CI Mark_blue_RGB_highres">
          <a:extLst>
            <a:ext uri="{FF2B5EF4-FFF2-40B4-BE49-F238E27FC236}">
              <a16:creationId xmlns:a16="http://schemas.microsoft.com/office/drawing/2014/main" id="{00000000-0008-0000-0D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9" name="Picture 1" descr="TDK CI Mark_blue_RGB_highres">
          <a:extLst>
            <a:ext uri="{FF2B5EF4-FFF2-40B4-BE49-F238E27FC236}">
              <a16:creationId xmlns:a16="http://schemas.microsoft.com/office/drawing/2014/main" id="{00000000-0008-0000-0D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0" name="Picture 1" descr="TDK CI Mark_blue_RGB_highres">
          <a:extLst>
            <a:ext uri="{FF2B5EF4-FFF2-40B4-BE49-F238E27FC236}">
              <a16:creationId xmlns:a16="http://schemas.microsoft.com/office/drawing/2014/main" id="{00000000-0008-0000-0D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1" name="Picture 1" descr="TDK CI Mark_blue_RGB_highres">
          <a:extLst>
            <a:ext uri="{FF2B5EF4-FFF2-40B4-BE49-F238E27FC236}">
              <a16:creationId xmlns:a16="http://schemas.microsoft.com/office/drawing/2014/main" id="{00000000-0008-0000-0D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2" name="Picture 1" descr="TDK CI Mark_blue_RGB_highres">
          <a:extLst>
            <a:ext uri="{FF2B5EF4-FFF2-40B4-BE49-F238E27FC236}">
              <a16:creationId xmlns:a16="http://schemas.microsoft.com/office/drawing/2014/main" id="{00000000-0008-0000-0D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3" name="Picture 1" descr="TDK CI Mark_blue_RGB_highres">
          <a:extLst>
            <a:ext uri="{FF2B5EF4-FFF2-40B4-BE49-F238E27FC236}">
              <a16:creationId xmlns:a16="http://schemas.microsoft.com/office/drawing/2014/main" id="{00000000-0008-0000-0D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4" name="Picture 1" descr="TDK CI Mark_blue_RGB_highres">
          <a:extLst>
            <a:ext uri="{FF2B5EF4-FFF2-40B4-BE49-F238E27FC236}">
              <a16:creationId xmlns:a16="http://schemas.microsoft.com/office/drawing/2014/main" id="{00000000-0008-0000-0D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65" name="Picture 1" descr="TDK CI Mark_blue_RGB_highres">
          <a:extLst>
            <a:ext uri="{FF2B5EF4-FFF2-40B4-BE49-F238E27FC236}">
              <a16:creationId xmlns:a16="http://schemas.microsoft.com/office/drawing/2014/main" id="{00000000-0008-0000-0D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6" name="Picture 66" descr="TDK CI Mark_blue_RGB_highres">
          <a:extLst>
            <a:ext uri="{FF2B5EF4-FFF2-40B4-BE49-F238E27FC236}">
              <a16:creationId xmlns:a16="http://schemas.microsoft.com/office/drawing/2014/main" id="{00000000-0008-0000-0D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7" name="Picture 1" descr="TDK CI Mark_blue_RGB_highres">
          <a:extLst>
            <a:ext uri="{FF2B5EF4-FFF2-40B4-BE49-F238E27FC236}">
              <a16:creationId xmlns:a16="http://schemas.microsoft.com/office/drawing/2014/main" id="{00000000-0008-0000-0D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8" name="Picture 1" descr="TDK CI Mark_blue_RGB_highres">
          <a:extLst>
            <a:ext uri="{FF2B5EF4-FFF2-40B4-BE49-F238E27FC236}">
              <a16:creationId xmlns:a16="http://schemas.microsoft.com/office/drawing/2014/main" id="{00000000-0008-0000-0D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9" name="Picture 1" descr="TDK CI Mark_blue_RGB_highres">
          <a:extLst>
            <a:ext uri="{FF2B5EF4-FFF2-40B4-BE49-F238E27FC236}">
              <a16:creationId xmlns:a16="http://schemas.microsoft.com/office/drawing/2014/main" id="{00000000-0008-0000-0D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0" name="Picture 1" descr="TDK CI Mark_blue_RGB_highres">
          <a:extLst>
            <a:ext uri="{FF2B5EF4-FFF2-40B4-BE49-F238E27FC236}">
              <a16:creationId xmlns:a16="http://schemas.microsoft.com/office/drawing/2014/main" id="{00000000-0008-0000-0D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1" name="Picture 1" descr="TDK CI Mark_blue_RGB_highres">
          <a:extLst>
            <a:ext uri="{FF2B5EF4-FFF2-40B4-BE49-F238E27FC236}">
              <a16:creationId xmlns:a16="http://schemas.microsoft.com/office/drawing/2014/main" id="{00000000-0008-0000-0D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2" name="Picture 1" descr="TDK CI Mark_blue_RGB_highres">
          <a:extLst>
            <a:ext uri="{FF2B5EF4-FFF2-40B4-BE49-F238E27FC236}">
              <a16:creationId xmlns:a16="http://schemas.microsoft.com/office/drawing/2014/main" id="{00000000-0008-0000-0D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3" name="Picture 1" descr="TDK CI Mark_blue_RGB_highres">
          <a:extLst>
            <a:ext uri="{FF2B5EF4-FFF2-40B4-BE49-F238E27FC236}">
              <a16:creationId xmlns:a16="http://schemas.microsoft.com/office/drawing/2014/main" id="{00000000-0008-0000-0D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4" name="Picture 1" descr="TDK CI Mark_blue_RGB_highres">
          <a:extLst>
            <a:ext uri="{FF2B5EF4-FFF2-40B4-BE49-F238E27FC236}">
              <a16:creationId xmlns:a16="http://schemas.microsoft.com/office/drawing/2014/main" id="{00000000-0008-0000-0D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5" name="Picture 1" descr="TDK CI Mark_blue_RGB_highres">
          <a:extLst>
            <a:ext uri="{FF2B5EF4-FFF2-40B4-BE49-F238E27FC236}">
              <a16:creationId xmlns:a16="http://schemas.microsoft.com/office/drawing/2014/main" id="{00000000-0008-0000-0D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76" name="Picture 1" descr="TDK CI Mark_blue_RGB_highres">
          <a:extLst>
            <a:ext uri="{FF2B5EF4-FFF2-40B4-BE49-F238E27FC236}">
              <a16:creationId xmlns:a16="http://schemas.microsoft.com/office/drawing/2014/main" id="{00000000-0008-0000-0D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76200</xdr:rowOff>
    </xdr:from>
    <xdr:ext cx="1000125" cy="447675"/>
    <xdr:pic>
      <xdr:nvPicPr>
        <xdr:cNvPr id="177" name="Picture 3" descr="TDK CI Mark_blue_RGB_highres">
          <a:extLst>
            <a:ext uri="{FF2B5EF4-FFF2-40B4-BE49-F238E27FC236}">
              <a16:creationId xmlns:a16="http://schemas.microsoft.com/office/drawing/2014/main" id="{00000000-0008-0000-0D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078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6" name="Picture 53" descr="TDK CI Mark_blue_RGB_highres">
          <a:extLst>
            <a:ext uri="{FF2B5EF4-FFF2-40B4-BE49-F238E27FC236}">
              <a16:creationId xmlns:a16="http://schemas.microsoft.com/office/drawing/2014/main" id="{00000000-0008-0000-0D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7" name="Picture 1" descr="TDK CI Mark_blue_RGB_highres">
          <a:extLst>
            <a:ext uri="{FF2B5EF4-FFF2-40B4-BE49-F238E27FC236}">
              <a16:creationId xmlns:a16="http://schemas.microsoft.com/office/drawing/2014/main" id="{00000000-0008-0000-0D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8" name="Picture 1" descr="TDK CI Mark_blue_RGB_highres">
          <a:extLst>
            <a:ext uri="{FF2B5EF4-FFF2-40B4-BE49-F238E27FC236}">
              <a16:creationId xmlns:a16="http://schemas.microsoft.com/office/drawing/2014/main" id="{00000000-0008-0000-0D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9" name="Picture 1" descr="TDK CI Mark_blue_RGB_highres">
          <a:extLst>
            <a:ext uri="{FF2B5EF4-FFF2-40B4-BE49-F238E27FC236}">
              <a16:creationId xmlns:a16="http://schemas.microsoft.com/office/drawing/2014/main" id="{00000000-0008-0000-0D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0" name="Picture 1" descr="TDK CI Mark_blue_RGB_highres">
          <a:extLst>
            <a:ext uri="{FF2B5EF4-FFF2-40B4-BE49-F238E27FC236}">
              <a16:creationId xmlns:a16="http://schemas.microsoft.com/office/drawing/2014/main" id="{00000000-0008-0000-0D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1" name="Picture 1" descr="TDK CI Mark_blue_RGB_highres">
          <a:extLst>
            <a:ext uri="{FF2B5EF4-FFF2-40B4-BE49-F238E27FC236}">
              <a16:creationId xmlns:a16="http://schemas.microsoft.com/office/drawing/2014/main" id="{00000000-0008-0000-0D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2" name="Picture 1" descr="TDK CI Mark_blue_RGB_highres">
          <a:extLst>
            <a:ext uri="{FF2B5EF4-FFF2-40B4-BE49-F238E27FC236}">
              <a16:creationId xmlns:a16="http://schemas.microsoft.com/office/drawing/2014/main" id="{00000000-0008-0000-0D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3" name="Picture 1" descr="TDK CI Mark_blue_RGB_highres">
          <a:extLst>
            <a:ext uri="{FF2B5EF4-FFF2-40B4-BE49-F238E27FC236}">
              <a16:creationId xmlns:a16="http://schemas.microsoft.com/office/drawing/2014/main" id="{00000000-0008-0000-0D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4" name="Picture 1" descr="TDK CI Mark_blue_RGB_highres">
          <a:extLst>
            <a:ext uri="{FF2B5EF4-FFF2-40B4-BE49-F238E27FC236}">
              <a16:creationId xmlns:a16="http://schemas.microsoft.com/office/drawing/2014/main" id="{00000000-0008-0000-0D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5" name="Picture 1" descr="TDK CI Mark_blue_RGB_highres">
          <a:extLst>
            <a:ext uri="{FF2B5EF4-FFF2-40B4-BE49-F238E27FC236}">
              <a16:creationId xmlns:a16="http://schemas.microsoft.com/office/drawing/2014/main" id="{00000000-0008-0000-0D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6" name="Picture 66" descr="TDK CI Mark_blue_RGB_highres">
          <a:extLst>
            <a:ext uri="{FF2B5EF4-FFF2-40B4-BE49-F238E27FC236}">
              <a16:creationId xmlns:a16="http://schemas.microsoft.com/office/drawing/2014/main" id="{00000000-0008-0000-0D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7" name="Picture 1" descr="TDK CI Mark_blue_RGB_highres">
          <a:extLst>
            <a:ext uri="{FF2B5EF4-FFF2-40B4-BE49-F238E27FC236}">
              <a16:creationId xmlns:a16="http://schemas.microsoft.com/office/drawing/2014/main" id="{00000000-0008-0000-0D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8" name="Picture 1" descr="TDK CI Mark_blue_RGB_highres">
          <a:extLst>
            <a:ext uri="{FF2B5EF4-FFF2-40B4-BE49-F238E27FC236}">
              <a16:creationId xmlns:a16="http://schemas.microsoft.com/office/drawing/2014/main" id="{00000000-0008-0000-0D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9" name="Picture 1" descr="TDK CI Mark_blue_RGB_highres">
          <a:extLst>
            <a:ext uri="{FF2B5EF4-FFF2-40B4-BE49-F238E27FC236}">
              <a16:creationId xmlns:a16="http://schemas.microsoft.com/office/drawing/2014/main" id="{00000000-0008-0000-0D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0" name="Picture 1" descr="TDK CI Mark_blue_RGB_highres">
          <a:extLst>
            <a:ext uri="{FF2B5EF4-FFF2-40B4-BE49-F238E27FC236}">
              <a16:creationId xmlns:a16="http://schemas.microsoft.com/office/drawing/2014/main" id="{00000000-0008-0000-0D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1" name="Picture 1" descr="TDK CI Mark_blue_RGB_highres">
          <a:extLst>
            <a:ext uri="{FF2B5EF4-FFF2-40B4-BE49-F238E27FC236}">
              <a16:creationId xmlns:a16="http://schemas.microsoft.com/office/drawing/2014/main" id="{00000000-0008-0000-0D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2" name="Picture 1" descr="TDK CI Mark_blue_RGB_highres">
          <a:extLst>
            <a:ext uri="{FF2B5EF4-FFF2-40B4-BE49-F238E27FC236}">
              <a16:creationId xmlns:a16="http://schemas.microsoft.com/office/drawing/2014/main" id="{00000000-0008-0000-0D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3" name="Picture 1" descr="TDK CI Mark_blue_RGB_highres">
          <a:extLst>
            <a:ext uri="{FF2B5EF4-FFF2-40B4-BE49-F238E27FC236}">
              <a16:creationId xmlns:a16="http://schemas.microsoft.com/office/drawing/2014/main" id="{00000000-0008-0000-0D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4" name="Picture 1" descr="TDK CI Mark_blue_RGB_highres">
          <a:extLst>
            <a:ext uri="{FF2B5EF4-FFF2-40B4-BE49-F238E27FC236}">
              <a16:creationId xmlns:a16="http://schemas.microsoft.com/office/drawing/2014/main" id="{00000000-0008-0000-0D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5" name="Picture 1" descr="TDK CI Mark_blue_RGB_highres">
          <a:extLst>
            <a:ext uri="{FF2B5EF4-FFF2-40B4-BE49-F238E27FC236}">
              <a16:creationId xmlns:a16="http://schemas.microsoft.com/office/drawing/2014/main" id="{00000000-0008-0000-0D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286" name="Picture 1" descr="TDK CI Mark_blue_RGB_highres">
          <a:extLst>
            <a:ext uri="{FF2B5EF4-FFF2-40B4-BE49-F238E27FC236}">
              <a16:creationId xmlns:a16="http://schemas.microsoft.com/office/drawing/2014/main" id="{00000000-0008-0000-0D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7" name="Picture 53" descr="TDK CI Mark_blue_RGB_highres">
          <a:extLst>
            <a:ext uri="{FF2B5EF4-FFF2-40B4-BE49-F238E27FC236}">
              <a16:creationId xmlns:a16="http://schemas.microsoft.com/office/drawing/2014/main" id="{00000000-0008-0000-0D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8" name="Picture 1" descr="TDK CI Mark_blue_RGB_highres">
          <a:extLst>
            <a:ext uri="{FF2B5EF4-FFF2-40B4-BE49-F238E27FC236}">
              <a16:creationId xmlns:a16="http://schemas.microsoft.com/office/drawing/2014/main" id="{00000000-0008-0000-0D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9" name="Picture 1" descr="TDK CI Mark_blue_RGB_highres">
          <a:extLst>
            <a:ext uri="{FF2B5EF4-FFF2-40B4-BE49-F238E27FC236}">
              <a16:creationId xmlns:a16="http://schemas.microsoft.com/office/drawing/2014/main" id="{00000000-0008-0000-0D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0" name="Picture 1" descr="TDK CI Mark_blue_RGB_highres">
          <a:extLst>
            <a:ext uri="{FF2B5EF4-FFF2-40B4-BE49-F238E27FC236}">
              <a16:creationId xmlns:a16="http://schemas.microsoft.com/office/drawing/2014/main" id="{00000000-0008-0000-0D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1" name="Picture 1" descr="TDK CI Mark_blue_RGB_highres">
          <a:extLst>
            <a:ext uri="{FF2B5EF4-FFF2-40B4-BE49-F238E27FC236}">
              <a16:creationId xmlns:a16="http://schemas.microsoft.com/office/drawing/2014/main" id="{00000000-0008-0000-0D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2" name="Picture 1" descr="TDK CI Mark_blue_RGB_highres">
          <a:extLst>
            <a:ext uri="{FF2B5EF4-FFF2-40B4-BE49-F238E27FC236}">
              <a16:creationId xmlns:a16="http://schemas.microsoft.com/office/drawing/2014/main" id="{00000000-0008-0000-0D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3" name="Picture 1" descr="TDK CI Mark_blue_RGB_highres">
          <a:extLst>
            <a:ext uri="{FF2B5EF4-FFF2-40B4-BE49-F238E27FC236}">
              <a16:creationId xmlns:a16="http://schemas.microsoft.com/office/drawing/2014/main" id="{00000000-0008-0000-0D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4" name="Picture 1" descr="TDK CI Mark_blue_RGB_highres">
          <a:extLst>
            <a:ext uri="{FF2B5EF4-FFF2-40B4-BE49-F238E27FC236}">
              <a16:creationId xmlns:a16="http://schemas.microsoft.com/office/drawing/2014/main" id="{00000000-0008-0000-0D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5" name="Picture 1" descr="TDK CI Mark_blue_RGB_highres">
          <a:extLst>
            <a:ext uri="{FF2B5EF4-FFF2-40B4-BE49-F238E27FC236}">
              <a16:creationId xmlns:a16="http://schemas.microsoft.com/office/drawing/2014/main" id="{00000000-0008-0000-0D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6" name="Picture 1" descr="TDK CI Mark_blue_RGB_highres">
          <a:extLst>
            <a:ext uri="{FF2B5EF4-FFF2-40B4-BE49-F238E27FC236}">
              <a16:creationId xmlns:a16="http://schemas.microsoft.com/office/drawing/2014/main" id="{00000000-0008-0000-0D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297" name="Picture 1" descr="TDK CI Mark_blue_RGB_highres">
          <a:extLst>
            <a:ext uri="{FF2B5EF4-FFF2-40B4-BE49-F238E27FC236}">
              <a16:creationId xmlns:a16="http://schemas.microsoft.com/office/drawing/2014/main" id="{00000000-0008-0000-0D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8" name="Picture 66" descr="TDK CI Mark_blue_RGB_highres">
          <a:extLst>
            <a:ext uri="{FF2B5EF4-FFF2-40B4-BE49-F238E27FC236}">
              <a16:creationId xmlns:a16="http://schemas.microsoft.com/office/drawing/2014/main" id="{00000000-0008-0000-0D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9" name="Picture 1" descr="TDK CI Mark_blue_RGB_highres">
          <a:extLst>
            <a:ext uri="{FF2B5EF4-FFF2-40B4-BE49-F238E27FC236}">
              <a16:creationId xmlns:a16="http://schemas.microsoft.com/office/drawing/2014/main" id="{00000000-0008-0000-0D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0" name="Picture 1" descr="TDK CI Mark_blue_RGB_highres">
          <a:extLst>
            <a:ext uri="{FF2B5EF4-FFF2-40B4-BE49-F238E27FC236}">
              <a16:creationId xmlns:a16="http://schemas.microsoft.com/office/drawing/2014/main" id="{00000000-0008-0000-0D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1" name="Picture 1" descr="TDK CI Mark_blue_RGB_highres">
          <a:extLst>
            <a:ext uri="{FF2B5EF4-FFF2-40B4-BE49-F238E27FC236}">
              <a16:creationId xmlns:a16="http://schemas.microsoft.com/office/drawing/2014/main" id="{00000000-0008-0000-0D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2" name="Picture 1" descr="TDK CI Mark_blue_RGB_highres">
          <a:extLst>
            <a:ext uri="{FF2B5EF4-FFF2-40B4-BE49-F238E27FC236}">
              <a16:creationId xmlns:a16="http://schemas.microsoft.com/office/drawing/2014/main" id="{00000000-0008-0000-0D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3" name="Picture 1" descr="TDK CI Mark_blue_RGB_highres">
          <a:extLst>
            <a:ext uri="{FF2B5EF4-FFF2-40B4-BE49-F238E27FC236}">
              <a16:creationId xmlns:a16="http://schemas.microsoft.com/office/drawing/2014/main" id="{00000000-0008-0000-0D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4" name="Picture 1" descr="TDK CI Mark_blue_RGB_highres">
          <a:extLst>
            <a:ext uri="{FF2B5EF4-FFF2-40B4-BE49-F238E27FC236}">
              <a16:creationId xmlns:a16="http://schemas.microsoft.com/office/drawing/2014/main" id="{00000000-0008-0000-0D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5" name="Picture 1" descr="TDK CI Mark_blue_RGB_highres">
          <a:extLst>
            <a:ext uri="{FF2B5EF4-FFF2-40B4-BE49-F238E27FC236}">
              <a16:creationId xmlns:a16="http://schemas.microsoft.com/office/drawing/2014/main" id="{00000000-0008-0000-0D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6" name="Picture 1" descr="TDK CI Mark_blue_RGB_highres">
          <a:extLst>
            <a:ext uri="{FF2B5EF4-FFF2-40B4-BE49-F238E27FC236}">
              <a16:creationId xmlns:a16="http://schemas.microsoft.com/office/drawing/2014/main" id="{00000000-0008-0000-0D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7" name="Picture 1" descr="TDK CI Mark_blue_RGB_highres">
          <a:extLst>
            <a:ext uri="{FF2B5EF4-FFF2-40B4-BE49-F238E27FC236}">
              <a16:creationId xmlns:a16="http://schemas.microsoft.com/office/drawing/2014/main" id="{00000000-0008-0000-0D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308" name="Picture 1" descr="TDK CI Mark_blue_RGB_highres">
          <a:extLst>
            <a:ext uri="{FF2B5EF4-FFF2-40B4-BE49-F238E27FC236}">
              <a16:creationId xmlns:a16="http://schemas.microsoft.com/office/drawing/2014/main" id="{00000000-0008-0000-0D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390525</xdr:colOff>
      <xdr:row>0</xdr:row>
      <xdr:rowOff>523875</xdr:rowOff>
    </xdr:to>
    <xdr:pic>
      <xdr:nvPicPr>
        <xdr:cNvPr id="309" name="Picture 3" descr="TDK CI Mark_blue_RGB_highres">
          <a:extLst>
            <a:ext uri="{FF2B5EF4-FFF2-40B4-BE49-F238E27FC236}">
              <a16:creationId xmlns:a16="http://schemas.microsoft.com/office/drawing/2014/main" id="{00000000-0008-0000-0D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0" name="Picture 53" descr="TDK CI Mark_blue_RGB_highres">
          <a:extLst>
            <a:ext uri="{FF2B5EF4-FFF2-40B4-BE49-F238E27FC236}">
              <a16:creationId xmlns:a16="http://schemas.microsoft.com/office/drawing/2014/main" id="{00000000-0008-0000-0D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1" name="Picture 1" descr="TDK CI Mark_blue_RGB_highres">
          <a:extLst>
            <a:ext uri="{FF2B5EF4-FFF2-40B4-BE49-F238E27FC236}">
              <a16:creationId xmlns:a16="http://schemas.microsoft.com/office/drawing/2014/main" id="{00000000-0008-0000-0D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2" name="Picture 1" descr="TDK CI Mark_blue_RGB_highres">
          <a:extLst>
            <a:ext uri="{FF2B5EF4-FFF2-40B4-BE49-F238E27FC236}">
              <a16:creationId xmlns:a16="http://schemas.microsoft.com/office/drawing/2014/main" id="{00000000-0008-0000-0D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3" name="Picture 1" descr="TDK CI Mark_blue_RGB_highres">
          <a:extLst>
            <a:ext uri="{FF2B5EF4-FFF2-40B4-BE49-F238E27FC236}">
              <a16:creationId xmlns:a16="http://schemas.microsoft.com/office/drawing/2014/main" id="{00000000-0008-0000-0D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4" name="Picture 1" descr="TDK CI Mark_blue_RGB_highres">
          <a:extLst>
            <a:ext uri="{FF2B5EF4-FFF2-40B4-BE49-F238E27FC236}">
              <a16:creationId xmlns:a16="http://schemas.microsoft.com/office/drawing/2014/main" id="{00000000-0008-0000-0D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5" name="Picture 1" descr="TDK CI Mark_blue_RGB_highres">
          <a:extLst>
            <a:ext uri="{FF2B5EF4-FFF2-40B4-BE49-F238E27FC236}">
              <a16:creationId xmlns:a16="http://schemas.microsoft.com/office/drawing/2014/main" id="{00000000-0008-0000-0D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6" name="Picture 1" descr="TDK CI Mark_blue_RGB_highres">
          <a:extLst>
            <a:ext uri="{FF2B5EF4-FFF2-40B4-BE49-F238E27FC236}">
              <a16:creationId xmlns:a16="http://schemas.microsoft.com/office/drawing/2014/main" id="{00000000-0008-0000-0D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7" name="Picture 1" descr="TDK CI Mark_blue_RGB_highres">
          <a:extLst>
            <a:ext uri="{FF2B5EF4-FFF2-40B4-BE49-F238E27FC236}">
              <a16:creationId xmlns:a16="http://schemas.microsoft.com/office/drawing/2014/main" id="{00000000-0008-0000-0D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8" name="Picture 1" descr="TDK CI Mark_blue_RGB_highres">
          <a:extLst>
            <a:ext uri="{FF2B5EF4-FFF2-40B4-BE49-F238E27FC236}">
              <a16:creationId xmlns:a16="http://schemas.microsoft.com/office/drawing/2014/main" id="{00000000-0008-0000-0D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9" name="Picture 1" descr="TDK CI Mark_blue_RGB_highres">
          <a:extLst>
            <a:ext uri="{FF2B5EF4-FFF2-40B4-BE49-F238E27FC236}">
              <a16:creationId xmlns:a16="http://schemas.microsoft.com/office/drawing/2014/main" id="{00000000-0008-0000-0D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0" name="Picture 66" descr="TDK CI Mark_blue_RGB_highres">
          <a:extLst>
            <a:ext uri="{FF2B5EF4-FFF2-40B4-BE49-F238E27FC236}">
              <a16:creationId xmlns:a16="http://schemas.microsoft.com/office/drawing/2014/main" id="{00000000-0008-0000-0D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1" name="Picture 1" descr="TDK CI Mark_blue_RGB_highres">
          <a:extLst>
            <a:ext uri="{FF2B5EF4-FFF2-40B4-BE49-F238E27FC236}">
              <a16:creationId xmlns:a16="http://schemas.microsoft.com/office/drawing/2014/main" id="{00000000-0008-0000-0D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2" name="Picture 1" descr="TDK CI Mark_blue_RGB_highres">
          <a:extLst>
            <a:ext uri="{FF2B5EF4-FFF2-40B4-BE49-F238E27FC236}">
              <a16:creationId xmlns:a16="http://schemas.microsoft.com/office/drawing/2014/main" id="{00000000-0008-0000-0D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3" name="Picture 1" descr="TDK CI Mark_blue_RGB_highres">
          <a:extLst>
            <a:ext uri="{FF2B5EF4-FFF2-40B4-BE49-F238E27FC236}">
              <a16:creationId xmlns:a16="http://schemas.microsoft.com/office/drawing/2014/main" id="{00000000-0008-0000-0D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4" name="Picture 1" descr="TDK CI Mark_blue_RGB_highres">
          <a:extLst>
            <a:ext uri="{FF2B5EF4-FFF2-40B4-BE49-F238E27FC236}">
              <a16:creationId xmlns:a16="http://schemas.microsoft.com/office/drawing/2014/main" id="{00000000-0008-0000-0D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5" name="Picture 1" descr="TDK CI Mark_blue_RGB_highres">
          <a:extLst>
            <a:ext uri="{FF2B5EF4-FFF2-40B4-BE49-F238E27FC236}">
              <a16:creationId xmlns:a16="http://schemas.microsoft.com/office/drawing/2014/main" id="{00000000-0008-0000-0D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6" name="Picture 1" descr="TDK CI Mark_blue_RGB_highres">
          <a:extLst>
            <a:ext uri="{FF2B5EF4-FFF2-40B4-BE49-F238E27FC236}">
              <a16:creationId xmlns:a16="http://schemas.microsoft.com/office/drawing/2014/main" id="{00000000-0008-0000-0D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7" name="Picture 1" descr="TDK CI Mark_blue_RGB_highres">
          <a:extLst>
            <a:ext uri="{FF2B5EF4-FFF2-40B4-BE49-F238E27FC236}">
              <a16:creationId xmlns:a16="http://schemas.microsoft.com/office/drawing/2014/main" id="{00000000-0008-0000-0D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8" name="Picture 1" descr="TDK CI Mark_blue_RGB_highres">
          <a:extLst>
            <a:ext uri="{FF2B5EF4-FFF2-40B4-BE49-F238E27FC236}">
              <a16:creationId xmlns:a16="http://schemas.microsoft.com/office/drawing/2014/main" id="{00000000-0008-0000-0D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9" name="Picture 1" descr="TDK CI Mark_blue_RGB_highres">
          <a:extLst>
            <a:ext uri="{FF2B5EF4-FFF2-40B4-BE49-F238E27FC236}">
              <a16:creationId xmlns:a16="http://schemas.microsoft.com/office/drawing/2014/main" id="{00000000-0008-0000-0D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330" name="Picture 1" descr="TDK CI Mark_blue_RGB_highres">
          <a:extLst>
            <a:ext uri="{FF2B5EF4-FFF2-40B4-BE49-F238E27FC236}">
              <a16:creationId xmlns:a16="http://schemas.microsoft.com/office/drawing/2014/main" id="{00000000-0008-0000-0D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1" name="Picture 53" descr="TDK CI Mark_blue_RGB_highres">
          <a:extLst>
            <a:ext uri="{FF2B5EF4-FFF2-40B4-BE49-F238E27FC236}">
              <a16:creationId xmlns:a16="http://schemas.microsoft.com/office/drawing/2014/main" id="{00000000-0008-0000-0D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2" name="Picture 1" descr="TDK CI Mark_blue_RGB_highres">
          <a:extLst>
            <a:ext uri="{FF2B5EF4-FFF2-40B4-BE49-F238E27FC236}">
              <a16:creationId xmlns:a16="http://schemas.microsoft.com/office/drawing/2014/main" id="{00000000-0008-0000-0D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3" name="Picture 1" descr="TDK CI Mark_blue_RGB_highres">
          <a:extLst>
            <a:ext uri="{FF2B5EF4-FFF2-40B4-BE49-F238E27FC236}">
              <a16:creationId xmlns:a16="http://schemas.microsoft.com/office/drawing/2014/main" id="{00000000-0008-0000-0D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4" name="Picture 1" descr="TDK CI Mark_blue_RGB_highres">
          <a:extLst>
            <a:ext uri="{FF2B5EF4-FFF2-40B4-BE49-F238E27FC236}">
              <a16:creationId xmlns:a16="http://schemas.microsoft.com/office/drawing/2014/main" id="{00000000-0008-0000-0D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5" name="Picture 1" descr="TDK CI Mark_blue_RGB_highres">
          <a:extLst>
            <a:ext uri="{FF2B5EF4-FFF2-40B4-BE49-F238E27FC236}">
              <a16:creationId xmlns:a16="http://schemas.microsoft.com/office/drawing/2014/main" id="{00000000-0008-0000-0D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6" name="Picture 1" descr="TDK CI Mark_blue_RGB_highres">
          <a:extLst>
            <a:ext uri="{FF2B5EF4-FFF2-40B4-BE49-F238E27FC236}">
              <a16:creationId xmlns:a16="http://schemas.microsoft.com/office/drawing/2014/main" id="{00000000-0008-0000-0D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7" name="Picture 1" descr="TDK CI Mark_blue_RGB_highres">
          <a:extLst>
            <a:ext uri="{FF2B5EF4-FFF2-40B4-BE49-F238E27FC236}">
              <a16:creationId xmlns:a16="http://schemas.microsoft.com/office/drawing/2014/main" id="{00000000-0008-0000-0D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8" name="Picture 1" descr="TDK CI Mark_blue_RGB_highres">
          <a:extLst>
            <a:ext uri="{FF2B5EF4-FFF2-40B4-BE49-F238E27FC236}">
              <a16:creationId xmlns:a16="http://schemas.microsoft.com/office/drawing/2014/main" id="{00000000-0008-0000-0D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9" name="Picture 1" descr="TDK CI Mark_blue_RGB_highres">
          <a:extLst>
            <a:ext uri="{FF2B5EF4-FFF2-40B4-BE49-F238E27FC236}">
              <a16:creationId xmlns:a16="http://schemas.microsoft.com/office/drawing/2014/main" id="{00000000-0008-0000-0D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0" name="Picture 1" descr="TDK CI Mark_blue_RGB_highres">
          <a:extLst>
            <a:ext uri="{FF2B5EF4-FFF2-40B4-BE49-F238E27FC236}">
              <a16:creationId xmlns:a16="http://schemas.microsoft.com/office/drawing/2014/main" id="{00000000-0008-0000-0D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341" name="Picture 1" descr="TDK CI Mark_blue_RGB_highres">
          <a:extLst>
            <a:ext uri="{FF2B5EF4-FFF2-40B4-BE49-F238E27FC236}">
              <a16:creationId xmlns:a16="http://schemas.microsoft.com/office/drawing/2014/main" id="{00000000-0008-0000-0D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2" name="Picture 66" descr="TDK CI Mark_blue_RGB_highres">
          <a:extLst>
            <a:ext uri="{FF2B5EF4-FFF2-40B4-BE49-F238E27FC236}">
              <a16:creationId xmlns:a16="http://schemas.microsoft.com/office/drawing/2014/main" id="{00000000-0008-0000-0D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3" name="Picture 1" descr="TDK CI Mark_blue_RGB_highres">
          <a:extLst>
            <a:ext uri="{FF2B5EF4-FFF2-40B4-BE49-F238E27FC236}">
              <a16:creationId xmlns:a16="http://schemas.microsoft.com/office/drawing/2014/main" id="{00000000-0008-0000-0D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4" name="Picture 1" descr="TDK CI Mark_blue_RGB_highres">
          <a:extLst>
            <a:ext uri="{FF2B5EF4-FFF2-40B4-BE49-F238E27FC236}">
              <a16:creationId xmlns:a16="http://schemas.microsoft.com/office/drawing/2014/main" id="{00000000-0008-0000-0D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5" name="Picture 1" descr="TDK CI Mark_blue_RGB_highres">
          <a:extLst>
            <a:ext uri="{FF2B5EF4-FFF2-40B4-BE49-F238E27FC236}">
              <a16:creationId xmlns:a16="http://schemas.microsoft.com/office/drawing/2014/main" id="{00000000-0008-0000-0D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6" name="Picture 1" descr="TDK CI Mark_blue_RGB_highres">
          <a:extLst>
            <a:ext uri="{FF2B5EF4-FFF2-40B4-BE49-F238E27FC236}">
              <a16:creationId xmlns:a16="http://schemas.microsoft.com/office/drawing/2014/main" id="{00000000-0008-0000-0D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7" name="Picture 1" descr="TDK CI Mark_blue_RGB_highres">
          <a:extLst>
            <a:ext uri="{FF2B5EF4-FFF2-40B4-BE49-F238E27FC236}">
              <a16:creationId xmlns:a16="http://schemas.microsoft.com/office/drawing/2014/main" id="{00000000-0008-0000-0D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8" name="Picture 1" descr="TDK CI Mark_blue_RGB_highres">
          <a:extLst>
            <a:ext uri="{FF2B5EF4-FFF2-40B4-BE49-F238E27FC236}">
              <a16:creationId xmlns:a16="http://schemas.microsoft.com/office/drawing/2014/main" id="{00000000-0008-0000-0D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9" name="Picture 1" descr="TDK CI Mark_blue_RGB_highres">
          <a:extLst>
            <a:ext uri="{FF2B5EF4-FFF2-40B4-BE49-F238E27FC236}">
              <a16:creationId xmlns:a16="http://schemas.microsoft.com/office/drawing/2014/main" id="{00000000-0008-0000-0D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50" name="Picture 1" descr="TDK CI Mark_blue_RGB_highres">
          <a:extLst>
            <a:ext uri="{FF2B5EF4-FFF2-40B4-BE49-F238E27FC236}">
              <a16:creationId xmlns:a16="http://schemas.microsoft.com/office/drawing/2014/main" id="{00000000-0008-0000-0D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51" name="Picture 1" descr="TDK CI Mark_blue_RGB_highres">
          <a:extLst>
            <a:ext uri="{FF2B5EF4-FFF2-40B4-BE49-F238E27FC236}">
              <a16:creationId xmlns:a16="http://schemas.microsoft.com/office/drawing/2014/main" id="{00000000-0008-0000-0D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352" name="Picture 1" descr="TDK CI Mark_blue_RGB_highres">
          <a:extLst>
            <a:ext uri="{FF2B5EF4-FFF2-40B4-BE49-F238E27FC236}">
              <a16:creationId xmlns:a16="http://schemas.microsoft.com/office/drawing/2014/main" id="{00000000-0008-0000-0D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76200</xdr:rowOff>
    </xdr:from>
    <xdr:ext cx="1000125" cy="447675"/>
    <xdr:pic>
      <xdr:nvPicPr>
        <xdr:cNvPr id="353" name="Picture 3" descr="TDK CI Mark_blue_RGB_highres">
          <a:extLst>
            <a:ext uri="{FF2B5EF4-FFF2-40B4-BE49-F238E27FC236}">
              <a16:creationId xmlns:a16="http://schemas.microsoft.com/office/drawing/2014/main" id="{00000000-0008-0000-0D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457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4" name="Picture 53" descr="TDK CI Mark_blue_RGB_highres">
          <a:extLst>
            <a:ext uri="{FF2B5EF4-FFF2-40B4-BE49-F238E27FC236}">
              <a16:creationId xmlns:a16="http://schemas.microsoft.com/office/drawing/2014/main" id="{00000000-0008-0000-0D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5" name="Picture 1" descr="TDK CI Mark_blue_RGB_highres">
          <a:extLst>
            <a:ext uri="{FF2B5EF4-FFF2-40B4-BE49-F238E27FC236}">
              <a16:creationId xmlns:a16="http://schemas.microsoft.com/office/drawing/2014/main" id="{00000000-0008-0000-0D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6" name="Picture 1" descr="TDK CI Mark_blue_RGB_highres">
          <a:extLst>
            <a:ext uri="{FF2B5EF4-FFF2-40B4-BE49-F238E27FC236}">
              <a16:creationId xmlns:a16="http://schemas.microsoft.com/office/drawing/2014/main" id="{00000000-0008-0000-0D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7" name="Picture 1" descr="TDK CI Mark_blue_RGB_highres">
          <a:extLst>
            <a:ext uri="{FF2B5EF4-FFF2-40B4-BE49-F238E27FC236}">
              <a16:creationId xmlns:a16="http://schemas.microsoft.com/office/drawing/2014/main" id="{00000000-0008-0000-0D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8" name="Picture 1" descr="TDK CI Mark_blue_RGB_highres">
          <a:extLst>
            <a:ext uri="{FF2B5EF4-FFF2-40B4-BE49-F238E27FC236}">
              <a16:creationId xmlns:a16="http://schemas.microsoft.com/office/drawing/2014/main" id="{00000000-0008-0000-0D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9" name="Picture 1" descr="TDK CI Mark_blue_RGB_highres">
          <a:extLst>
            <a:ext uri="{FF2B5EF4-FFF2-40B4-BE49-F238E27FC236}">
              <a16:creationId xmlns:a16="http://schemas.microsoft.com/office/drawing/2014/main" id="{00000000-0008-0000-0D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0" name="Picture 1" descr="TDK CI Mark_blue_RGB_highres">
          <a:extLst>
            <a:ext uri="{FF2B5EF4-FFF2-40B4-BE49-F238E27FC236}">
              <a16:creationId xmlns:a16="http://schemas.microsoft.com/office/drawing/2014/main" id="{00000000-0008-0000-0D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1" name="Picture 1" descr="TDK CI Mark_blue_RGB_highres">
          <a:extLst>
            <a:ext uri="{FF2B5EF4-FFF2-40B4-BE49-F238E27FC236}">
              <a16:creationId xmlns:a16="http://schemas.microsoft.com/office/drawing/2014/main" id="{00000000-0008-0000-0D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2" name="Picture 1" descr="TDK CI Mark_blue_RGB_highres">
          <a:extLst>
            <a:ext uri="{FF2B5EF4-FFF2-40B4-BE49-F238E27FC236}">
              <a16:creationId xmlns:a16="http://schemas.microsoft.com/office/drawing/2014/main" id="{00000000-0008-0000-0D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3" name="Picture 1" descr="TDK CI Mark_blue_RGB_highres">
          <a:extLst>
            <a:ext uri="{FF2B5EF4-FFF2-40B4-BE49-F238E27FC236}">
              <a16:creationId xmlns:a16="http://schemas.microsoft.com/office/drawing/2014/main" id="{00000000-0008-0000-0D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4" name="Picture 66" descr="TDK CI Mark_blue_RGB_highres">
          <a:extLst>
            <a:ext uri="{FF2B5EF4-FFF2-40B4-BE49-F238E27FC236}">
              <a16:creationId xmlns:a16="http://schemas.microsoft.com/office/drawing/2014/main" id="{00000000-0008-0000-0D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5" name="Picture 1" descr="TDK CI Mark_blue_RGB_highres">
          <a:extLst>
            <a:ext uri="{FF2B5EF4-FFF2-40B4-BE49-F238E27FC236}">
              <a16:creationId xmlns:a16="http://schemas.microsoft.com/office/drawing/2014/main" id="{00000000-0008-0000-0D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6" name="Picture 1" descr="TDK CI Mark_blue_RGB_highres">
          <a:extLst>
            <a:ext uri="{FF2B5EF4-FFF2-40B4-BE49-F238E27FC236}">
              <a16:creationId xmlns:a16="http://schemas.microsoft.com/office/drawing/2014/main" id="{00000000-0008-0000-0D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7" name="Picture 1" descr="TDK CI Mark_blue_RGB_highres">
          <a:extLst>
            <a:ext uri="{FF2B5EF4-FFF2-40B4-BE49-F238E27FC236}">
              <a16:creationId xmlns:a16="http://schemas.microsoft.com/office/drawing/2014/main" id="{00000000-0008-0000-0D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8" name="Picture 1" descr="TDK CI Mark_blue_RGB_highres">
          <a:extLst>
            <a:ext uri="{FF2B5EF4-FFF2-40B4-BE49-F238E27FC236}">
              <a16:creationId xmlns:a16="http://schemas.microsoft.com/office/drawing/2014/main" id="{00000000-0008-0000-0D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9" name="Picture 1" descr="TDK CI Mark_blue_RGB_highres">
          <a:extLst>
            <a:ext uri="{FF2B5EF4-FFF2-40B4-BE49-F238E27FC236}">
              <a16:creationId xmlns:a16="http://schemas.microsoft.com/office/drawing/2014/main" id="{00000000-0008-0000-0D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0" name="Picture 1" descr="TDK CI Mark_blue_RGB_highres">
          <a:extLst>
            <a:ext uri="{FF2B5EF4-FFF2-40B4-BE49-F238E27FC236}">
              <a16:creationId xmlns:a16="http://schemas.microsoft.com/office/drawing/2014/main" id="{00000000-0008-0000-0D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1" name="Picture 1" descr="TDK CI Mark_blue_RGB_highres">
          <a:extLst>
            <a:ext uri="{FF2B5EF4-FFF2-40B4-BE49-F238E27FC236}">
              <a16:creationId xmlns:a16="http://schemas.microsoft.com/office/drawing/2014/main" id="{00000000-0008-0000-0D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2" name="Picture 1" descr="TDK CI Mark_blue_RGB_highres">
          <a:extLst>
            <a:ext uri="{FF2B5EF4-FFF2-40B4-BE49-F238E27FC236}">
              <a16:creationId xmlns:a16="http://schemas.microsoft.com/office/drawing/2014/main" id="{00000000-0008-0000-0D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3" name="Picture 1" descr="TDK CI Mark_blue_RGB_highres">
          <a:extLst>
            <a:ext uri="{FF2B5EF4-FFF2-40B4-BE49-F238E27FC236}">
              <a16:creationId xmlns:a16="http://schemas.microsoft.com/office/drawing/2014/main" id="{00000000-0008-0000-0D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374" name="Picture 1" descr="TDK CI Mark_blue_RGB_highres">
          <a:extLst>
            <a:ext uri="{FF2B5EF4-FFF2-40B4-BE49-F238E27FC236}">
              <a16:creationId xmlns:a16="http://schemas.microsoft.com/office/drawing/2014/main" id="{00000000-0008-0000-0D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5" name="Picture 53" descr="TDK CI Mark_blue_RGB_highres">
          <a:extLst>
            <a:ext uri="{FF2B5EF4-FFF2-40B4-BE49-F238E27FC236}">
              <a16:creationId xmlns:a16="http://schemas.microsoft.com/office/drawing/2014/main" id="{00000000-0008-0000-0D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6" name="Picture 1" descr="TDK CI Mark_blue_RGB_highres">
          <a:extLst>
            <a:ext uri="{FF2B5EF4-FFF2-40B4-BE49-F238E27FC236}">
              <a16:creationId xmlns:a16="http://schemas.microsoft.com/office/drawing/2014/main" id="{00000000-0008-0000-0D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7" name="Picture 1" descr="TDK CI Mark_blue_RGB_highres">
          <a:extLst>
            <a:ext uri="{FF2B5EF4-FFF2-40B4-BE49-F238E27FC236}">
              <a16:creationId xmlns:a16="http://schemas.microsoft.com/office/drawing/2014/main" id="{00000000-0008-0000-0D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8" name="Picture 1" descr="TDK CI Mark_blue_RGB_highres">
          <a:extLst>
            <a:ext uri="{FF2B5EF4-FFF2-40B4-BE49-F238E27FC236}">
              <a16:creationId xmlns:a16="http://schemas.microsoft.com/office/drawing/2014/main" id="{00000000-0008-0000-0D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9" name="Picture 1" descr="TDK CI Mark_blue_RGB_highres">
          <a:extLst>
            <a:ext uri="{FF2B5EF4-FFF2-40B4-BE49-F238E27FC236}">
              <a16:creationId xmlns:a16="http://schemas.microsoft.com/office/drawing/2014/main" id="{00000000-0008-0000-0D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0" name="Picture 1" descr="TDK CI Mark_blue_RGB_highres">
          <a:extLst>
            <a:ext uri="{FF2B5EF4-FFF2-40B4-BE49-F238E27FC236}">
              <a16:creationId xmlns:a16="http://schemas.microsoft.com/office/drawing/2014/main" id="{00000000-0008-0000-0D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1" name="Picture 1" descr="TDK CI Mark_blue_RGB_highres">
          <a:extLst>
            <a:ext uri="{FF2B5EF4-FFF2-40B4-BE49-F238E27FC236}">
              <a16:creationId xmlns:a16="http://schemas.microsoft.com/office/drawing/2014/main" id="{00000000-0008-0000-0D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2" name="Picture 1" descr="TDK CI Mark_blue_RGB_highres">
          <a:extLst>
            <a:ext uri="{FF2B5EF4-FFF2-40B4-BE49-F238E27FC236}">
              <a16:creationId xmlns:a16="http://schemas.microsoft.com/office/drawing/2014/main" id="{00000000-0008-0000-0D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3" name="Picture 1" descr="TDK CI Mark_blue_RGB_highres">
          <a:extLst>
            <a:ext uri="{FF2B5EF4-FFF2-40B4-BE49-F238E27FC236}">
              <a16:creationId xmlns:a16="http://schemas.microsoft.com/office/drawing/2014/main" id="{00000000-0008-0000-0D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4" name="Picture 1" descr="TDK CI Mark_blue_RGB_highres">
          <a:extLst>
            <a:ext uri="{FF2B5EF4-FFF2-40B4-BE49-F238E27FC236}">
              <a16:creationId xmlns:a16="http://schemas.microsoft.com/office/drawing/2014/main" id="{00000000-0008-0000-0D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385" name="Picture 1" descr="TDK CI Mark_blue_RGB_highres">
          <a:extLst>
            <a:ext uri="{FF2B5EF4-FFF2-40B4-BE49-F238E27FC236}">
              <a16:creationId xmlns:a16="http://schemas.microsoft.com/office/drawing/2014/main" id="{00000000-0008-0000-0D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6" name="Picture 66" descr="TDK CI Mark_blue_RGB_highres">
          <a:extLst>
            <a:ext uri="{FF2B5EF4-FFF2-40B4-BE49-F238E27FC236}">
              <a16:creationId xmlns:a16="http://schemas.microsoft.com/office/drawing/2014/main" id="{00000000-0008-0000-0D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7" name="Picture 1" descr="TDK CI Mark_blue_RGB_highres">
          <a:extLst>
            <a:ext uri="{FF2B5EF4-FFF2-40B4-BE49-F238E27FC236}">
              <a16:creationId xmlns:a16="http://schemas.microsoft.com/office/drawing/2014/main" id="{00000000-0008-0000-0D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8" name="Picture 1" descr="TDK CI Mark_blue_RGB_highres">
          <a:extLst>
            <a:ext uri="{FF2B5EF4-FFF2-40B4-BE49-F238E27FC236}">
              <a16:creationId xmlns:a16="http://schemas.microsoft.com/office/drawing/2014/main" id="{00000000-0008-0000-0D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9" name="Picture 1" descr="TDK CI Mark_blue_RGB_highres">
          <a:extLst>
            <a:ext uri="{FF2B5EF4-FFF2-40B4-BE49-F238E27FC236}">
              <a16:creationId xmlns:a16="http://schemas.microsoft.com/office/drawing/2014/main" id="{00000000-0008-0000-0D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0" name="Picture 1" descr="TDK CI Mark_blue_RGB_highres">
          <a:extLst>
            <a:ext uri="{FF2B5EF4-FFF2-40B4-BE49-F238E27FC236}">
              <a16:creationId xmlns:a16="http://schemas.microsoft.com/office/drawing/2014/main" id="{00000000-0008-0000-0D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1" name="Picture 1" descr="TDK CI Mark_blue_RGB_highres">
          <a:extLst>
            <a:ext uri="{FF2B5EF4-FFF2-40B4-BE49-F238E27FC236}">
              <a16:creationId xmlns:a16="http://schemas.microsoft.com/office/drawing/2014/main" id="{00000000-0008-0000-0D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2" name="Picture 1" descr="TDK CI Mark_blue_RGB_highres">
          <a:extLst>
            <a:ext uri="{FF2B5EF4-FFF2-40B4-BE49-F238E27FC236}">
              <a16:creationId xmlns:a16="http://schemas.microsoft.com/office/drawing/2014/main" id="{00000000-0008-0000-0D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3" name="Picture 1" descr="TDK CI Mark_blue_RGB_highres">
          <a:extLst>
            <a:ext uri="{FF2B5EF4-FFF2-40B4-BE49-F238E27FC236}">
              <a16:creationId xmlns:a16="http://schemas.microsoft.com/office/drawing/2014/main" id="{00000000-0008-0000-0D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4" name="Picture 1" descr="TDK CI Mark_blue_RGB_highres">
          <a:extLst>
            <a:ext uri="{FF2B5EF4-FFF2-40B4-BE49-F238E27FC236}">
              <a16:creationId xmlns:a16="http://schemas.microsoft.com/office/drawing/2014/main" id="{00000000-0008-0000-0D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5" name="Picture 1" descr="TDK CI Mark_blue_RGB_highres">
          <a:extLst>
            <a:ext uri="{FF2B5EF4-FFF2-40B4-BE49-F238E27FC236}">
              <a16:creationId xmlns:a16="http://schemas.microsoft.com/office/drawing/2014/main" id="{00000000-0008-0000-0D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396" name="Picture 1" descr="TDK CI Mark_blue_RGB_highres">
          <a:extLst>
            <a:ext uri="{FF2B5EF4-FFF2-40B4-BE49-F238E27FC236}">
              <a16:creationId xmlns:a16="http://schemas.microsoft.com/office/drawing/2014/main" id="{00000000-0008-0000-0D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76200</xdr:rowOff>
    </xdr:from>
    <xdr:ext cx="1000125" cy="447675"/>
    <xdr:pic>
      <xdr:nvPicPr>
        <xdr:cNvPr id="397" name="Picture 3" descr="TDK CI Mark_blue_RGB_highres">
          <a:extLst>
            <a:ext uri="{FF2B5EF4-FFF2-40B4-BE49-F238E27FC236}">
              <a16:creationId xmlns:a16="http://schemas.microsoft.com/office/drawing/2014/main" id="{00000000-0008-0000-0D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398" name="Picture 53" descr="TDK CI Mark_blue_RGB_highres">
          <a:extLst>
            <a:ext uri="{FF2B5EF4-FFF2-40B4-BE49-F238E27FC236}">
              <a16:creationId xmlns:a16="http://schemas.microsoft.com/office/drawing/2014/main" id="{00000000-0008-0000-0D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399" name="Picture 1" descr="TDK CI Mark_blue_RGB_highres">
          <a:extLst>
            <a:ext uri="{FF2B5EF4-FFF2-40B4-BE49-F238E27FC236}">
              <a16:creationId xmlns:a16="http://schemas.microsoft.com/office/drawing/2014/main" id="{00000000-0008-0000-0D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0" name="Picture 1" descr="TDK CI Mark_blue_RGB_highres">
          <a:extLst>
            <a:ext uri="{FF2B5EF4-FFF2-40B4-BE49-F238E27FC236}">
              <a16:creationId xmlns:a16="http://schemas.microsoft.com/office/drawing/2014/main" id="{00000000-0008-0000-0D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1" name="Picture 1" descr="TDK CI Mark_blue_RGB_highres">
          <a:extLst>
            <a:ext uri="{FF2B5EF4-FFF2-40B4-BE49-F238E27FC236}">
              <a16:creationId xmlns:a16="http://schemas.microsoft.com/office/drawing/2014/main" id="{00000000-0008-0000-0D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2" name="Picture 1" descr="TDK CI Mark_blue_RGB_highres">
          <a:extLst>
            <a:ext uri="{FF2B5EF4-FFF2-40B4-BE49-F238E27FC236}">
              <a16:creationId xmlns:a16="http://schemas.microsoft.com/office/drawing/2014/main" id="{00000000-0008-0000-0D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3" name="Picture 1" descr="TDK CI Mark_blue_RGB_highres">
          <a:extLst>
            <a:ext uri="{FF2B5EF4-FFF2-40B4-BE49-F238E27FC236}">
              <a16:creationId xmlns:a16="http://schemas.microsoft.com/office/drawing/2014/main" id="{00000000-0008-0000-0D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4" name="Picture 1" descr="TDK CI Mark_blue_RGB_highres">
          <a:extLst>
            <a:ext uri="{FF2B5EF4-FFF2-40B4-BE49-F238E27FC236}">
              <a16:creationId xmlns:a16="http://schemas.microsoft.com/office/drawing/2014/main" id="{00000000-0008-0000-0D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5" name="Picture 1" descr="TDK CI Mark_blue_RGB_highres">
          <a:extLst>
            <a:ext uri="{FF2B5EF4-FFF2-40B4-BE49-F238E27FC236}">
              <a16:creationId xmlns:a16="http://schemas.microsoft.com/office/drawing/2014/main" id="{00000000-0008-0000-0D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6" name="Picture 1" descr="TDK CI Mark_blue_RGB_highres">
          <a:extLst>
            <a:ext uri="{FF2B5EF4-FFF2-40B4-BE49-F238E27FC236}">
              <a16:creationId xmlns:a16="http://schemas.microsoft.com/office/drawing/2014/main" id="{00000000-0008-0000-0D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7" name="Picture 1" descr="TDK CI Mark_blue_RGB_highres">
          <a:extLst>
            <a:ext uri="{FF2B5EF4-FFF2-40B4-BE49-F238E27FC236}">
              <a16:creationId xmlns:a16="http://schemas.microsoft.com/office/drawing/2014/main" id="{00000000-0008-0000-0D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8" name="Picture 66" descr="TDK CI Mark_blue_RGB_highres">
          <a:extLst>
            <a:ext uri="{FF2B5EF4-FFF2-40B4-BE49-F238E27FC236}">
              <a16:creationId xmlns:a16="http://schemas.microsoft.com/office/drawing/2014/main" id="{00000000-0008-0000-0D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9" name="Picture 1" descr="TDK CI Mark_blue_RGB_highres">
          <a:extLst>
            <a:ext uri="{FF2B5EF4-FFF2-40B4-BE49-F238E27FC236}">
              <a16:creationId xmlns:a16="http://schemas.microsoft.com/office/drawing/2014/main" id="{00000000-0008-0000-0D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0" name="Picture 1" descr="TDK CI Mark_blue_RGB_highres">
          <a:extLst>
            <a:ext uri="{FF2B5EF4-FFF2-40B4-BE49-F238E27FC236}">
              <a16:creationId xmlns:a16="http://schemas.microsoft.com/office/drawing/2014/main" id="{00000000-0008-0000-0D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1" name="Picture 1" descr="TDK CI Mark_blue_RGB_highres">
          <a:extLst>
            <a:ext uri="{FF2B5EF4-FFF2-40B4-BE49-F238E27FC236}">
              <a16:creationId xmlns:a16="http://schemas.microsoft.com/office/drawing/2014/main" id="{00000000-0008-0000-0D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2" name="Picture 1" descr="TDK CI Mark_blue_RGB_highres">
          <a:extLst>
            <a:ext uri="{FF2B5EF4-FFF2-40B4-BE49-F238E27FC236}">
              <a16:creationId xmlns:a16="http://schemas.microsoft.com/office/drawing/2014/main" id="{00000000-0008-0000-0D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3" name="Picture 1" descr="TDK CI Mark_blue_RGB_highres">
          <a:extLst>
            <a:ext uri="{FF2B5EF4-FFF2-40B4-BE49-F238E27FC236}">
              <a16:creationId xmlns:a16="http://schemas.microsoft.com/office/drawing/2014/main" id="{00000000-0008-0000-0D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4" name="Picture 1" descr="TDK CI Mark_blue_RGB_highres">
          <a:extLst>
            <a:ext uri="{FF2B5EF4-FFF2-40B4-BE49-F238E27FC236}">
              <a16:creationId xmlns:a16="http://schemas.microsoft.com/office/drawing/2014/main" id="{00000000-0008-0000-0D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5" name="Picture 1" descr="TDK CI Mark_blue_RGB_highres">
          <a:extLst>
            <a:ext uri="{FF2B5EF4-FFF2-40B4-BE49-F238E27FC236}">
              <a16:creationId xmlns:a16="http://schemas.microsoft.com/office/drawing/2014/main" id="{00000000-0008-0000-0D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6" name="Picture 1" descr="TDK CI Mark_blue_RGB_highres">
          <a:extLst>
            <a:ext uri="{FF2B5EF4-FFF2-40B4-BE49-F238E27FC236}">
              <a16:creationId xmlns:a16="http://schemas.microsoft.com/office/drawing/2014/main" id="{00000000-0008-0000-0D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7" name="Picture 1" descr="TDK CI Mark_blue_RGB_highres">
          <a:extLst>
            <a:ext uri="{FF2B5EF4-FFF2-40B4-BE49-F238E27FC236}">
              <a16:creationId xmlns:a16="http://schemas.microsoft.com/office/drawing/2014/main" id="{00000000-0008-0000-0D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418" name="Picture 1" descr="TDK CI Mark_blue_RGB_highres">
          <a:extLst>
            <a:ext uri="{FF2B5EF4-FFF2-40B4-BE49-F238E27FC236}">
              <a16:creationId xmlns:a16="http://schemas.microsoft.com/office/drawing/2014/main" id="{00000000-0008-0000-0D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9" name="Picture 53" descr="TDK CI Mark_blue_RGB_highres">
          <a:extLst>
            <a:ext uri="{FF2B5EF4-FFF2-40B4-BE49-F238E27FC236}">
              <a16:creationId xmlns:a16="http://schemas.microsoft.com/office/drawing/2014/main" id="{00000000-0008-0000-0D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0" name="Picture 1" descr="TDK CI Mark_blue_RGB_highres">
          <a:extLst>
            <a:ext uri="{FF2B5EF4-FFF2-40B4-BE49-F238E27FC236}">
              <a16:creationId xmlns:a16="http://schemas.microsoft.com/office/drawing/2014/main" id="{00000000-0008-0000-0D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1" name="Picture 1" descr="TDK CI Mark_blue_RGB_highres">
          <a:extLst>
            <a:ext uri="{FF2B5EF4-FFF2-40B4-BE49-F238E27FC236}">
              <a16:creationId xmlns:a16="http://schemas.microsoft.com/office/drawing/2014/main" id="{00000000-0008-0000-0D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2" name="Picture 1" descr="TDK CI Mark_blue_RGB_highres">
          <a:extLst>
            <a:ext uri="{FF2B5EF4-FFF2-40B4-BE49-F238E27FC236}">
              <a16:creationId xmlns:a16="http://schemas.microsoft.com/office/drawing/2014/main" id="{00000000-0008-0000-0D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3" name="Picture 1" descr="TDK CI Mark_blue_RGB_highres">
          <a:extLst>
            <a:ext uri="{FF2B5EF4-FFF2-40B4-BE49-F238E27FC236}">
              <a16:creationId xmlns:a16="http://schemas.microsoft.com/office/drawing/2014/main" id="{00000000-0008-0000-0D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4" name="Picture 1" descr="TDK CI Mark_blue_RGB_highres">
          <a:extLst>
            <a:ext uri="{FF2B5EF4-FFF2-40B4-BE49-F238E27FC236}">
              <a16:creationId xmlns:a16="http://schemas.microsoft.com/office/drawing/2014/main" id="{00000000-0008-0000-0D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5" name="Picture 1" descr="TDK CI Mark_blue_RGB_highres">
          <a:extLst>
            <a:ext uri="{FF2B5EF4-FFF2-40B4-BE49-F238E27FC236}">
              <a16:creationId xmlns:a16="http://schemas.microsoft.com/office/drawing/2014/main" id="{00000000-0008-0000-0D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6" name="Picture 1" descr="TDK CI Mark_blue_RGB_highres">
          <a:extLst>
            <a:ext uri="{FF2B5EF4-FFF2-40B4-BE49-F238E27FC236}">
              <a16:creationId xmlns:a16="http://schemas.microsoft.com/office/drawing/2014/main" id="{00000000-0008-0000-0D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7" name="Picture 1" descr="TDK CI Mark_blue_RGB_highres">
          <a:extLst>
            <a:ext uri="{FF2B5EF4-FFF2-40B4-BE49-F238E27FC236}">
              <a16:creationId xmlns:a16="http://schemas.microsoft.com/office/drawing/2014/main" id="{00000000-0008-0000-0D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8" name="Picture 1" descr="TDK CI Mark_blue_RGB_highres">
          <a:extLst>
            <a:ext uri="{FF2B5EF4-FFF2-40B4-BE49-F238E27FC236}">
              <a16:creationId xmlns:a16="http://schemas.microsoft.com/office/drawing/2014/main" id="{00000000-0008-0000-0D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429" name="Picture 1" descr="TDK CI Mark_blue_RGB_highres">
          <a:extLst>
            <a:ext uri="{FF2B5EF4-FFF2-40B4-BE49-F238E27FC236}">
              <a16:creationId xmlns:a16="http://schemas.microsoft.com/office/drawing/2014/main" id="{00000000-0008-0000-0D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0" name="Picture 66" descr="TDK CI Mark_blue_RGB_highres">
          <a:extLst>
            <a:ext uri="{FF2B5EF4-FFF2-40B4-BE49-F238E27FC236}">
              <a16:creationId xmlns:a16="http://schemas.microsoft.com/office/drawing/2014/main" id="{00000000-0008-0000-0D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1" name="Picture 1" descr="TDK CI Mark_blue_RGB_highres">
          <a:extLst>
            <a:ext uri="{FF2B5EF4-FFF2-40B4-BE49-F238E27FC236}">
              <a16:creationId xmlns:a16="http://schemas.microsoft.com/office/drawing/2014/main" id="{00000000-0008-0000-0D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2" name="Picture 1" descr="TDK CI Mark_blue_RGB_highres">
          <a:extLst>
            <a:ext uri="{FF2B5EF4-FFF2-40B4-BE49-F238E27FC236}">
              <a16:creationId xmlns:a16="http://schemas.microsoft.com/office/drawing/2014/main" id="{00000000-0008-0000-0D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3" name="Picture 1" descr="TDK CI Mark_blue_RGB_highres">
          <a:extLst>
            <a:ext uri="{FF2B5EF4-FFF2-40B4-BE49-F238E27FC236}">
              <a16:creationId xmlns:a16="http://schemas.microsoft.com/office/drawing/2014/main" id="{00000000-0008-0000-0D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4" name="Picture 1" descr="TDK CI Mark_blue_RGB_highres">
          <a:extLst>
            <a:ext uri="{FF2B5EF4-FFF2-40B4-BE49-F238E27FC236}">
              <a16:creationId xmlns:a16="http://schemas.microsoft.com/office/drawing/2014/main" id="{00000000-0008-0000-0D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5" name="Picture 1" descr="TDK CI Mark_blue_RGB_highres">
          <a:extLst>
            <a:ext uri="{FF2B5EF4-FFF2-40B4-BE49-F238E27FC236}">
              <a16:creationId xmlns:a16="http://schemas.microsoft.com/office/drawing/2014/main" id="{00000000-0008-0000-0D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6" name="Picture 1" descr="TDK CI Mark_blue_RGB_highres">
          <a:extLst>
            <a:ext uri="{FF2B5EF4-FFF2-40B4-BE49-F238E27FC236}">
              <a16:creationId xmlns:a16="http://schemas.microsoft.com/office/drawing/2014/main" id="{00000000-0008-0000-0D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7" name="Picture 1" descr="TDK CI Mark_blue_RGB_highres">
          <a:extLst>
            <a:ext uri="{FF2B5EF4-FFF2-40B4-BE49-F238E27FC236}">
              <a16:creationId xmlns:a16="http://schemas.microsoft.com/office/drawing/2014/main" id="{00000000-0008-0000-0D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8" name="Picture 1" descr="TDK CI Mark_blue_RGB_highres">
          <a:extLst>
            <a:ext uri="{FF2B5EF4-FFF2-40B4-BE49-F238E27FC236}">
              <a16:creationId xmlns:a16="http://schemas.microsoft.com/office/drawing/2014/main" id="{00000000-0008-0000-0D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9" name="Picture 1" descr="TDK CI Mark_blue_RGB_highres">
          <a:extLst>
            <a:ext uri="{FF2B5EF4-FFF2-40B4-BE49-F238E27FC236}">
              <a16:creationId xmlns:a16="http://schemas.microsoft.com/office/drawing/2014/main" id="{00000000-0008-0000-0D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440" name="Picture 1" descr="TDK CI Mark_blue_RGB_highres">
          <a:extLst>
            <a:ext uri="{FF2B5EF4-FFF2-40B4-BE49-F238E27FC236}">
              <a16:creationId xmlns:a16="http://schemas.microsoft.com/office/drawing/2014/main" id="{00000000-0008-0000-0D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76200</xdr:rowOff>
    </xdr:from>
    <xdr:ext cx="1000125" cy="447675"/>
    <xdr:pic>
      <xdr:nvPicPr>
        <xdr:cNvPr id="441" name="Picture 3" descr="TDK CI Mark_blue_RGB_highres">
          <a:extLst>
            <a:ext uri="{FF2B5EF4-FFF2-40B4-BE49-F238E27FC236}">
              <a16:creationId xmlns:a16="http://schemas.microsoft.com/office/drawing/2014/main" id="{00000000-0008-0000-0D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2" name="Picture 53" descr="TDK CI Mark_blue_RGB_highres">
          <a:extLst>
            <a:ext uri="{FF2B5EF4-FFF2-40B4-BE49-F238E27FC236}">
              <a16:creationId xmlns:a16="http://schemas.microsoft.com/office/drawing/2014/main" id="{00000000-0008-0000-0D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3" name="Picture 1" descr="TDK CI Mark_blue_RGB_highres">
          <a:extLst>
            <a:ext uri="{FF2B5EF4-FFF2-40B4-BE49-F238E27FC236}">
              <a16:creationId xmlns:a16="http://schemas.microsoft.com/office/drawing/2014/main" id="{00000000-0008-0000-0D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4" name="Picture 1" descr="TDK CI Mark_blue_RGB_highres">
          <a:extLst>
            <a:ext uri="{FF2B5EF4-FFF2-40B4-BE49-F238E27FC236}">
              <a16:creationId xmlns:a16="http://schemas.microsoft.com/office/drawing/2014/main" id="{00000000-0008-0000-0D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5" name="Picture 1" descr="TDK CI Mark_blue_RGB_highres">
          <a:extLst>
            <a:ext uri="{FF2B5EF4-FFF2-40B4-BE49-F238E27FC236}">
              <a16:creationId xmlns:a16="http://schemas.microsoft.com/office/drawing/2014/main" id="{00000000-0008-0000-0D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6" name="Picture 1" descr="TDK CI Mark_blue_RGB_highres">
          <a:extLst>
            <a:ext uri="{FF2B5EF4-FFF2-40B4-BE49-F238E27FC236}">
              <a16:creationId xmlns:a16="http://schemas.microsoft.com/office/drawing/2014/main" id="{00000000-0008-0000-0D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7" name="Picture 1" descr="TDK CI Mark_blue_RGB_highres">
          <a:extLst>
            <a:ext uri="{FF2B5EF4-FFF2-40B4-BE49-F238E27FC236}">
              <a16:creationId xmlns:a16="http://schemas.microsoft.com/office/drawing/2014/main" id="{00000000-0008-0000-0D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8" name="Picture 1" descr="TDK CI Mark_blue_RGB_highres">
          <a:extLst>
            <a:ext uri="{FF2B5EF4-FFF2-40B4-BE49-F238E27FC236}">
              <a16:creationId xmlns:a16="http://schemas.microsoft.com/office/drawing/2014/main" id="{00000000-0008-0000-0D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9" name="Picture 1" descr="TDK CI Mark_blue_RGB_highres">
          <a:extLst>
            <a:ext uri="{FF2B5EF4-FFF2-40B4-BE49-F238E27FC236}">
              <a16:creationId xmlns:a16="http://schemas.microsoft.com/office/drawing/2014/main" id="{00000000-0008-0000-0D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0" name="Picture 1" descr="TDK CI Mark_blue_RGB_highres">
          <a:extLst>
            <a:ext uri="{FF2B5EF4-FFF2-40B4-BE49-F238E27FC236}">
              <a16:creationId xmlns:a16="http://schemas.microsoft.com/office/drawing/2014/main" id="{00000000-0008-0000-0D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1" name="Picture 1" descr="TDK CI Mark_blue_RGB_highres">
          <a:extLst>
            <a:ext uri="{FF2B5EF4-FFF2-40B4-BE49-F238E27FC236}">
              <a16:creationId xmlns:a16="http://schemas.microsoft.com/office/drawing/2014/main" id="{00000000-0008-0000-0D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2" name="Picture 66" descr="TDK CI Mark_blue_RGB_highres">
          <a:extLst>
            <a:ext uri="{FF2B5EF4-FFF2-40B4-BE49-F238E27FC236}">
              <a16:creationId xmlns:a16="http://schemas.microsoft.com/office/drawing/2014/main" id="{00000000-0008-0000-0D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3" name="Picture 1" descr="TDK CI Mark_blue_RGB_highres">
          <a:extLst>
            <a:ext uri="{FF2B5EF4-FFF2-40B4-BE49-F238E27FC236}">
              <a16:creationId xmlns:a16="http://schemas.microsoft.com/office/drawing/2014/main" id="{00000000-0008-0000-0D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4" name="Picture 1" descr="TDK CI Mark_blue_RGB_highres">
          <a:extLst>
            <a:ext uri="{FF2B5EF4-FFF2-40B4-BE49-F238E27FC236}">
              <a16:creationId xmlns:a16="http://schemas.microsoft.com/office/drawing/2014/main" id="{00000000-0008-0000-0D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5" name="Picture 1" descr="TDK CI Mark_blue_RGB_highres">
          <a:extLst>
            <a:ext uri="{FF2B5EF4-FFF2-40B4-BE49-F238E27FC236}">
              <a16:creationId xmlns:a16="http://schemas.microsoft.com/office/drawing/2014/main" id="{00000000-0008-0000-0D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6" name="Picture 1" descr="TDK CI Mark_blue_RGB_highres">
          <a:extLst>
            <a:ext uri="{FF2B5EF4-FFF2-40B4-BE49-F238E27FC236}">
              <a16:creationId xmlns:a16="http://schemas.microsoft.com/office/drawing/2014/main" id="{00000000-0008-0000-0D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7" name="Picture 1" descr="TDK CI Mark_blue_RGB_highres">
          <a:extLst>
            <a:ext uri="{FF2B5EF4-FFF2-40B4-BE49-F238E27FC236}">
              <a16:creationId xmlns:a16="http://schemas.microsoft.com/office/drawing/2014/main" id="{00000000-0008-0000-0D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8" name="Picture 1" descr="TDK CI Mark_blue_RGB_highres">
          <a:extLst>
            <a:ext uri="{FF2B5EF4-FFF2-40B4-BE49-F238E27FC236}">
              <a16:creationId xmlns:a16="http://schemas.microsoft.com/office/drawing/2014/main" id="{00000000-0008-0000-0D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9" name="Picture 1" descr="TDK CI Mark_blue_RGB_highres">
          <a:extLst>
            <a:ext uri="{FF2B5EF4-FFF2-40B4-BE49-F238E27FC236}">
              <a16:creationId xmlns:a16="http://schemas.microsoft.com/office/drawing/2014/main" id="{00000000-0008-0000-0D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0" name="Picture 1" descr="TDK CI Mark_blue_RGB_highres">
          <a:extLst>
            <a:ext uri="{FF2B5EF4-FFF2-40B4-BE49-F238E27FC236}">
              <a16:creationId xmlns:a16="http://schemas.microsoft.com/office/drawing/2014/main" id="{00000000-0008-0000-0D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1" name="Picture 1" descr="TDK CI Mark_blue_RGB_highres">
          <a:extLst>
            <a:ext uri="{FF2B5EF4-FFF2-40B4-BE49-F238E27FC236}">
              <a16:creationId xmlns:a16="http://schemas.microsoft.com/office/drawing/2014/main" id="{00000000-0008-0000-0D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0</xdr:rowOff>
    </xdr:from>
    <xdr:ext cx="0" cy="657225"/>
    <xdr:pic>
      <xdr:nvPicPr>
        <xdr:cNvPr id="462" name="Picture 1" descr="TDK CI Mark_blue_RGB_highres">
          <a:extLst>
            <a:ext uri="{FF2B5EF4-FFF2-40B4-BE49-F238E27FC236}">
              <a16:creationId xmlns:a16="http://schemas.microsoft.com/office/drawing/2014/main" id="{00000000-0008-0000-0D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3" name="Picture 53" descr="TDK CI Mark_blue_RGB_highres">
          <a:extLst>
            <a:ext uri="{FF2B5EF4-FFF2-40B4-BE49-F238E27FC236}">
              <a16:creationId xmlns:a16="http://schemas.microsoft.com/office/drawing/2014/main" id="{00000000-0008-0000-0D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4" name="Picture 1" descr="TDK CI Mark_blue_RGB_highres">
          <a:extLst>
            <a:ext uri="{FF2B5EF4-FFF2-40B4-BE49-F238E27FC236}">
              <a16:creationId xmlns:a16="http://schemas.microsoft.com/office/drawing/2014/main" id="{00000000-0008-0000-0D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5" name="Picture 1" descr="TDK CI Mark_blue_RGB_highres">
          <a:extLst>
            <a:ext uri="{FF2B5EF4-FFF2-40B4-BE49-F238E27FC236}">
              <a16:creationId xmlns:a16="http://schemas.microsoft.com/office/drawing/2014/main" id="{00000000-0008-0000-0D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6" name="Picture 1" descr="TDK CI Mark_blue_RGB_highres">
          <a:extLst>
            <a:ext uri="{FF2B5EF4-FFF2-40B4-BE49-F238E27FC236}">
              <a16:creationId xmlns:a16="http://schemas.microsoft.com/office/drawing/2014/main" id="{00000000-0008-0000-0D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7" name="Picture 1" descr="TDK CI Mark_blue_RGB_highres">
          <a:extLst>
            <a:ext uri="{FF2B5EF4-FFF2-40B4-BE49-F238E27FC236}">
              <a16:creationId xmlns:a16="http://schemas.microsoft.com/office/drawing/2014/main" id="{00000000-0008-0000-0D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8" name="Picture 1" descr="TDK CI Mark_blue_RGB_highres">
          <a:extLst>
            <a:ext uri="{FF2B5EF4-FFF2-40B4-BE49-F238E27FC236}">
              <a16:creationId xmlns:a16="http://schemas.microsoft.com/office/drawing/2014/main" id="{00000000-0008-0000-0D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9" name="Picture 1" descr="TDK CI Mark_blue_RGB_highres">
          <a:extLst>
            <a:ext uri="{FF2B5EF4-FFF2-40B4-BE49-F238E27FC236}">
              <a16:creationId xmlns:a16="http://schemas.microsoft.com/office/drawing/2014/main" id="{00000000-0008-0000-0D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0" name="Picture 1" descr="TDK CI Mark_blue_RGB_highres">
          <a:extLst>
            <a:ext uri="{FF2B5EF4-FFF2-40B4-BE49-F238E27FC236}">
              <a16:creationId xmlns:a16="http://schemas.microsoft.com/office/drawing/2014/main" id="{00000000-0008-0000-0D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1" name="Picture 1" descr="TDK CI Mark_blue_RGB_highres">
          <a:extLst>
            <a:ext uri="{FF2B5EF4-FFF2-40B4-BE49-F238E27FC236}">
              <a16:creationId xmlns:a16="http://schemas.microsoft.com/office/drawing/2014/main" id="{00000000-0008-0000-0D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2" name="Picture 1" descr="TDK CI Mark_blue_RGB_highres">
          <a:extLst>
            <a:ext uri="{FF2B5EF4-FFF2-40B4-BE49-F238E27FC236}">
              <a16:creationId xmlns:a16="http://schemas.microsoft.com/office/drawing/2014/main" id="{00000000-0008-0000-0D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0</xdr:rowOff>
    </xdr:from>
    <xdr:ext cx="0" cy="657225"/>
    <xdr:pic>
      <xdr:nvPicPr>
        <xdr:cNvPr id="473" name="Picture 1" descr="TDK CI Mark_blue_RGB_highres">
          <a:extLst>
            <a:ext uri="{FF2B5EF4-FFF2-40B4-BE49-F238E27FC236}">
              <a16:creationId xmlns:a16="http://schemas.microsoft.com/office/drawing/2014/main" id="{00000000-0008-0000-0D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4" name="Picture 66" descr="TDK CI Mark_blue_RGB_highres">
          <a:extLst>
            <a:ext uri="{FF2B5EF4-FFF2-40B4-BE49-F238E27FC236}">
              <a16:creationId xmlns:a16="http://schemas.microsoft.com/office/drawing/2014/main" id="{00000000-0008-0000-0D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5" name="Picture 1" descr="TDK CI Mark_blue_RGB_highres">
          <a:extLst>
            <a:ext uri="{FF2B5EF4-FFF2-40B4-BE49-F238E27FC236}">
              <a16:creationId xmlns:a16="http://schemas.microsoft.com/office/drawing/2014/main" id="{00000000-0008-0000-0D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6" name="Picture 1" descr="TDK CI Mark_blue_RGB_highres">
          <a:extLst>
            <a:ext uri="{FF2B5EF4-FFF2-40B4-BE49-F238E27FC236}">
              <a16:creationId xmlns:a16="http://schemas.microsoft.com/office/drawing/2014/main" id="{00000000-0008-0000-0D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7" name="Picture 1" descr="TDK CI Mark_blue_RGB_highres">
          <a:extLst>
            <a:ext uri="{FF2B5EF4-FFF2-40B4-BE49-F238E27FC236}">
              <a16:creationId xmlns:a16="http://schemas.microsoft.com/office/drawing/2014/main" id="{00000000-0008-0000-0D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8" name="Picture 1" descr="TDK CI Mark_blue_RGB_highres">
          <a:extLst>
            <a:ext uri="{FF2B5EF4-FFF2-40B4-BE49-F238E27FC236}">
              <a16:creationId xmlns:a16="http://schemas.microsoft.com/office/drawing/2014/main" id="{00000000-0008-0000-0D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9" name="Picture 1" descr="TDK CI Mark_blue_RGB_highres">
          <a:extLst>
            <a:ext uri="{FF2B5EF4-FFF2-40B4-BE49-F238E27FC236}">
              <a16:creationId xmlns:a16="http://schemas.microsoft.com/office/drawing/2014/main" id="{00000000-0008-0000-0D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0" name="Picture 1" descr="TDK CI Mark_blue_RGB_highres">
          <a:extLst>
            <a:ext uri="{FF2B5EF4-FFF2-40B4-BE49-F238E27FC236}">
              <a16:creationId xmlns:a16="http://schemas.microsoft.com/office/drawing/2014/main" id="{00000000-0008-0000-0D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1" name="Picture 1" descr="TDK CI Mark_blue_RGB_highres">
          <a:extLst>
            <a:ext uri="{FF2B5EF4-FFF2-40B4-BE49-F238E27FC236}">
              <a16:creationId xmlns:a16="http://schemas.microsoft.com/office/drawing/2014/main" id="{00000000-0008-0000-0D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2" name="Picture 1" descr="TDK CI Mark_blue_RGB_highres">
          <a:extLst>
            <a:ext uri="{FF2B5EF4-FFF2-40B4-BE49-F238E27FC236}">
              <a16:creationId xmlns:a16="http://schemas.microsoft.com/office/drawing/2014/main" id="{00000000-0008-0000-0D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3" name="Picture 1" descr="TDK CI Mark_blue_RGB_highres">
          <a:extLst>
            <a:ext uri="{FF2B5EF4-FFF2-40B4-BE49-F238E27FC236}">
              <a16:creationId xmlns:a16="http://schemas.microsoft.com/office/drawing/2014/main" id="{00000000-0008-0000-0D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0</xdr:rowOff>
    </xdr:from>
    <xdr:ext cx="0" cy="657225"/>
    <xdr:pic>
      <xdr:nvPicPr>
        <xdr:cNvPr id="484" name="Picture 1" descr="TDK CI Mark_blue_RGB_highres">
          <a:extLst>
            <a:ext uri="{FF2B5EF4-FFF2-40B4-BE49-F238E27FC236}">
              <a16:creationId xmlns:a16="http://schemas.microsoft.com/office/drawing/2014/main" id="{00000000-0008-0000-0D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6" name="Picture 53" descr="TDK CI Mark_blue_RGB_highres">
          <a:extLst>
            <a:ext uri="{FF2B5EF4-FFF2-40B4-BE49-F238E27FC236}">
              <a16:creationId xmlns:a16="http://schemas.microsoft.com/office/drawing/2014/main" id="{00000000-0008-0000-0D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7" name="Picture 1" descr="TDK CI Mark_blue_RGB_highres">
          <a:extLst>
            <a:ext uri="{FF2B5EF4-FFF2-40B4-BE49-F238E27FC236}">
              <a16:creationId xmlns:a16="http://schemas.microsoft.com/office/drawing/2014/main" id="{00000000-0008-0000-0D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8" name="Picture 1" descr="TDK CI Mark_blue_RGB_highres">
          <a:extLst>
            <a:ext uri="{FF2B5EF4-FFF2-40B4-BE49-F238E27FC236}">
              <a16:creationId xmlns:a16="http://schemas.microsoft.com/office/drawing/2014/main" id="{00000000-0008-0000-0D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9" name="Picture 1" descr="TDK CI Mark_blue_RGB_highres">
          <a:extLst>
            <a:ext uri="{FF2B5EF4-FFF2-40B4-BE49-F238E27FC236}">
              <a16:creationId xmlns:a16="http://schemas.microsoft.com/office/drawing/2014/main" id="{00000000-0008-0000-0D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0" name="Picture 1" descr="TDK CI Mark_blue_RGB_highres">
          <a:extLst>
            <a:ext uri="{FF2B5EF4-FFF2-40B4-BE49-F238E27FC236}">
              <a16:creationId xmlns:a16="http://schemas.microsoft.com/office/drawing/2014/main" id="{00000000-0008-0000-0D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1" name="Picture 1" descr="TDK CI Mark_blue_RGB_highres">
          <a:extLst>
            <a:ext uri="{FF2B5EF4-FFF2-40B4-BE49-F238E27FC236}">
              <a16:creationId xmlns:a16="http://schemas.microsoft.com/office/drawing/2014/main" id="{00000000-0008-0000-0D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2" name="Picture 1" descr="TDK CI Mark_blue_RGB_highres">
          <a:extLst>
            <a:ext uri="{FF2B5EF4-FFF2-40B4-BE49-F238E27FC236}">
              <a16:creationId xmlns:a16="http://schemas.microsoft.com/office/drawing/2014/main" id="{00000000-0008-0000-0D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3" name="Picture 1" descr="TDK CI Mark_blue_RGB_highres">
          <a:extLst>
            <a:ext uri="{FF2B5EF4-FFF2-40B4-BE49-F238E27FC236}">
              <a16:creationId xmlns:a16="http://schemas.microsoft.com/office/drawing/2014/main" id="{00000000-0008-0000-0D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4" name="Picture 1" descr="TDK CI Mark_blue_RGB_highres">
          <a:extLst>
            <a:ext uri="{FF2B5EF4-FFF2-40B4-BE49-F238E27FC236}">
              <a16:creationId xmlns:a16="http://schemas.microsoft.com/office/drawing/2014/main" id="{00000000-0008-0000-0D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5" name="Picture 1" descr="TDK CI Mark_blue_RGB_highres">
          <a:extLst>
            <a:ext uri="{FF2B5EF4-FFF2-40B4-BE49-F238E27FC236}">
              <a16:creationId xmlns:a16="http://schemas.microsoft.com/office/drawing/2014/main" id="{00000000-0008-0000-0D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6" name="Picture 66" descr="TDK CI Mark_blue_RGB_highres">
          <a:extLst>
            <a:ext uri="{FF2B5EF4-FFF2-40B4-BE49-F238E27FC236}">
              <a16:creationId xmlns:a16="http://schemas.microsoft.com/office/drawing/2014/main" id="{00000000-0008-0000-0D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7" name="Picture 1" descr="TDK CI Mark_blue_RGB_highres">
          <a:extLst>
            <a:ext uri="{FF2B5EF4-FFF2-40B4-BE49-F238E27FC236}">
              <a16:creationId xmlns:a16="http://schemas.microsoft.com/office/drawing/2014/main" id="{00000000-0008-0000-0D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8" name="Picture 1" descr="TDK CI Mark_blue_RGB_highres">
          <a:extLst>
            <a:ext uri="{FF2B5EF4-FFF2-40B4-BE49-F238E27FC236}">
              <a16:creationId xmlns:a16="http://schemas.microsoft.com/office/drawing/2014/main" id="{00000000-0008-0000-0D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9" name="Picture 1" descr="TDK CI Mark_blue_RGB_highres">
          <a:extLst>
            <a:ext uri="{FF2B5EF4-FFF2-40B4-BE49-F238E27FC236}">
              <a16:creationId xmlns:a16="http://schemas.microsoft.com/office/drawing/2014/main" id="{00000000-0008-0000-0D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0" name="Picture 1" descr="TDK CI Mark_blue_RGB_highres">
          <a:extLst>
            <a:ext uri="{FF2B5EF4-FFF2-40B4-BE49-F238E27FC236}">
              <a16:creationId xmlns:a16="http://schemas.microsoft.com/office/drawing/2014/main" id="{00000000-0008-0000-0D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1" name="Picture 1" descr="TDK CI Mark_blue_RGB_highres">
          <a:extLst>
            <a:ext uri="{FF2B5EF4-FFF2-40B4-BE49-F238E27FC236}">
              <a16:creationId xmlns:a16="http://schemas.microsoft.com/office/drawing/2014/main" id="{00000000-0008-0000-0D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2" name="Picture 1" descr="TDK CI Mark_blue_RGB_highres">
          <a:extLst>
            <a:ext uri="{FF2B5EF4-FFF2-40B4-BE49-F238E27FC236}">
              <a16:creationId xmlns:a16="http://schemas.microsoft.com/office/drawing/2014/main" id="{00000000-0008-0000-0D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3" name="Picture 1" descr="TDK CI Mark_blue_RGB_highres">
          <a:extLst>
            <a:ext uri="{FF2B5EF4-FFF2-40B4-BE49-F238E27FC236}">
              <a16:creationId xmlns:a16="http://schemas.microsoft.com/office/drawing/2014/main" id="{00000000-0008-0000-0D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4" name="Picture 1" descr="TDK CI Mark_blue_RGB_highres">
          <a:extLst>
            <a:ext uri="{FF2B5EF4-FFF2-40B4-BE49-F238E27FC236}">
              <a16:creationId xmlns:a16="http://schemas.microsoft.com/office/drawing/2014/main" id="{00000000-0008-0000-0D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5" name="Picture 1" descr="TDK CI Mark_blue_RGB_highres">
          <a:extLst>
            <a:ext uri="{FF2B5EF4-FFF2-40B4-BE49-F238E27FC236}">
              <a16:creationId xmlns:a16="http://schemas.microsoft.com/office/drawing/2014/main" id="{00000000-0008-0000-0D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06" name="Picture 1" descr="TDK CI Mark_blue_RGB_highres">
          <a:extLst>
            <a:ext uri="{FF2B5EF4-FFF2-40B4-BE49-F238E27FC236}">
              <a16:creationId xmlns:a16="http://schemas.microsoft.com/office/drawing/2014/main" id="{00000000-0008-0000-0D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7" name="Picture 53" descr="TDK CI Mark_blue_RGB_highres">
          <a:extLst>
            <a:ext uri="{FF2B5EF4-FFF2-40B4-BE49-F238E27FC236}">
              <a16:creationId xmlns:a16="http://schemas.microsoft.com/office/drawing/2014/main" id="{00000000-0008-0000-0D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8" name="Picture 1" descr="TDK CI Mark_blue_RGB_highres">
          <a:extLst>
            <a:ext uri="{FF2B5EF4-FFF2-40B4-BE49-F238E27FC236}">
              <a16:creationId xmlns:a16="http://schemas.microsoft.com/office/drawing/2014/main" id="{00000000-0008-0000-0D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9" name="Picture 1" descr="TDK CI Mark_blue_RGB_highres">
          <a:extLst>
            <a:ext uri="{FF2B5EF4-FFF2-40B4-BE49-F238E27FC236}">
              <a16:creationId xmlns:a16="http://schemas.microsoft.com/office/drawing/2014/main" id="{00000000-0008-0000-0D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0" name="Picture 1" descr="TDK CI Mark_blue_RGB_highres">
          <a:extLst>
            <a:ext uri="{FF2B5EF4-FFF2-40B4-BE49-F238E27FC236}">
              <a16:creationId xmlns:a16="http://schemas.microsoft.com/office/drawing/2014/main" id="{00000000-0008-0000-0D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1" name="Picture 1" descr="TDK CI Mark_blue_RGB_highres">
          <a:extLst>
            <a:ext uri="{FF2B5EF4-FFF2-40B4-BE49-F238E27FC236}">
              <a16:creationId xmlns:a16="http://schemas.microsoft.com/office/drawing/2014/main" id="{00000000-0008-0000-0D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2" name="Picture 1" descr="TDK CI Mark_blue_RGB_highres">
          <a:extLst>
            <a:ext uri="{FF2B5EF4-FFF2-40B4-BE49-F238E27FC236}">
              <a16:creationId xmlns:a16="http://schemas.microsoft.com/office/drawing/2014/main" id="{00000000-0008-0000-0D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3" name="Picture 1" descr="TDK CI Mark_blue_RGB_highres">
          <a:extLst>
            <a:ext uri="{FF2B5EF4-FFF2-40B4-BE49-F238E27FC236}">
              <a16:creationId xmlns:a16="http://schemas.microsoft.com/office/drawing/2014/main" id="{00000000-0008-0000-0D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4" name="Picture 1" descr="TDK CI Mark_blue_RGB_highres">
          <a:extLst>
            <a:ext uri="{FF2B5EF4-FFF2-40B4-BE49-F238E27FC236}">
              <a16:creationId xmlns:a16="http://schemas.microsoft.com/office/drawing/2014/main" id="{00000000-0008-0000-0D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5" name="Picture 1" descr="TDK CI Mark_blue_RGB_highres">
          <a:extLst>
            <a:ext uri="{FF2B5EF4-FFF2-40B4-BE49-F238E27FC236}">
              <a16:creationId xmlns:a16="http://schemas.microsoft.com/office/drawing/2014/main" id="{00000000-0008-0000-0D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6" name="Picture 1" descr="TDK CI Mark_blue_RGB_highres">
          <a:extLst>
            <a:ext uri="{FF2B5EF4-FFF2-40B4-BE49-F238E27FC236}">
              <a16:creationId xmlns:a16="http://schemas.microsoft.com/office/drawing/2014/main" id="{00000000-0008-0000-0D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17" name="Picture 1" descr="TDK CI Mark_blue_RGB_highres">
          <a:extLst>
            <a:ext uri="{FF2B5EF4-FFF2-40B4-BE49-F238E27FC236}">
              <a16:creationId xmlns:a16="http://schemas.microsoft.com/office/drawing/2014/main" id="{00000000-0008-0000-0D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8" name="Picture 66" descr="TDK CI Mark_blue_RGB_highres">
          <a:extLst>
            <a:ext uri="{FF2B5EF4-FFF2-40B4-BE49-F238E27FC236}">
              <a16:creationId xmlns:a16="http://schemas.microsoft.com/office/drawing/2014/main" id="{00000000-0008-0000-0D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9" name="Picture 1" descr="TDK CI Mark_blue_RGB_highres">
          <a:extLst>
            <a:ext uri="{FF2B5EF4-FFF2-40B4-BE49-F238E27FC236}">
              <a16:creationId xmlns:a16="http://schemas.microsoft.com/office/drawing/2014/main" id="{00000000-0008-0000-0D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0" name="Picture 1" descr="TDK CI Mark_blue_RGB_highres">
          <a:extLst>
            <a:ext uri="{FF2B5EF4-FFF2-40B4-BE49-F238E27FC236}">
              <a16:creationId xmlns:a16="http://schemas.microsoft.com/office/drawing/2014/main" id="{00000000-0008-0000-0D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1" name="Picture 1" descr="TDK CI Mark_blue_RGB_highres">
          <a:extLst>
            <a:ext uri="{FF2B5EF4-FFF2-40B4-BE49-F238E27FC236}">
              <a16:creationId xmlns:a16="http://schemas.microsoft.com/office/drawing/2014/main" id="{00000000-0008-0000-0D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2" name="Picture 1" descr="TDK CI Mark_blue_RGB_highres">
          <a:extLst>
            <a:ext uri="{FF2B5EF4-FFF2-40B4-BE49-F238E27FC236}">
              <a16:creationId xmlns:a16="http://schemas.microsoft.com/office/drawing/2014/main" id="{00000000-0008-0000-0D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3" name="Picture 1" descr="TDK CI Mark_blue_RGB_highres">
          <a:extLst>
            <a:ext uri="{FF2B5EF4-FFF2-40B4-BE49-F238E27FC236}">
              <a16:creationId xmlns:a16="http://schemas.microsoft.com/office/drawing/2014/main" id="{00000000-0008-0000-0D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4" name="Picture 1" descr="TDK CI Mark_blue_RGB_highres">
          <a:extLst>
            <a:ext uri="{FF2B5EF4-FFF2-40B4-BE49-F238E27FC236}">
              <a16:creationId xmlns:a16="http://schemas.microsoft.com/office/drawing/2014/main" id="{00000000-0008-0000-0D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5" name="Picture 1" descr="TDK CI Mark_blue_RGB_highres">
          <a:extLst>
            <a:ext uri="{FF2B5EF4-FFF2-40B4-BE49-F238E27FC236}">
              <a16:creationId xmlns:a16="http://schemas.microsoft.com/office/drawing/2014/main" id="{00000000-0008-0000-0D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6" name="Picture 1" descr="TDK CI Mark_blue_RGB_highres">
          <a:extLst>
            <a:ext uri="{FF2B5EF4-FFF2-40B4-BE49-F238E27FC236}">
              <a16:creationId xmlns:a16="http://schemas.microsoft.com/office/drawing/2014/main" id="{00000000-0008-0000-0D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7" name="Picture 1" descr="TDK CI Mark_blue_RGB_highres">
          <a:extLst>
            <a:ext uri="{FF2B5EF4-FFF2-40B4-BE49-F238E27FC236}">
              <a16:creationId xmlns:a16="http://schemas.microsoft.com/office/drawing/2014/main" id="{00000000-0008-0000-0D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28" name="Picture 1" descr="TDK CI Mark_blue_RGB_highres">
          <a:extLst>
            <a:ext uri="{FF2B5EF4-FFF2-40B4-BE49-F238E27FC236}">
              <a16:creationId xmlns:a16="http://schemas.microsoft.com/office/drawing/2014/main" id="{00000000-0008-0000-0D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0" name="Picture 53" descr="TDK CI Mark_blue_RGB_highres">
          <a:extLst>
            <a:ext uri="{FF2B5EF4-FFF2-40B4-BE49-F238E27FC236}">
              <a16:creationId xmlns:a16="http://schemas.microsoft.com/office/drawing/2014/main" id="{00000000-0008-0000-0D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1" name="Picture 1" descr="TDK CI Mark_blue_RGB_highres">
          <a:extLst>
            <a:ext uri="{FF2B5EF4-FFF2-40B4-BE49-F238E27FC236}">
              <a16:creationId xmlns:a16="http://schemas.microsoft.com/office/drawing/2014/main" id="{00000000-0008-0000-0D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2" name="Picture 1" descr="TDK CI Mark_blue_RGB_highres">
          <a:extLst>
            <a:ext uri="{FF2B5EF4-FFF2-40B4-BE49-F238E27FC236}">
              <a16:creationId xmlns:a16="http://schemas.microsoft.com/office/drawing/2014/main" id="{00000000-0008-0000-0D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3" name="Picture 1" descr="TDK CI Mark_blue_RGB_highres">
          <a:extLst>
            <a:ext uri="{FF2B5EF4-FFF2-40B4-BE49-F238E27FC236}">
              <a16:creationId xmlns:a16="http://schemas.microsoft.com/office/drawing/2014/main" id="{00000000-0008-0000-0D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4" name="Picture 1" descr="TDK CI Mark_blue_RGB_highres">
          <a:extLst>
            <a:ext uri="{FF2B5EF4-FFF2-40B4-BE49-F238E27FC236}">
              <a16:creationId xmlns:a16="http://schemas.microsoft.com/office/drawing/2014/main" id="{00000000-0008-0000-0D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5" name="Picture 1" descr="TDK CI Mark_blue_RGB_highres">
          <a:extLst>
            <a:ext uri="{FF2B5EF4-FFF2-40B4-BE49-F238E27FC236}">
              <a16:creationId xmlns:a16="http://schemas.microsoft.com/office/drawing/2014/main" id="{00000000-0008-0000-0D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6" name="Picture 1" descr="TDK CI Mark_blue_RGB_highres">
          <a:extLst>
            <a:ext uri="{FF2B5EF4-FFF2-40B4-BE49-F238E27FC236}">
              <a16:creationId xmlns:a16="http://schemas.microsoft.com/office/drawing/2014/main" id="{00000000-0008-0000-0D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7" name="Picture 1" descr="TDK CI Mark_blue_RGB_highres">
          <a:extLst>
            <a:ext uri="{FF2B5EF4-FFF2-40B4-BE49-F238E27FC236}">
              <a16:creationId xmlns:a16="http://schemas.microsoft.com/office/drawing/2014/main" id="{00000000-0008-0000-0D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8" name="Picture 1" descr="TDK CI Mark_blue_RGB_highres">
          <a:extLst>
            <a:ext uri="{FF2B5EF4-FFF2-40B4-BE49-F238E27FC236}">
              <a16:creationId xmlns:a16="http://schemas.microsoft.com/office/drawing/2014/main" id="{00000000-0008-0000-0D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9" name="Picture 1" descr="TDK CI Mark_blue_RGB_highres">
          <a:extLst>
            <a:ext uri="{FF2B5EF4-FFF2-40B4-BE49-F238E27FC236}">
              <a16:creationId xmlns:a16="http://schemas.microsoft.com/office/drawing/2014/main" id="{00000000-0008-0000-0D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0" name="Picture 66" descr="TDK CI Mark_blue_RGB_highres">
          <a:extLst>
            <a:ext uri="{FF2B5EF4-FFF2-40B4-BE49-F238E27FC236}">
              <a16:creationId xmlns:a16="http://schemas.microsoft.com/office/drawing/2014/main" id="{00000000-0008-0000-0D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1" name="Picture 1" descr="TDK CI Mark_blue_RGB_highres">
          <a:extLst>
            <a:ext uri="{FF2B5EF4-FFF2-40B4-BE49-F238E27FC236}">
              <a16:creationId xmlns:a16="http://schemas.microsoft.com/office/drawing/2014/main" id="{00000000-0008-0000-0D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2" name="Picture 1" descr="TDK CI Mark_blue_RGB_highres">
          <a:extLst>
            <a:ext uri="{FF2B5EF4-FFF2-40B4-BE49-F238E27FC236}">
              <a16:creationId xmlns:a16="http://schemas.microsoft.com/office/drawing/2014/main" id="{00000000-0008-0000-0D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3" name="Picture 1" descr="TDK CI Mark_blue_RGB_highres">
          <a:extLst>
            <a:ext uri="{FF2B5EF4-FFF2-40B4-BE49-F238E27FC236}">
              <a16:creationId xmlns:a16="http://schemas.microsoft.com/office/drawing/2014/main" id="{00000000-0008-0000-0D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4" name="Picture 1" descr="TDK CI Mark_blue_RGB_highres">
          <a:extLst>
            <a:ext uri="{FF2B5EF4-FFF2-40B4-BE49-F238E27FC236}">
              <a16:creationId xmlns:a16="http://schemas.microsoft.com/office/drawing/2014/main" id="{00000000-0008-0000-0D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5" name="Picture 1" descr="TDK CI Mark_blue_RGB_highres">
          <a:extLst>
            <a:ext uri="{FF2B5EF4-FFF2-40B4-BE49-F238E27FC236}">
              <a16:creationId xmlns:a16="http://schemas.microsoft.com/office/drawing/2014/main" id="{00000000-0008-0000-0D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6" name="Picture 1" descr="TDK CI Mark_blue_RGB_highres">
          <a:extLst>
            <a:ext uri="{FF2B5EF4-FFF2-40B4-BE49-F238E27FC236}">
              <a16:creationId xmlns:a16="http://schemas.microsoft.com/office/drawing/2014/main" id="{00000000-0008-0000-0D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7" name="Picture 1" descr="TDK CI Mark_blue_RGB_highres">
          <a:extLst>
            <a:ext uri="{FF2B5EF4-FFF2-40B4-BE49-F238E27FC236}">
              <a16:creationId xmlns:a16="http://schemas.microsoft.com/office/drawing/2014/main" id="{00000000-0008-0000-0D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8" name="Picture 1" descr="TDK CI Mark_blue_RGB_highres">
          <a:extLst>
            <a:ext uri="{FF2B5EF4-FFF2-40B4-BE49-F238E27FC236}">
              <a16:creationId xmlns:a16="http://schemas.microsoft.com/office/drawing/2014/main" id="{00000000-0008-0000-0D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9" name="Picture 1" descr="TDK CI Mark_blue_RGB_highres">
          <a:extLst>
            <a:ext uri="{FF2B5EF4-FFF2-40B4-BE49-F238E27FC236}">
              <a16:creationId xmlns:a16="http://schemas.microsoft.com/office/drawing/2014/main" id="{00000000-0008-0000-0D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50" name="Picture 1" descr="TDK CI Mark_blue_RGB_highres">
          <a:extLst>
            <a:ext uri="{FF2B5EF4-FFF2-40B4-BE49-F238E27FC236}">
              <a16:creationId xmlns:a16="http://schemas.microsoft.com/office/drawing/2014/main" id="{00000000-0008-0000-0D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1" name="Picture 53" descr="TDK CI Mark_blue_RGB_highres">
          <a:extLst>
            <a:ext uri="{FF2B5EF4-FFF2-40B4-BE49-F238E27FC236}">
              <a16:creationId xmlns:a16="http://schemas.microsoft.com/office/drawing/2014/main" id="{00000000-0008-0000-0D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2" name="Picture 1" descr="TDK CI Mark_blue_RGB_highres">
          <a:extLst>
            <a:ext uri="{FF2B5EF4-FFF2-40B4-BE49-F238E27FC236}">
              <a16:creationId xmlns:a16="http://schemas.microsoft.com/office/drawing/2014/main" id="{00000000-0008-0000-0D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3" name="Picture 1" descr="TDK CI Mark_blue_RGB_highres">
          <a:extLst>
            <a:ext uri="{FF2B5EF4-FFF2-40B4-BE49-F238E27FC236}">
              <a16:creationId xmlns:a16="http://schemas.microsoft.com/office/drawing/2014/main" id="{00000000-0008-0000-0D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4" name="Picture 1" descr="TDK CI Mark_blue_RGB_highres">
          <a:extLst>
            <a:ext uri="{FF2B5EF4-FFF2-40B4-BE49-F238E27FC236}">
              <a16:creationId xmlns:a16="http://schemas.microsoft.com/office/drawing/2014/main" id="{00000000-0008-0000-0D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5" name="Picture 1" descr="TDK CI Mark_blue_RGB_highres">
          <a:extLst>
            <a:ext uri="{FF2B5EF4-FFF2-40B4-BE49-F238E27FC236}">
              <a16:creationId xmlns:a16="http://schemas.microsoft.com/office/drawing/2014/main" id="{00000000-0008-0000-0D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6" name="Picture 1" descr="TDK CI Mark_blue_RGB_highres">
          <a:extLst>
            <a:ext uri="{FF2B5EF4-FFF2-40B4-BE49-F238E27FC236}">
              <a16:creationId xmlns:a16="http://schemas.microsoft.com/office/drawing/2014/main" id="{00000000-0008-0000-0D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7" name="Picture 1" descr="TDK CI Mark_blue_RGB_highres">
          <a:extLst>
            <a:ext uri="{FF2B5EF4-FFF2-40B4-BE49-F238E27FC236}">
              <a16:creationId xmlns:a16="http://schemas.microsoft.com/office/drawing/2014/main" id="{00000000-0008-0000-0D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8" name="Picture 1" descr="TDK CI Mark_blue_RGB_highres">
          <a:extLst>
            <a:ext uri="{FF2B5EF4-FFF2-40B4-BE49-F238E27FC236}">
              <a16:creationId xmlns:a16="http://schemas.microsoft.com/office/drawing/2014/main" id="{00000000-0008-0000-0D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9" name="Picture 1" descr="TDK CI Mark_blue_RGB_highres">
          <a:extLst>
            <a:ext uri="{FF2B5EF4-FFF2-40B4-BE49-F238E27FC236}">
              <a16:creationId xmlns:a16="http://schemas.microsoft.com/office/drawing/2014/main" id="{00000000-0008-0000-0D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0" name="Picture 1" descr="TDK CI Mark_blue_RGB_highres">
          <a:extLst>
            <a:ext uri="{FF2B5EF4-FFF2-40B4-BE49-F238E27FC236}">
              <a16:creationId xmlns:a16="http://schemas.microsoft.com/office/drawing/2014/main" id="{00000000-0008-0000-0D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61" name="Picture 1" descr="TDK CI Mark_blue_RGB_highres">
          <a:extLst>
            <a:ext uri="{FF2B5EF4-FFF2-40B4-BE49-F238E27FC236}">
              <a16:creationId xmlns:a16="http://schemas.microsoft.com/office/drawing/2014/main" id="{00000000-0008-0000-0D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2" name="Picture 66" descr="TDK CI Mark_blue_RGB_highres">
          <a:extLst>
            <a:ext uri="{FF2B5EF4-FFF2-40B4-BE49-F238E27FC236}">
              <a16:creationId xmlns:a16="http://schemas.microsoft.com/office/drawing/2014/main" id="{00000000-0008-0000-0D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3" name="Picture 1" descr="TDK CI Mark_blue_RGB_highres">
          <a:extLst>
            <a:ext uri="{FF2B5EF4-FFF2-40B4-BE49-F238E27FC236}">
              <a16:creationId xmlns:a16="http://schemas.microsoft.com/office/drawing/2014/main" id="{00000000-0008-0000-0D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4" name="Picture 1" descr="TDK CI Mark_blue_RGB_highres">
          <a:extLst>
            <a:ext uri="{FF2B5EF4-FFF2-40B4-BE49-F238E27FC236}">
              <a16:creationId xmlns:a16="http://schemas.microsoft.com/office/drawing/2014/main" id="{00000000-0008-0000-0D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5" name="Picture 1" descr="TDK CI Mark_blue_RGB_highres">
          <a:extLst>
            <a:ext uri="{FF2B5EF4-FFF2-40B4-BE49-F238E27FC236}">
              <a16:creationId xmlns:a16="http://schemas.microsoft.com/office/drawing/2014/main" id="{00000000-0008-0000-0D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6" name="Picture 1" descr="TDK CI Mark_blue_RGB_highres">
          <a:extLst>
            <a:ext uri="{FF2B5EF4-FFF2-40B4-BE49-F238E27FC236}">
              <a16:creationId xmlns:a16="http://schemas.microsoft.com/office/drawing/2014/main" id="{00000000-0008-0000-0D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7" name="Picture 1" descr="TDK CI Mark_blue_RGB_highres">
          <a:extLst>
            <a:ext uri="{FF2B5EF4-FFF2-40B4-BE49-F238E27FC236}">
              <a16:creationId xmlns:a16="http://schemas.microsoft.com/office/drawing/2014/main" id="{00000000-0008-0000-0D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8" name="Picture 1" descr="TDK CI Mark_blue_RGB_highres">
          <a:extLst>
            <a:ext uri="{FF2B5EF4-FFF2-40B4-BE49-F238E27FC236}">
              <a16:creationId xmlns:a16="http://schemas.microsoft.com/office/drawing/2014/main" id="{00000000-0008-0000-0D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9" name="Picture 1" descr="TDK CI Mark_blue_RGB_highres">
          <a:extLst>
            <a:ext uri="{FF2B5EF4-FFF2-40B4-BE49-F238E27FC236}">
              <a16:creationId xmlns:a16="http://schemas.microsoft.com/office/drawing/2014/main" id="{00000000-0008-0000-0D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0" name="Picture 1" descr="TDK CI Mark_blue_RGB_highres">
          <a:extLst>
            <a:ext uri="{FF2B5EF4-FFF2-40B4-BE49-F238E27FC236}">
              <a16:creationId xmlns:a16="http://schemas.microsoft.com/office/drawing/2014/main" id="{00000000-0008-0000-0D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1" name="Picture 1" descr="TDK CI Mark_blue_RGB_highres">
          <a:extLst>
            <a:ext uri="{FF2B5EF4-FFF2-40B4-BE49-F238E27FC236}">
              <a16:creationId xmlns:a16="http://schemas.microsoft.com/office/drawing/2014/main" id="{00000000-0008-0000-0D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72" name="Picture 1" descr="TDK CI Mark_blue_RGB_highres">
          <a:extLst>
            <a:ext uri="{FF2B5EF4-FFF2-40B4-BE49-F238E27FC236}">
              <a16:creationId xmlns:a16="http://schemas.microsoft.com/office/drawing/2014/main" id="{00000000-0008-0000-0D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3" name="Picture 53" descr="TDK CI Mark_blue_RGB_highres">
          <a:extLst>
            <a:ext uri="{FF2B5EF4-FFF2-40B4-BE49-F238E27FC236}">
              <a16:creationId xmlns:a16="http://schemas.microsoft.com/office/drawing/2014/main" id="{00000000-0008-0000-0D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4" name="Picture 1" descr="TDK CI Mark_blue_RGB_highres">
          <a:extLst>
            <a:ext uri="{FF2B5EF4-FFF2-40B4-BE49-F238E27FC236}">
              <a16:creationId xmlns:a16="http://schemas.microsoft.com/office/drawing/2014/main" id="{00000000-0008-0000-0D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5" name="Picture 1" descr="TDK CI Mark_blue_RGB_highres">
          <a:extLst>
            <a:ext uri="{FF2B5EF4-FFF2-40B4-BE49-F238E27FC236}">
              <a16:creationId xmlns:a16="http://schemas.microsoft.com/office/drawing/2014/main" id="{00000000-0008-0000-0D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6" name="Picture 1" descr="TDK CI Mark_blue_RGB_highres">
          <a:extLst>
            <a:ext uri="{FF2B5EF4-FFF2-40B4-BE49-F238E27FC236}">
              <a16:creationId xmlns:a16="http://schemas.microsoft.com/office/drawing/2014/main" id="{00000000-0008-0000-0D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7" name="Picture 1" descr="TDK CI Mark_blue_RGB_highres">
          <a:extLst>
            <a:ext uri="{FF2B5EF4-FFF2-40B4-BE49-F238E27FC236}">
              <a16:creationId xmlns:a16="http://schemas.microsoft.com/office/drawing/2014/main" id="{00000000-0008-0000-0D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8" name="Picture 1" descr="TDK CI Mark_blue_RGB_highres">
          <a:extLst>
            <a:ext uri="{FF2B5EF4-FFF2-40B4-BE49-F238E27FC236}">
              <a16:creationId xmlns:a16="http://schemas.microsoft.com/office/drawing/2014/main" id="{00000000-0008-0000-0D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9" name="Picture 1" descr="TDK CI Mark_blue_RGB_highres">
          <a:extLst>
            <a:ext uri="{FF2B5EF4-FFF2-40B4-BE49-F238E27FC236}">
              <a16:creationId xmlns:a16="http://schemas.microsoft.com/office/drawing/2014/main" id="{00000000-0008-0000-0D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0" name="Picture 1" descr="TDK CI Mark_blue_RGB_highres">
          <a:extLst>
            <a:ext uri="{FF2B5EF4-FFF2-40B4-BE49-F238E27FC236}">
              <a16:creationId xmlns:a16="http://schemas.microsoft.com/office/drawing/2014/main" id="{00000000-0008-0000-0D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1" name="Picture 1" descr="TDK CI Mark_blue_RGB_highres">
          <a:extLst>
            <a:ext uri="{FF2B5EF4-FFF2-40B4-BE49-F238E27FC236}">
              <a16:creationId xmlns:a16="http://schemas.microsoft.com/office/drawing/2014/main" id="{00000000-0008-0000-0D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2" name="Picture 1" descr="TDK CI Mark_blue_RGB_highres">
          <a:extLst>
            <a:ext uri="{FF2B5EF4-FFF2-40B4-BE49-F238E27FC236}">
              <a16:creationId xmlns:a16="http://schemas.microsoft.com/office/drawing/2014/main" id="{00000000-0008-0000-0D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3" name="Picture 66" descr="TDK CI Mark_blue_RGB_highres">
          <a:extLst>
            <a:ext uri="{FF2B5EF4-FFF2-40B4-BE49-F238E27FC236}">
              <a16:creationId xmlns:a16="http://schemas.microsoft.com/office/drawing/2014/main" id="{00000000-0008-0000-0D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4" name="Picture 1" descr="TDK CI Mark_blue_RGB_highres">
          <a:extLst>
            <a:ext uri="{FF2B5EF4-FFF2-40B4-BE49-F238E27FC236}">
              <a16:creationId xmlns:a16="http://schemas.microsoft.com/office/drawing/2014/main" id="{00000000-0008-0000-0D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5" name="Picture 1" descr="TDK CI Mark_blue_RGB_highres">
          <a:extLst>
            <a:ext uri="{FF2B5EF4-FFF2-40B4-BE49-F238E27FC236}">
              <a16:creationId xmlns:a16="http://schemas.microsoft.com/office/drawing/2014/main" id="{00000000-0008-0000-0D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6" name="Picture 1" descr="TDK CI Mark_blue_RGB_highres">
          <a:extLst>
            <a:ext uri="{FF2B5EF4-FFF2-40B4-BE49-F238E27FC236}">
              <a16:creationId xmlns:a16="http://schemas.microsoft.com/office/drawing/2014/main" id="{00000000-0008-0000-0D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7" name="Picture 1" descr="TDK CI Mark_blue_RGB_highres">
          <a:extLst>
            <a:ext uri="{FF2B5EF4-FFF2-40B4-BE49-F238E27FC236}">
              <a16:creationId xmlns:a16="http://schemas.microsoft.com/office/drawing/2014/main" id="{00000000-0008-0000-0D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8" name="Picture 1" descr="TDK CI Mark_blue_RGB_highres">
          <a:extLst>
            <a:ext uri="{FF2B5EF4-FFF2-40B4-BE49-F238E27FC236}">
              <a16:creationId xmlns:a16="http://schemas.microsoft.com/office/drawing/2014/main" id="{00000000-0008-0000-0D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9" name="Picture 1" descr="TDK CI Mark_blue_RGB_highres">
          <a:extLst>
            <a:ext uri="{FF2B5EF4-FFF2-40B4-BE49-F238E27FC236}">
              <a16:creationId xmlns:a16="http://schemas.microsoft.com/office/drawing/2014/main" id="{00000000-0008-0000-0D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0" name="Picture 1" descr="TDK CI Mark_blue_RGB_highres">
          <a:extLst>
            <a:ext uri="{FF2B5EF4-FFF2-40B4-BE49-F238E27FC236}">
              <a16:creationId xmlns:a16="http://schemas.microsoft.com/office/drawing/2014/main" id="{00000000-0008-0000-0D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1" name="Picture 1" descr="TDK CI Mark_blue_RGB_highres">
          <a:extLst>
            <a:ext uri="{FF2B5EF4-FFF2-40B4-BE49-F238E27FC236}">
              <a16:creationId xmlns:a16="http://schemas.microsoft.com/office/drawing/2014/main" id="{00000000-0008-0000-0D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2" name="Picture 1" descr="TDK CI Mark_blue_RGB_highres">
          <a:extLst>
            <a:ext uri="{FF2B5EF4-FFF2-40B4-BE49-F238E27FC236}">
              <a16:creationId xmlns:a16="http://schemas.microsoft.com/office/drawing/2014/main" id="{00000000-0008-0000-0D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93" name="Picture 1" descr="TDK CI Mark_blue_RGB_highres">
          <a:extLst>
            <a:ext uri="{FF2B5EF4-FFF2-40B4-BE49-F238E27FC236}">
              <a16:creationId xmlns:a16="http://schemas.microsoft.com/office/drawing/2014/main" id="{00000000-0008-0000-0D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4" name="Picture 53" descr="TDK CI Mark_blue_RGB_highres">
          <a:extLst>
            <a:ext uri="{FF2B5EF4-FFF2-40B4-BE49-F238E27FC236}">
              <a16:creationId xmlns:a16="http://schemas.microsoft.com/office/drawing/2014/main" id="{00000000-0008-0000-0D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5" name="Picture 1" descr="TDK CI Mark_blue_RGB_highres">
          <a:extLst>
            <a:ext uri="{FF2B5EF4-FFF2-40B4-BE49-F238E27FC236}">
              <a16:creationId xmlns:a16="http://schemas.microsoft.com/office/drawing/2014/main" id="{00000000-0008-0000-0D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6" name="Picture 1" descr="TDK CI Mark_blue_RGB_highres">
          <a:extLst>
            <a:ext uri="{FF2B5EF4-FFF2-40B4-BE49-F238E27FC236}">
              <a16:creationId xmlns:a16="http://schemas.microsoft.com/office/drawing/2014/main" id="{00000000-0008-0000-0D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7" name="Picture 1" descr="TDK CI Mark_blue_RGB_highres">
          <a:extLst>
            <a:ext uri="{FF2B5EF4-FFF2-40B4-BE49-F238E27FC236}">
              <a16:creationId xmlns:a16="http://schemas.microsoft.com/office/drawing/2014/main" id="{00000000-0008-0000-0D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8" name="Picture 1" descr="TDK CI Mark_blue_RGB_highres">
          <a:extLst>
            <a:ext uri="{FF2B5EF4-FFF2-40B4-BE49-F238E27FC236}">
              <a16:creationId xmlns:a16="http://schemas.microsoft.com/office/drawing/2014/main" id="{00000000-0008-0000-0D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9" name="Picture 1" descr="TDK CI Mark_blue_RGB_highres">
          <a:extLst>
            <a:ext uri="{FF2B5EF4-FFF2-40B4-BE49-F238E27FC236}">
              <a16:creationId xmlns:a16="http://schemas.microsoft.com/office/drawing/2014/main" id="{00000000-0008-0000-0D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0" name="Picture 1" descr="TDK CI Mark_blue_RGB_highres">
          <a:extLst>
            <a:ext uri="{FF2B5EF4-FFF2-40B4-BE49-F238E27FC236}">
              <a16:creationId xmlns:a16="http://schemas.microsoft.com/office/drawing/2014/main" id="{00000000-0008-0000-0D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1" name="Picture 1" descr="TDK CI Mark_blue_RGB_highres">
          <a:extLst>
            <a:ext uri="{FF2B5EF4-FFF2-40B4-BE49-F238E27FC236}">
              <a16:creationId xmlns:a16="http://schemas.microsoft.com/office/drawing/2014/main" id="{00000000-0008-0000-0D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2" name="Picture 1" descr="TDK CI Mark_blue_RGB_highres">
          <a:extLst>
            <a:ext uri="{FF2B5EF4-FFF2-40B4-BE49-F238E27FC236}">
              <a16:creationId xmlns:a16="http://schemas.microsoft.com/office/drawing/2014/main" id="{00000000-0008-0000-0D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3" name="Picture 1" descr="TDK CI Mark_blue_RGB_highres">
          <a:extLst>
            <a:ext uri="{FF2B5EF4-FFF2-40B4-BE49-F238E27FC236}">
              <a16:creationId xmlns:a16="http://schemas.microsoft.com/office/drawing/2014/main" id="{00000000-0008-0000-0D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04" name="Picture 1" descr="TDK CI Mark_blue_RGB_highres">
          <a:extLst>
            <a:ext uri="{FF2B5EF4-FFF2-40B4-BE49-F238E27FC236}">
              <a16:creationId xmlns:a16="http://schemas.microsoft.com/office/drawing/2014/main" id="{00000000-0008-0000-0D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5" name="Picture 66" descr="TDK CI Mark_blue_RGB_highres">
          <a:extLst>
            <a:ext uri="{FF2B5EF4-FFF2-40B4-BE49-F238E27FC236}">
              <a16:creationId xmlns:a16="http://schemas.microsoft.com/office/drawing/2014/main" id="{00000000-0008-0000-0D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6" name="Picture 1" descr="TDK CI Mark_blue_RGB_highres">
          <a:extLst>
            <a:ext uri="{FF2B5EF4-FFF2-40B4-BE49-F238E27FC236}">
              <a16:creationId xmlns:a16="http://schemas.microsoft.com/office/drawing/2014/main" id="{00000000-0008-0000-0D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7" name="Picture 1" descr="TDK CI Mark_blue_RGB_highres">
          <a:extLst>
            <a:ext uri="{FF2B5EF4-FFF2-40B4-BE49-F238E27FC236}">
              <a16:creationId xmlns:a16="http://schemas.microsoft.com/office/drawing/2014/main" id="{00000000-0008-0000-0D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8" name="Picture 1" descr="TDK CI Mark_blue_RGB_highres">
          <a:extLst>
            <a:ext uri="{FF2B5EF4-FFF2-40B4-BE49-F238E27FC236}">
              <a16:creationId xmlns:a16="http://schemas.microsoft.com/office/drawing/2014/main" id="{00000000-0008-0000-0D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9" name="Picture 1" descr="TDK CI Mark_blue_RGB_highres">
          <a:extLst>
            <a:ext uri="{FF2B5EF4-FFF2-40B4-BE49-F238E27FC236}">
              <a16:creationId xmlns:a16="http://schemas.microsoft.com/office/drawing/2014/main" id="{00000000-0008-0000-0D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0" name="Picture 1" descr="TDK CI Mark_blue_RGB_highres">
          <a:extLst>
            <a:ext uri="{FF2B5EF4-FFF2-40B4-BE49-F238E27FC236}">
              <a16:creationId xmlns:a16="http://schemas.microsoft.com/office/drawing/2014/main" id="{00000000-0008-0000-0D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1" name="Picture 1" descr="TDK CI Mark_blue_RGB_highres">
          <a:extLst>
            <a:ext uri="{FF2B5EF4-FFF2-40B4-BE49-F238E27FC236}">
              <a16:creationId xmlns:a16="http://schemas.microsoft.com/office/drawing/2014/main" id="{00000000-0008-0000-0D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2" name="Picture 1" descr="TDK CI Mark_blue_RGB_highres">
          <a:extLst>
            <a:ext uri="{FF2B5EF4-FFF2-40B4-BE49-F238E27FC236}">
              <a16:creationId xmlns:a16="http://schemas.microsoft.com/office/drawing/2014/main" id="{00000000-0008-0000-0D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3" name="Picture 1" descr="TDK CI Mark_blue_RGB_highres">
          <a:extLst>
            <a:ext uri="{FF2B5EF4-FFF2-40B4-BE49-F238E27FC236}">
              <a16:creationId xmlns:a16="http://schemas.microsoft.com/office/drawing/2014/main" id="{00000000-0008-0000-0D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4" name="Picture 1" descr="TDK CI Mark_blue_RGB_highres">
          <a:extLst>
            <a:ext uri="{FF2B5EF4-FFF2-40B4-BE49-F238E27FC236}">
              <a16:creationId xmlns:a16="http://schemas.microsoft.com/office/drawing/2014/main" id="{00000000-0008-0000-0D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15" name="Picture 1" descr="TDK CI Mark_blue_RGB_highres">
          <a:extLst>
            <a:ext uri="{FF2B5EF4-FFF2-40B4-BE49-F238E27FC236}">
              <a16:creationId xmlns:a16="http://schemas.microsoft.com/office/drawing/2014/main" id="{00000000-0008-0000-0D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7" name="Picture 53" descr="TDK CI Mark_blue_RGB_highres">
          <a:extLst>
            <a:ext uri="{FF2B5EF4-FFF2-40B4-BE49-F238E27FC236}">
              <a16:creationId xmlns:a16="http://schemas.microsoft.com/office/drawing/2014/main" id="{00000000-0008-0000-0D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8" name="Picture 1" descr="TDK CI Mark_blue_RGB_highres">
          <a:extLst>
            <a:ext uri="{FF2B5EF4-FFF2-40B4-BE49-F238E27FC236}">
              <a16:creationId xmlns:a16="http://schemas.microsoft.com/office/drawing/2014/main" id="{00000000-0008-0000-0D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9" name="Picture 1" descr="TDK CI Mark_blue_RGB_highres">
          <a:extLst>
            <a:ext uri="{FF2B5EF4-FFF2-40B4-BE49-F238E27FC236}">
              <a16:creationId xmlns:a16="http://schemas.microsoft.com/office/drawing/2014/main" id="{00000000-0008-0000-0D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0" name="Picture 1" descr="TDK CI Mark_blue_RGB_highres">
          <a:extLst>
            <a:ext uri="{FF2B5EF4-FFF2-40B4-BE49-F238E27FC236}">
              <a16:creationId xmlns:a16="http://schemas.microsoft.com/office/drawing/2014/main" id="{00000000-0008-0000-0D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1" name="Picture 1" descr="TDK CI Mark_blue_RGB_highres">
          <a:extLst>
            <a:ext uri="{FF2B5EF4-FFF2-40B4-BE49-F238E27FC236}">
              <a16:creationId xmlns:a16="http://schemas.microsoft.com/office/drawing/2014/main" id="{00000000-0008-0000-0D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2" name="Picture 1" descr="TDK CI Mark_blue_RGB_highres">
          <a:extLst>
            <a:ext uri="{FF2B5EF4-FFF2-40B4-BE49-F238E27FC236}">
              <a16:creationId xmlns:a16="http://schemas.microsoft.com/office/drawing/2014/main" id="{00000000-0008-0000-0D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3" name="Picture 1" descr="TDK CI Mark_blue_RGB_highres">
          <a:extLst>
            <a:ext uri="{FF2B5EF4-FFF2-40B4-BE49-F238E27FC236}">
              <a16:creationId xmlns:a16="http://schemas.microsoft.com/office/drawing/2014/main" id="{00000000-0008-0000-0D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4" name="Picture 1" descr="TDK CI Mark_blue_RGB_highres">
          <a:extLst>
            <a:ext uri="{FF2B5EF4-FFF2-40B4-BE49-F238E27FC236}">
              <a16:creationId xmlns:a16="http://schemas.microsoft.com/office/drawing/2014/main" id="{00000000-0008-0000-0D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5" name="Picture 1" descr="TDK CI Mark_blue_RGB_highres">
          <a:extLst>
            <a:ext uri="{FF2B5EF4-FFF2-40B4-BE49-F238E27FC236}">
              <a16:creationId xmlns:a16="http://schemas.microsoft.com/office/drawing/2014/main" id="{00000000-0008-0000-0D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6" name="Picture 1" descr="TDK CI Mark_blue_RGB_highres">
          <a:extLst>
            <a:ext uri="{FF2B5EF4-FFF2-40B4-BE49-F238E27FC236}">
              <a16:creationId xmlns:a16="http://schemas.microsoft.com/office/drawing/2014/main" id="{00000000-0008-0000-0D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7" name="Picture 66" descr="TDK CI Mark_blue_RGB_highres">
          <a:extLst>
            <a:ext uri="{FF2B5EF4-FFF2-40B4-BE49-F238E27FC236}">
              <a16:creationId xmlns:a16="http://schemas.microsoft.com/office/drawing/2014/main" id="{00000000-0008-0000-0D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8" name="Picture 1" descr="TDK CI Mark_blue_RGB_highres">
          <a:extLst>
            <a:ext uri="{FF2B5EF4-FFF2-40B4-BE49-F238E27FC236}">
              <a16:creationId xmlns:a16="http://schemas.microsoft.com/office/drawing/2014/main" id="{00000000-0008-0000-0D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9" name="Picture 1" descr="TDK CI Mark_blue_RGB_highres">
          <a:extLst>
            <a:ext uri="{FF2B5EF4-FFF2-40B4-BE49-F238E27FC236}">
              <a16:creationId xmlns:a16="http://schemas.microsoft.com/office/drawing/2014/main" id="{00000000-0008-0000-0D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0" name="Picture 1" descr="TDK CI Mark_blue_RGB_highres">
          <a:extLst>
            <a:ext uri="{FF2B5EF4-FFF2-40B4-BE49-F238E27FC236}">
              <a16:creationId xmlns:a16="http://schemas.microsoft.com/office/drawing/2014/main" id="{00000000-0008-0000-0D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1" name="Picture 1" descr="TDK CI Mark_blue_RGB_highres">
          <a:extLst>
            <a:ext uri="{FF2B5EF4-FFF2-40B4-BE49-F238E27FC236}">
              <a16:creationId xmlns:a16="http://schemas.microsoft.com/office/drawing/2014/main" id="{00000000-0008-0000-0D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2" name="Picture 1" descr="TDK CI Mark_blue_RGB_highres">
          <a:extLst>
            <a:ext uri="{FF2B5EF4-FFF2-40B4-BE49-F238E27FC236}">
              <a16:creationId xmlns:a16="http://schemas.microsoft.com/office/drawing/2014/main" id="{00000000-0008-0000-0D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3" name="Picture 1" descr="TDK CI Mark_blue_RGB_highres">
          <a:extLst>
            <a:ext uri="{FF2B5EF4-FFF2-40B4-BE49-F238E27FC236}">
              <a16:creationId xmlns:a16="http://schemas.microsoft.com/office/drawing/2014/main" id="{00000000-0008-0000-0D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4" name="Picture 1" descr="TDK CI Mark_blue_RGB_highres">
          <a:extLst>
            <a:ext uri="{FF2B5EF4-FFF2-40B4-BE49-F238E27FC236}">
              <a16:creationId xmlns:a16="http://schemas.microsoft.com/office/drawing/2014/main" id="{00000000-0008-0000-0D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5" name="Picture 1" descr="TDK CI Mark_blue_RGB_highres">
          <a:extLst>
            <a:ext uri="{FF2B5EF4-FFF2-40B4-BE49-F238E27FC236}">
              <a16:creationId xmlns:a16="http://schemas.microsoft.com/office/drawing/2014/main" id="{00000000-0008-0000-0D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6" name="Picture 1" descr="TDK CI Mark_blue_RGB_highres">
          <a:extLst>
            <a:ext uri="{FF2B5EF4-FFF2-40B4-BE49-F238E27FC236}">
              <a16:creationId xmlns:a16="http://schemas.microsoft.com/office/drawing/2014/main" id="{00000000-0008-0000-0D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37" name="Picture 1" descr="TDK CI Mark_blue_RGB_highres">
          <a:extLst>
            <a:ext uri="{FF2B5EF4-FFF2-40B4-BE49-F238E27FC236}">
              <a16:creationId xmlns:a16="http://schemas.microsoft.com/office/drawing/2014/main" id="{00000000-0008-0000-0D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8" name="Picture 53" descr="TDK CI Mark_blue_RGB_highres">
          <a:extLst>
            <a:ext uri="{FF2B5EF4-FFF2-40B4-BE49-F238E27FC236}">
              <a16:creationId xmlns:a16="http://schemas.microsoft.com/office/drawing/2014/main" id="{00000000-0008-0000-0D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9" name="Picture 1" descr="TDK CI Mark_blue_RGB_highres">
          <a:extLst>
            <a:ext uri="{FF2B5EF4-FFF2-40B4-BE49-F238E27FC236}">
              <a16:creationId xmlns:a16="http://schemas.microsoft.com/office/drawing/2014/main" id="{00000000-0008-0000-0D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0" name="Picture 1" descr="TDK CI Mark_blue_RGB_highres">
          <a:extLst>
            <a:ext uri="{FF2B5EF4-FFF2-40B4-BE49-F238E27FC236}">
              <a16:creationId xmlns:a16="http://schemas.microsoft.com/office/drawing/2014/main" id="{00000000-0008-0000-0D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1" name="Picture 1" descr="TDK CI Mark_blue_RGB_highres">
          <a:extLst>
            <a:ext uri="{FF2B5EF4-FFF2-40B4-BE49-F238E27FC236}">
              <a16:creationId xmlns:a16="http://schemas.microsoft.com/office/drawing/2014/main" id="{00000000-0008-0000-0D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2" name="Picture 1" descr="TDK CI Mark_blue_RGB_highres">
          <a:extLst>
            <a:ext uri="{FF2B5EF4-FFF2-40B4-BE49-F238E27FC236}">
              <a16:creationId xmlns:a16="http://schemas.microsoft.com/office/drawing/2014/main" id="{00000000-0008-0000-0D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3" name="Picture 1" descr="TDK CI Mark_blue_RGB_highres">
          <a:extLst>
            <a:ext uri="{FF2B5EF4-FFF2-40B4-BE49-F238E27FC236}">
              <a16:creationId xmlns:a16="http://schemas.microsoft.com/office/drawing/2014/main" id="{00000000-0008-0000-0D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4" name="Picture 1" descr="TDK CI Mark_blue_RGB_highres">
          <a:extLst>
            <a:ext uri="{FF2B5EF4-FFF2-40B4-BE49-F238E27FC236}">
              <a16:creationId xmlns:a16="http://schemas.microsoft.com/office/drawing/2014/main" id="{00000000-0008-0000-0D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5" name="Picture 1" descr="TDK CI Mark_blue_RGB_highres">
          <a:extLst>
            <a:ext uri="{FF2B5EF4-FFF2-40B4-BE49-F238E27FC236}">
              <a16:creationId xmlns:a16="http://schemas.microsoft.com/office/drawing/2014/main" id="{00000000-0008-0000-0D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6" name="Picture 1" descr="TDK CI Mark_blue_RGB_highres">
          <a:extLst>
            <a:ext uri="{FF2B5EF4-FFF2-40B4-BE49-F238E27FC236}">
              <a16:creationId xmlns:a16="http://schemas.microsoft.com/office/drawing/2014/main" id="{00000000-0008-0000-0D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7" name="Picture 1" descr="TDK CI Mark_blue_RGB_highres">
          <a:extLst>
            <a:ext uri="{FF2B5EF4-FFF2-40B4-BE49-F238E27FC236}">
              <a16:creationId xmlns:a16="http://schemas.microsoft.com/office/drawing/2014/main" id="{00000000-0008-0000-0D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48" name="Picture 1" descr="TDK CI Mark_blue_RGB_highres">
          <a:extLst>
            <a:ext uri="{FF2B5EF4-FFF2-40B4-BE49-F238E27FC236}">
              <a16:creationId xmlns:a16="http://schemas.microsoft.com/office/drawing/2014/main" id="{00000000-0008-0000-0D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9" name="Picture 66" descr="TDK CI Mark_blue_RGB_highres">
          <a:extLst>
            <a:ext uri="{FF2B5EF4-FFF2-40B4-BE49-F238E27FC236}">
              <a16:creationId xmlns:a16="http://schemas.microsoft.com/office/drawing/2014/main" id="{00000000-0008-0000-0D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0" name="Picture 1" descr="TDK CI Mark_blue_RGB_highres">
          <a:extLst>
            <a:ext uri="{FF2B5EF4-FFF2-40B4-BE49-F238E27FC236}">
              <a16:creationId xmlns:a16="http://schemas.microsoft.com/office/drawing/2014/main" id="{00000000-0008-0000-0D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1" name="Picture 1" descr="TDK CI Mark_blue_RGB_highres">
          <a:extLst>
            <a:ext uri="{FF2B5EF4-FFF2-40B4-BE49-F238E27FC236}">
              <a16:creationId xmlns:a16="http://schemas.microsoft.com/office/drawing/2014/main" id="{00000000-0008-0000-0D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2" name="Picture 1" descr="TDK CI Mark_blue_RGB_highres">
          <a:extLst>
            <a:ext uri="{FF2B5EF4-FFF2-40B4-BE49-F238E27FC236}">
              <a16:creationId xmlns:a16="http://schemas.microsoft.com/office/drawing/2014/main" id="{00000000-0008-0000-0D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3" name="Picture 1" descr="TDK CI Mark_blue_RGB_highres">
          <a:extLst>
            <a:ext uri="{FF2B5EF4-FFF2-40B4-BE49-F238E27FC236}">
              <a16:creationId xmlns:a16="http://schemas.microsoft.com/office/drawing/2014/main" id="{00000000-0008-0000-0D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4" name="Picture 1" descr="TDK CI Mark_blue_RGB_highres">
          <a:extLst>
            <a:ext uri="{FF2B5EF4-FFF2-40B4-BE49-F238E27FC236}">
              <a16:creationId xmlns:a16="http://schemas.microsoft.com/office/drawing/2014/main" id="{00000000-0008-0000-0D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5" name="Picture 1" descr="TDK CI Mark_blue_RGB_highres">
          <a:extLst>
            <a:ext uri="{FF2B5EF4-FFF2-40B4-BE49-F238E27FC236}">
              <a16:creationId xmlns:a16="http://schemas.microsoft.com/office/drawing/2014/main" id="{00000000-0008-0000-0D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6" name="Picture 1" descr="TDK CI Mark_blue_RGB_highres">
          <a:extLst>
            <a:ext uri="{FF2B5EF4-FFF2-40B4-BE49-F238E27FC236}">
              <a16:creationId xmlns:a16="http://schemas.microsoft.com/office/drawing/2014/main" id="{00000000-0008-0000-0D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7" name="Picture 1" descr="TDK CI Mark_blue_RGB_highres">
          <a:extLst>
            <a:ext uri="{FF2B5EF4-FFF2-40B4-BE49-F238E27FC236}">
              <a16:creationId xmlns:a16="http://schemas.microsoft.com/office/drawing/2014/main" id="{00000000-0008-0000-0D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8" name="Picture 1" descr="TDK CI Mark_blue_RGB_highres">
          <a:extLst>
            <a:ext uri="{FF2B5EF4-FFF2-40B4-BE49-F238E27FC236}">
              <a16:creationId xmlns:a16="http://schemas.microsoft.com/office/drawing/2014/main" id="{00000000-0008-0000-0D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59" name="Picture 1" descr="TDK CI Mark_blue_RGB_highres">
          <a:extLst>
            <a:ext uri="{FF2B5EF4-FFF2-40B4-BE49-F238E27FC236}">
              <a16:creationId xmlns:a16="http://schemas.microsoft.com/office/drawing/2014/main" id="{00000000-0008-0000-0D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0" name="Picture 53" descr="TDK CI Mark_blue_RGB_highres">
          <a:extLst>
            <a:ext uri="{FF2B5EF4-FFF2-40B4-BE49-F238E27FC236}">
              <a16:creationId xmlns:a16="http://schemas.microsoft.com/office/drawing/2014/main" id="{00000000-0008-0000-0D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1" name="Picture 1" descr="TDK CI Mark_blue_RGB_highres">
          <a:extLst>
            <a:ext uri="{FF2B5EF4-FFF2-40B4-BE49-F238E27FC236}">
              <a16:creationId xmlns:a16="http://schemas.microsoft.com/office/drawing/2014/main" id="{00000000-0008-0000-0D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2" name="Picture 1" descr="TDK CI Mark_blue_RGB_highres">
          <a:extLst>
            <a:ext uri="{FF2B5EF4-FFF2-40B4-BE49-F238E27FC236}">
              <a16:creationId xmlns:a16="http://schemas.microsoft.com/office/drawing/2014/main" id="{00000000-0008-0000-0D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3" name="Picture 1" descr="TDK CI Mark_blue_RGB_highres">
          <a:extLst>
            <a:ext uri="{FF2B5EF4-FFF2-40B4-BE49-F238E27FC236}">
              <a16:creationId xmlns:a16="http://schemas.microsoft.com/office/drawing/2014/main" id="{00000000-0008-0000-0D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4" name="Picture 1" descr="TDK CI Mark_blue_RGB_highres">
          <a:extLst>
            <a:ext uri="{FF2B5EF4-FFF2-40B4-BE49-F238E27FC236}">
              <a16:creationId xmlns:a16="http://schemas.microsoft.com/office/drawing/2014/main" id="{00000000-0008-0000-0D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5" name="Picture 1" descr="TDK CI Mark_blue_RGB_highres">
          <a:extLst>
            <a:ext uri="{FF2B5EF4-FFF2-40B4-BE49-F238E27FC236}">
              <a16:creationId xmlns:a16="http://schemas.microsoft.com/office/drawing/2014/main" id="{00000000-0008-0000-0D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6" name="Picture 1" descr="TDK CI Mark_blue_RGB_highres">
          <a:extLst>
            <a:ext uri="{FF2B5EF4-FFF2-40B4-BE49-F238E27FC236}">
              <a16:creationId xmlns:a16="http://schemas.microsoft.com/office/drawing/2014/main" id="{00000000-0008-0000-0D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7" name="Picture 1" descr="TDK CI Mark_blue_RGB_highres">
          <a:extLst>
            <a:ext uri="{FF2B5EF4-FFF2-40B4-BE49-F238E27FC236}">
              <a16:creationId xmlns:a16="http://schemas.microsoft.com/office/drawing/2014/main" id="{00000000-0008-0000-0D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8" name="Picture 1" descr="TDK CI Mark_blue_RGB_highres">
          <a:extLst>
            <a:ext uri="{FF2B5EF4-FFF2-40B4-BE49-F238E27FC236}">
              <a16:creationId xmlns:a16="http://schemas.microsoft.com/office/drawing/2014/main" id="{00000000-0008-0000-0D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9" name="Picture 1" descr="TDK CI Mark_blue_RGB_highres">
          <a:extLst>
            <a:ext uri="{FF2B5EF4-FFF2-40B4-BE49-F238E27FC236}">
              <a16:creationId xmlns:a16="http://schemas.microsoft.com/office/drawing/2014/main" id="{00000000-0008-0000-0D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0" name="Picture 66" descr="TDK CI Mark_blue_RGB_highres">
          <a:extLst>
            <a:ext uri="{FF2B5EF4-FFF2-40B4-BE49-F238E27FC236}">
              <a16:creationId xmlns:a16="http://schemas.microsoft.com/office/drawing/2014/main" id="{00000000-0008-0000-0D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1" name="Picture 1" descr="TDK CI Mark_blue_RGB_highres">
          <a:extLst>
            <a:ext uri="{FF2B5EF4-FFF2-40B4-BE49-F238E27FC236}">
              <a16:creationId xmlns:a16="http://schemas.microsoft.com/office/drawing/2014/main" id="{00000000-0008-0000-0D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2" name="Picture 1" descr="TDK CI Mark_blue_RGB_highres">
          <a:extLst>
            <a:ext uri="{FF2B5EF4-FFF2-40B4-BE49-F238E27FC236}">
              <a16:creationId xmlns:a16="http://schemas.microsoft.com/office/drawing/2014/main" id="{00000000-0008-0000-0D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3" name="Picture 1" descr="TDK CI Mark_blue_RGB_highres">
          <a:extLst>
            <a:ext uri="{FF2B5EF4-FFF2-40B4-BE49-F238E27FC236}">
              <a16:creationId xmlns:a16="http://schemas.microsoft.com/office/drawing/2014/main" id="{00000000-0008-0000-0D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4" name="Picture 1" descr="TDK CI Mark_blue_RGB_highres">
          <a:extLst>
            <a:ext uri="{FF2B5EF4-FFF2-40B4-BE49-F238E27FC236}">
              <a16:creationId xmlns:a16="http://schemas.microsoft.com/office/drawing/2014/main" id="{00000000-0008-0000-0D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5" name="Picture 1" descr="TDK CI Mark_blue_RGB_highres">
          <a:extLst>
            <a:ext uri="{FF2B5EF4-FFF2-40B4-BE49-F238E27FC236}">
              <a16:creationId xmlns:a16="http://schemas.microsoft.com/office/drawing/2014/main" id="{00000000-0008-0000-0D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6" name="Picture 1" descr="TDK CI Mark_blue_RGB_highres">
          <a:extLst>
            <a:ext uri="{FF2B5EF4-FFF2-40B4-BE49-F238E27FC236}">
              <a16:creationId xmlns:a16="http://schemas.microsoft.com/office/drawing/2014/main" id="{00000000-0008-0000-0D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7" name="Picture 1" descr="TDK CI Mark_blue_RGB_highres">
          <a:extLst>
            <a:ext uri="{FF2B5EF4-FFF2-40B4-BE49-F238E27FC236}">
              <a16:creationId xmlns:a16="http://schemas.microsoft.com/office/drawing/2014/main" id="{00000000-0008-0000-0D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8" name="Picture 1" descr="TDK CI Mark_blue_RGB_highres">
          <a:extLst>
            <a:ext uri="{FF2B5EF4-FFF2-40B4-BE49-F238E27FC236}">
              <a16:creationId xmlns:a16="http://schemas.microsoft.com/office/drawing/2014/main" id="{00000000-0008-0000-0D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9" name="Picture 1" descr="TDK CI Mark_blue_RGB_highres">
          <a:extLst>
            <a:ext uri="{FF2B5EF4-FFF2-40B4-BE49-F238E27FC236}">
              <a16:creationId xmlns:a16="http://schemas.microsoft.com/office/drawing/2014/main" id="{00000000-0008-0000-0D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80" name="Picture 1" descr="TDK CI Mark_blue_RGB_highres">
          <a:extLst>
            <a:ext uri="{FF2B5EF4-FFF2-40B4-BE49-F238E27FC236}">
              <a16:creationId xmlns:a16="http://schemas.microsoft.com/office/drawing/2014/main" id="{00000000-0008-0000-0D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1" name="Picture 53" descr="TDK CI Mark_blue_RGB_highres">
          <a:extLst>
            <a:ext uri="{FF2B5EF4-FFF2-40B4-BE49-F238E27FC236}">
              <a16:creationId xmlns:a16="http://schemas.microsoft.com/office/drawing/2014/main" id="{00000000-0008-0000-0D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2" name="Picture 1" descr="TDK CI Mark_blue_RGB_highres">
          <a:extLst>
            <a:ext uri="{FF2B5EF4-FFF2-40B4-BE49-F238E27FC236}">
              <a16:creationId xmlns:a16="http://schemas.microsoft.com/office/drawing/2014/main" id="{00000000-0008-0000-0D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3" name="Picture 1" descr="TDK CI Mark_blue_RGB_highres">
          <a:extLst>
            <a:ext uri="{FF2B5EF4-FFF2-40B4-BE49-F238E27FC236}">
              <a16:creationId xmlns:a16="http://schemas.microsoft.com/office/drawing/2014/main" id="{00000000-0008-0000-0D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4" name="Picture 1" descr="TDK CI Mark_blue_RGB_highres">
          <a:extLst>
            <a:ext uri="{FF2B5EF4-FFF2-40B4-BE49-F238E27FC236}">
              <a16:creationId xmlns:a16="http://schemas.microsoft.com/office/drawing/2014/main" id="{00000000-0008-0000-0D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5" name="Picture 1" descr="TDK CI Mark_blue_RGB_highres">
          <a:extLst>
            <a:ext uri="{FF2B5EF4-FFF2-40B4-BE49-F238E27FC236}">
              <a16:creationId xmlns:a16="http://schemas.microsoft.com/office/drawing/2014/main" id="{00000000-0008-0000-0D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6" name="Picture 1" descr="TDK CI Mark_blue_RGB_highres">
          <a:extLst>
            <a:ext uri="{FF2B5EF4-FFF2-40B4-BE49-F238E27FC236}">
              <a16:creationId xmlns:a16="http://schemas.microsoft.com/office/drawing/2014/main" id="{00000000-0008-0000-0D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7" name="Picture 1" descr="TDK CI Mark_blue_RGB_highres">
          <a:extLst>
            <a:ext uri="{FF2B5EF4-FFF2-40B4-BE49-F238E27FC236}">
              <a16:creationId xmlns:a16="http://schemas.microsoft.com/office/drawing/2014/main" id="{00000000-0008-0000-0D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8" name="Picture 1" descr="TDK CI Mark_blue_RGB_highres">
          <a:extLst>
            <a:ext uri="{FF2B5EF4-FFF2-40B4-BE49-F238E27FC236}">
              <a16:creationId xmlns:a16="http://schemas.microsoft.com/office/drawing/2014/main" id="{00000000-0008-0000-0D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9" name="Picture 1" descr="TDK CI Mark_blue_RGB_highres">
          <a:extLst>
            <a:ext uri="{FF2B5EF4-FFF2-40B4-BE49-F238E27FC236}">
              <a16:creationId xmlns:a16="http://schemas.microsoft.com/office/drawing/2014/main" id="{00000000-0008-0000-0D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0" name="Picture 1" descr="TDK CI Mark_blue_RGB_highres">
          <a:extLst>
            <a:ext uri="{FF2B5EF4-FFF2-40B4-BE49-F238E27FC236}">
              <a16:creationId xmlns:a16="http://schemas.microsoft.com/office/drawing/2014/main" id="{00000000-0008-0000-0D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91" name="Picture 1" descr="TDK CI Mark_blue_RGB_highres">
          <a:extLst>
            <a:ext uri="{FF2B5EF4-FFF2-40B4-BE49-F238E27FC236}">
              <a16:creationId xmlns:a16="http://schemas.microsoft.com/office/drawing/2014/main" id="{00000000-0008-0000-0D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2" name="Picture 66" descr="TDK CI Mark_blue_RGB_highres">
          <a:extLst>
            <a:ext uri="{FF2B5EF4-FFF2-40B4-BE49-F238E27FC236}">
              <a16:creationId xmlns:a16="http://schemas.microsoft.com/office/drawing/2014/main" id="{00000000-0008-0000-0D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3" name="Picture 1" descr="TDK CI Mark_blue_RGB_highres">
          <a:extLst>
            <a:ext uri="{FF2B5EF4-FFF2-40B4-BE49-F238E27FC236}">
              <a16:creationId xmlns:a16="http://schemas.microsoft.com/office/drawing/2014/main" id="{00000000-0008-0000-0D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4" name="Picture 1" descr="TDK CI Mark_blue_RGB_highres">
          <a:extLst>
            <a:ext uri="{FF2B5EF4-FFF2-40B4-BE49-F238E27FC236}">
              <a16:creationId xmlns:a16="http://schemas.microsoft.com/office/drawing/2014/main" id="{00000000-0008-0000-0D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5" name="Picture 1" descr="TDK CI Mark_blue_RGB_highres">
          <a:extLst>
            <a:ext uri="{FF2B5EF4-FFF2-40B4-BE49-F238E27FC236}">
              <a16:creationId xmlns:a16="http://schemas.microsoft.com/office/drawing/2014/main" id="{00000000-0008-0000-0D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6" name="Picture 1" descr="TDK CI Mark_blue_RGB_highres">
          <a:extLst>
            <a:ext uri="{FF2B5EF4-FFF2-40B4-BE49-F238E27FC236}">
              <a16:creationId xmlns:a16="http://schemas.microsoft.com/office/drawing/2014/main" id="{00000000-0008-0000-0D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7" name="Picture 1" descr="TDK CI Mark_blue_RGB_highres">
          <a:extLst>
            <a:ext uri="{FF2B5EF4-FFF2-40B4-BE49-F238E27FC236}">
              <a16:creationId xmlns:a16="http://schemas.microsoft.com/office/drawing/2014/main" id="{00000000-0008-0000-0D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8" name="Picture 1" descr="TDK CI Mark_blue_RGB_highres">
          <a:extLst>
            <a:ext uri="{FF2B5EF4-FFF2-40B4-BE49-F238E27FC236}">
              <a16:creationId xmlns:a16="http://schemas.microsoft.com/office/drawing/2014/main" id="{00000000-0008-0000-0D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9" name="Picture 1" descr="TDK CI Mark_blue_RGB_highres">
          <a:extLst>
            <a:ext uri="{FF2B5EF4-FFF2-40B4-BE49-F238E27FC236}">
              <a16:creationId xmlns:a16="http://schemas.microsoft.com/office/drawing/2014/main" id="{00000000-0008-0000-0D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0" name="Picture 1" descr="TDK CI Mark_blue_RGB_highres">
          <a:extLst>
            <a:ext uri="{FF2B5EF4-FFF2-40B4-BE49-F238E27FC236}">
              <a16:creationId xmlns:a16="http://schemas.microsoft.com/office/drawing/2014/main" id="{00000000-0008-0000-0D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1" name="Picture 1" descr="TDK CI Mark_blue_RGB_highres">
          <a:extLst>
            <a:ext uri="{FF2B5EF4-FFF2-40B4-BE49-F238E27FC236}">
              <a16:creationId xmlns:a16="http://schemas.microsoft.com/office/drawing/2014/main" id="{00000000-0008-0000-0D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02" name="Picture 1" descr="TDK CI Mark_blue_RGB_highres">
          <a:extLst>
            <a:ext uri="{FF2B5EF4-FFF2-40B4-BE49-F238E27FC236}">
              <a16:creationId xmlns:a16="http://schemas.microsoft.com/office/drawing/2014/main" id="{00000000-0008-0000-0D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3" name="Picture 53" descr="TDK CI Mark_blue_RGB_highres">
          <a:extLst>
            <a:ext uri="{FF2B5EF4-FFF2-40B4-BE49-F238E27FC236}">
              <a16:creationId xmlns:a16="http://schemas.microsoft.com/office/drawing/2014/main" id="{00000000-0008-0000-0D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4" name="Picture 1" descr="TDK CI Mark_blue_RGB_highres">
          <a:extLst>
            <a:ext uri="{FF2B5EF4-FFF2-40B4-BE49-F238E27FC236}">
              <a16:creationId xmlns:a16="http://schemas.microsoft.com/office/drawing/2014/main" id="{00000000-0008-0000-0D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5" name="Picture 1" descr="TDK CI Mark_blue_RGB_highres">
          <a:extLst>
            <a:ext uri="{FF2B5EF4-FFF2-40B4-BE49-F238E27FC236}">
              <a16:creationId xmlns:a16="http://schemas.microsoft.com/office/drawing/2014/main" id="{00000000-0008-0000-0D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6" name="Picture 1" descr="TDK CI Mark_blue_RGB_highres">
          <a:extLst>
            <a:ext uri="{FF2B5EF4-FFF2-40B4-BE49-F238E27FC236}">
              <a16:creationId xmlns:a16="http://schemas.microsoft.com/office/drawing/2014/main" id="{00000000-0008-0000-0D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7" name="Picture 1" descr="TDK CI Mark_blue_RGB_highres">
          <a:extLst>
            <a:ext uri="{FF2B5EF4-FFF2-40B4-BE49-F238E27FC236}">
              <a16:creationId xmlns:a16="http://schemas.microsoft.com/office/drawing/2014/main" id="{00000000-0008-0000-0D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8" name="Picture 1" descr="TDK CI Mark_blue_RGB_highres">
          <a:extLst>
            <a:ext uri="{FF2B5EF4-FFF2-40B4-BE49-F238E27FC236}">
              <a16:creationId xmlns:a16="http://schemas.microsoft.com/office/drawing/2014/main" id="{00000000-0008-0000-0D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9" name="Picture 1" descr="TDK CI Mark_blue_RGB_highres">
          <a:extLst>
            <a:ext uri="{FF2B5EF4-FFF2-40B4-BE49-F238E27FC236}">
              <a16:creationId xmlns:a16="http://schemas.microsoft.com/office/drawing/2014/main" id="{00000000-0008-0000-0D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0" name="Picture 1" descr="TDK CI Mark_blue_RGB_highres">
          <a:extLst>
            <a:ext uri="{FF2B5EF4-FFF2-40B4-BE49-F238E27FC236}">
              <a16:creationId xmlns:a16="http://schemas.microsoft.com/office/drawing/2014/main" id="{00000000-0008-0000-0D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1" name="Picture 1" descr="TDK CI Mark_blue_RGB_highres">
          <a:extLst>
            <a:ext uri="{FF2B5EF4-FFF2-40B4-BE49-F238E27FC236}">
              <a16:creationId xmlns:a16="http://schemas.microsoft.com/office/drawing/2014/main" id="{00000000-0008-0000-0D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2" name="Picture 1" descr="TDK CI Mark_blue_RGB_highres">
          <a:extLst>
            <a:ext uri="{FF2B5EF4-FFF2-40B4-BE49-F238E27FC236}">
              <a16:creationId xmlns:a16="http://schemas.microsoft.com/office/drawing/2014/main" id="{00000000-0008-0000-0D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3" name="Picture 66" descr="TDK CI Mark_blue_RGB_highres">
          <a:extLst>
            <a:ext uri="{FF2B5EF4-FFF2-40B4-BE49-F238E27FC236}">
              <a16:creationId xmlns:a16="http://schemas.microsoft.com/office/drawing/2014/main" id="{00000000-0008-0000-0D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4" name="Picture 1" descr="TDK CI Mark_blue_RGB_highres">
          <a:extLst>
            <a:ext uri="{FF2B5EF4-FFF2-40B4-BE49-F238E27FC236}">
              <a16:creationId xmlns:a16="http://schemas.microsoft.com/office/drawing/2014/main" id="{00000000-0008-0000-0D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5" name="Picture 1" descr="TDK CI Mark_blue_RGB_highres">
          <a:extLst>
            <a:ext uri="{FF2B5EF4-FFF2-40B4-BE49-F238E27FC236}">
              <a16:creationId xmlns:a16="http://schemas.microsoft.com/office/drawing/2014/main" id="{00000000-0008-0000-0D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6" name="Picture 1" descr="TDK CI Mark_blue_RGB_highres">
          <a:extLst>
            <a:ext uri="{FF2B5EF4-FFF2-40B4-BE49-F238E27FC236}">
              <a16:creationId xmlns:a16="http://schemas.microsoft.com/office/drawing/2014/main" id="{00000000-0008-0000-0D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7" name="Picture 1" descr="TDK CI Mark_blue_RGB_highres">
          <a:extLst>
            <a:ext uri="{FF2B5EF4-FFF2-40B4-BE49-F238E27FC236}">
              <a16:creationId xmlns:a16="http://schemas.microsoft.com/office/drawing/2014/main" id="{00000000-0008-0000-0D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8" name="Picture 1" descr="TDK CI Mark_blue_RGB_highres">
          <a:extLst>
            <a:ext uri="{FF2B5EF4-FFF2-40B4-BE49-F238E27FC236}">
              <a16:creationId xmlns:a16="http://schemas.microsoft.com/office/drawing/2014/main" id="{00000000-0008-0000-0D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9" name="Picture 1" descr="TDK CI Mark_blue_RGB_highres">
          <a:extLst>
            <a:ext uri="{FF2B5EF4-FFF2-40B4-BE49-F238E27FC236}">
              <a16:creationId xmlns:a16="http://schemas.microsoft.com/office/drawing/2014/main" id="{00000000-0008-0000-0D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0" name="Picture 1" descr="TDK CI Mark_blue_RGB_highres">
          <a:extLst>
            <a:ext uri="{FF2B5EF4-FFF2-40B4-BE49-F238E27FC236}">
              <a16:creationId xmlns:a16="http://schemas.microsoft.com/office/drawing/2014/main" id="{00000000-0008-0000-0D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1" name="Picture 1" descr="TDK CI Mark_blue_RGB_highres">
          <a:extLst>
            <a:ext uri="{FF2B5EF4-FFF2-40B4-BE49-F238E27FC236}">
              <a16:creationId xmlns:a16="http://schemas.microsoft.com/office/drawing/2014/main" id="{00000000-0008-0000-0D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2" name="Picture 1" descr="TDK CI Mark_blue_RGB_highres">
          <a:extLst>
            <a:ext uri="{FF2B5EF4-FFF2-40B4-BE49-F238E27FC236}">
              <a16:creationId xmlns:a16="http://schemas.microsoft.com/office/drawing/2014/main" id="{00000000-0008-0000-0D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23" name="Picture 1" descr="TDK CI Mark_blue_RGB_highres">
          <a:extLst>
            <a:ext uri="{FF2B5EF4-FFF2-40B4-BE49-F238E27FC236}">
              <a16:creationId xmlns:a16="http://schemas.microsoft.com/office/drawing/2014/main" id="{00000000-0008-0000-0D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4" name="Picture 53" descr="TDK CI Mark_blue_RGB_highres">
          <a:extLst>
            <a:ext uri="{FF2B5EF4-FFF2-40B4-BE49-F238E27FC236}">
              <a16:creationId xmlns:a16="http://schemas.microsoft.com/office/drawing/2014/main" id="{00000000-0008-0000-0D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5" name="Picture 1" descr="TDK CI Mark_blue_RGB_highres">
          <a:extLst>
            <a:ext uri="{FF2B5EF4-FFF2-40B4-BE49-F238E27FC236}">
              <a16:creationId xmlns:a16="http://schemas.microsoft.com/office/drawing/2014/main" id="{00000000-0008-0000-0D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6" name="Picture 1" descr="TDK CI Mark_blue_RGB_highres">
          <a:extLst>
            <a:ext uri="{FF2B5EF4-FFF2-40B4-BE49-F238E27FC236}">
              <a16:creationId xmlns:a16="http://schemas.microsoft.com/office/drawing/2014/main" id="{00000000-0008-0000-0D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7" name="Picture 1" descr="TDK CI Mark_blue_RGB_highres">
          <a:extLst>
            <a:ext uri="{FF2B5EF4-FFF2-40B4-BE49-F238E27FC236}">
              <a16:creationId xmlns:a16="http://schemas.microsoft.com/office/drawing/2014/main" id="{00000000-0008-0000-0D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8" name="Picture 1" descr="TDK CI Mark_blue_RGB_highres">
          <a:extLst>
            <a:ext uri="{FF2B5EF4-FFF2-40B4-BE49-F238E27FC236}">
              <a16:creationId xmlns:a16="http://schemas.microsoft.com/office/drawing/2014/main" id="{00000000-0008-0000-0D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9" name="Picture 1" descr="TDK CI Mark_blue_RGB_highres">
          <a:extLst>
            <a:ext uri="{FF2B5EF4-FFF2-40B4-BE49-F238E27FC236}">
              <a16:creationId xmlns:a16="http://schemas.microsoft.com/office/drawing/2014/main" id="{00000000-0008-0000-0D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0" name="Picture 1" descr="TDK CI Mark_blue_RGB_highres">
          <a:extLst>
            <a:ext uri="{FF2B5EF4-FFF2-40B4-BE49-F238E27FC236}">
              <a16:creationId xmlns:a16="http://schemas.microsoft.com/office/drawing/2014/main" id="{00000000-0008-0000-0D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1" name="Picture 1" descr="TDK CI Mark_blue_RGB_highres">
          <a:extLst>
            <a:ext uri="{FF2B5EF4-FFF2-40B4-BE49-F238E27FC236}">
              <a16:creationId xmlns:a16="http://schemas.microsoft.com/office/drawing/2014/main" id="{00000000-0008-0000-0D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2" name="Picture 1" descr="TDK CI Mark_blue_RGB_highres">
          <a:extLst>
            <a:ext uri="{FF2B5EF4-FFF2-40B4-BE49-F238E27FC236}">
              <a16:creationId xmlns:a16="http://schemas.microsoft.com/office/drawing/2014/main" id="{00000000-0008-0000-0D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3" name="Picture 1" descr="TDK CI Mark_blue_RGB_highres">
          <a:extLst>
            <a:ext uri="{FF2B5EF4-FFF2-40B4-BE49-F238E27FC236}">
              <a16:creationId xmlns:a16="http://schemas.microsoft.com/office/drawing/2014/main" id="{00000000-0008-0000-0D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34" name="Picture 1" descr="TDK CI Mark_blue_RGB_highres">
          <a:extLst>
            <a:ext uri="{FF2B5EF4-FFF2-40B4-BE49-F238E27FC236}">
              <a16:creationId xmlns:a16="http://schemas.microsoft.com/office/drawing/2014/main" id="{00000000-0008-0000-0D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5" name="Picture 66" descr="TDK CI Mark_blue_RGB_highres">
          <a:extLst>
            <a:ext uri="{FF2B5EF4-FFF2-40B4-BE49-F238E27FC236}">
              <a16:creationId xmlns:a16="http://schemas.microsoft.com/office/drawing/2014/main" id="{00000000-0008-0000-0D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6" name="Picture 1" descr="TDK CI Mark_blue_RGB_highres">
          <a:extLst>
            <a:ext uri="{FF2B5EF4-FFF2-40B4-BE49-F238E27FC236}">
              <a16:creationId xmlns:a16="http://schemas.microsoft.com/office/drawing/2014/main" id="{00000000-0008-0000-0D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7" name="Picture 1" descr="TDK CI Mark_blue_RGB_highres">
          <a:extLst>
            <a:ext uri="{FF2B5EF4-FFF2-40B4-BE49-F238E27FC236}">
              <a16:creationId xmlns:a16="http://schemas.microsoft.com/office/drawing/2014/main" id="{00000000-0008-0000-0D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8" name="Picture 1" descr="TDK CI Mark_blue_RGB_highres">
          <a:extLst>
            <a:ext uri="{FF2B5EF4-FFF2-40B4-BE49-F238E27FC236}">
              <a16:creationId xmlns:a16="http://schemas.microsoft.com/office/drawing/2014/main" id="{00000000-0008-0000-0D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9" name="Picture 1" descr="TDK CI Mark_blue_RGB_highres">
          <a:extLst>
            <a:ext uri="{FF2B5EF4-FFF2-40B4-BE49-F238E27FC236}">
              <a16:creationId xmlns:a16="http://schemas.microsoft.com/office/drawing/2014/main" id="{00000000-0008-0000-0D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0" name="Picture 1" descr="TDK CI Mark_blue_RGB_highres">
          <a:extLst>
            <a:ext uri="{FF2B5EF4-FFF2-40B4-BE49-F238E27FC236}">
              <a16:creationId xmlns:a16="http://schemas.microsoft.com/office/drawing/2014/main" id="{00000000-0008-0000-0D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1" name="Picture 1" descr="TDK CI Mark_blue_RGB_highres">
          <a:extLst>
            <a:ext uri="{FF2B5EF4-FFF2-40B4-BE49-F238E27FC236}">
              <a16:creationId xmlns:a16="http://schemas.microsoft.com/office/drawing/2014/main" id="{00000000-0008-0000-0D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2" name="Picture 1" descr="TDK CI Mark_blue_RGB_highres">
          <a:extLst>
            <a:ext uri="{FF2B5EF4-FFF2-40B4-BE49-F238E27FC236}">
              <a16:creationId xmlns:a16="http://schemas.microsoft.com/office/drawing/2014/main" id="{00000000-0008-0000-0D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3" name="Picture 1" descr="TDK CI Mark_blue_RGB_highres">
          <a:extLst>
            <a:ext uri="{FF2B5EF4-FFF2-40B4-BE49-F238E27FC236}">
              <a16:creationId xmlns:a16="http://schemas.microsoft.com/office/drawing/2014/main" id="{00000000-0008-0000-0D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4" name="Picture 1" descr="TDK CI Mark_blue_RGB_highres">
          <a:extLst>
            <a:ext uri="{FF2B5EF4-FFF2-40B4-BE49-F238E27FC236}">
              <a16:creationId xmlns:a16="http://schemas.microsoft.com/office/drawing/2014/main" id="{00000000-0008-0000-0D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45" name="Picture 1" descr="TDK CI Mark_blue_RGB_highres">
          <a:extLst>
            <a:ext uri="{FF2B5EF4-FFF2-40B4-BE49-F238E27FC236}">
              <a16:creationId xmlns:a16="http://schemas.microsoft.com/office/drawing/2014/main" id="{00000000-0008-0000-0D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ba0003\17_Battery\MAINTENANCE\1.%20Maintenance%20Documents\7.%20DSC%20Maint\Maintenance%20DSC-%2027.07.2018%20WEEK%203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Sheet1"/>
      <sheetName val="Sheet4"/>
      <sheetName val="Performance Summary"/>
      <sheetName val="Chart1"/>
      <sheetName val="Input Sheet for DWOR"/>
      <sheetName val="Pending Breakdown"/>
      <sheetName val="Pending PM"/>
      <sheetName val="Queue"/>
      <sheetName val="Scheduler"/>
      <sheetName val="Technician"/>
      <sheetName val="Job Plan"/>
      <sheetName val="Config"/>
      <sheetName val="Manpower"/>
      <sheetName val="ManpowerUti"/>
      <sheetName val="MachineMaint"/>
      <sheetName val="FEMA Suggested Standard"/>
      <sheetName val="MTTR-MTBF"/>
      <sheetName val="Critical Parts List"/>
      <sheetName val="Staff Indirect Hours"/>
      <sheetName val="Machine Breakdown Monito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reak%20down%20history%202023-24%20PAP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617.569175231481" createdVersion="4" refreshedVersion="6" minRefreshableVersion="3" recordCount="387">
  <cacheSource type="worksheet">
    <worksheetSource ref="A2:P389" sheet="Downtime Details" r:id="rId2"/>
  </cacheSource>
  <cacheFields count="16">
    <cacheField name="Sr. No." numFmtId="0">
      <sharedItems containsString="0" containsBlank="1" containsNumber="1" containsInteger="1" minValue="1" maxValue="11"/>
    </cacheField>
    <cacheField name="Date" numFmtId="0">
      <sharedItems containsNonDate="0" containsDate="1" containsString="0" containsBlank="1" minDate="2023-07-20T00:00:00" maxDate="2023-07-28T00:00:00"/>
    </cacheField>
    <cacheField name="Week" numFmtId="0">
      <sharedItems containsBlank="1"/>
    </cacheField>
    <cacheField name="Month" numFmtId="0">
      <sharedItems containsBlank="1" count="8">
        <m/>
        <s v="Jul"/>
        <s v="Jan"/>
        <s v="May" u="1"/>
        <s v="Mar" u="1"/>
        <s v="Apr" u="1"/>
        <s v="Jun" u="1"/>
        <s v="Feb" u="1"/>
      </sharedItems>
    </cacheField>
    <cacheField name="Shift" numFmtId="0">
      <sharedItems containsBlank="1"/>
    </cacheField>
    <cacheField name="Line" numFmtId="0">
      <sharedItems containsBlank="1"/>
    </cacheField>
    <cacheField name="Line type " numFmtId="0">
      <sharedItems containsBlank="1"/>
    </cacheField>
    <cacheField name="BD code" numFmtId="0">
      <sharedItems containsBlank="1"/>
    </cacheField>
    <cacheField name="Machine Name" numFmtId="0">
      <sharedItems containsBlank="1"/>
    </cacheField>
    <cacheField name="Sub Assembly/station Part" numFmtId="0">
      <sharedItems containsBlank="1"/>
    </cacheField>
    <cacheField name="Start Time" numFmtId="0">
      <sharedItems containsNonDate="0" containsDate="1" containsString="0" containsBlank="1" minDate="1899-12-30T11:00:00" maxDate="1899-12-30T16:10:00"/>
    </cacheField>
    <cacheField name="Stop Time" numFmtId="0">
      <sharedItems containsNonDate="0" containsDate="1" containsString="0" containsBlank="1" minDate="1899-12-30T11:25:00" maxDate="1899-12-30T17:00:00"/>
    </cacheField>
    <cacheField name="Down Time (Min)" numFmtId="0">
      <sharedItems containsString="0" containsBlank="1" containsNumber="1" containsInteger="1" minValue="10" maxValue="180"/>
    </cacheField>
    <cacheField name="Down Time (Hrs.)" numFmtId="0">
      <sharedItems containsBlank="1" containsMixedTypes="1" containsNumber="1" minValue="0.16666666666666666" maxValue="3"/>
    </cacheField>
    <cacheField name="Issue Details" numFmtId="0">
      <sharedItems containsBlank="1"/>
    </cacheField>
    <cacheField name="Root Cau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m/>
    <m/>
    <m/>
    <x v="0"/>
    <m/>
    <m/>
    <m/>
    <m/>
    <m/>
    <m/>
    <m/>
    <m/>
    <m/>
    <m/>
    <m/>
    <m/>
  </r>
  <r>
    <n v="1"/>
    <d v="2023-07-20T00:00:00"/>
    <s v="week-29"/>
    <x v="1"/>
    <s v="G"/>
    <s v="LINE1"/>
    <s v="Assy. Line"/>
    <s v="L"/>
    <s v="POST-APMT MACHINE 1"/>
    <s v="Rotary Table"/>
    <d v="1899-12-30T14:00:00"/>
    <d v="1899-12-30T17:00:00"/>
    <n v="180"/>
    <n v="3"/>
    <s v="Bubble came in VHB at OQC inspection station"/>
    <s v="Access vacuum on Rotary table vacuum pad "/>
  </r>
  <r>
    <n v="2"/>
    <d v="2023-07-21T00:00:00"/>
    <s v="week-29"/>
    <x v="1"/>
    <s v="G"/>
    <s v="LINE1"/>
    <s v="Assy. Line"/>
    <s v="L"/>
    <s v="FUNCTION TESTING-1 MACHINE 1"/>
    <s v="Robot-2"/>
    <d v="1899-12-30T11:00:00"/>
    <d v="1899-12-30T11:25:00"/>
    <n v="25"/>
    <n v="0.41666666666666669"/>
    <s v="Battery connctor position cyl. Not working properly due to up/dn cyl. Stopper disturbed due to lock not available"/>
    <s v="Stopper is not at actual posotion"/>
  </r>
  <r>
    <n v="3"/>
    <d v="2023-07-21T00:00:00"/>
    <s v="week-29"/>
    <x v="1"/>
    <s v="G"/>
    <s v="LINE1"/>
    <s v="Assy. Line"/>
    <s v="L"/>
    <s v="FUNCTION TESTING-1 MACHINE 1"/>
    <s v="Channel 26"/>
    <d v="1899-12-30T14:00:00"/>
    <d v="1899-12-30T14:15:00"/>
    <n v="15"/>
    <n v="0.25"/>
    <s v="Channel no. 26 matting NG "/>
    <s v="Connector damage due Part placing Position not ok"/>
  </r>
  <r>
    <n v="4"/>
    <d v="2023-07-21T00:00:00"/>
    <s v="week-29"/>
    <x v="1"/>
    <s v="G"/>
    <s v="LINE1"/>
    <s v="Assy. Line"/>
    <s v="L"/>
    <s v="CONNECTOR INSPECTION MACHINE 1"/>
    <s v="CCD station"/>
    <d v="1899-12-30T15:00:00"/>
    <d v="1899-12-30T15:40:00"/>
    <n v="40"/>
    <n v="0.66666666666666663"/>
    <s v="CCD machine not capturing NG part "/>
    <s v="Machine not calibrated with NG part"/>
  </r>
  <r>
    <n v="5"/>
    <d v="2023-07-21T00:00:00"/>
    <s v="week-29"/>
    <x v="1"/>
    <s v="G"/>
    <s v="LINE1"/>
    <s v="Assy. Line"/>
    <s v="L"/>
    <s v="PLASMA CLEANING AND VHB PASTING MACHINE 1"/>
    <s v="Main Machine "/>
    <d v="1899-12-30T11:30:00"/>
    <d v="1899-12-30T11:50:00"/>
    <n v="20"/>
    <n v="0.33333333333333331"/>
    <s v="Machine is not running "/>
    <s v="Servo Drive alarm "/>
  </r>
  <r>
    <n v="6"/>
    <d v="2023-07-21T00:00:00"/>
    <s v="week-29"/>
    <x v="1"/>
    <s v="G"/>
    <s v="LINE1"/>
    <s v="Assy. Line"/>
    <s v="L"/>
    <s v="POST-APMT MACHINE 1"/>
    <s v="Main Machine "/>
    <d v="1899-12-30T15:00:00"/>
    <d v="1899-12-30T15:20:00"/>
    <n v="20"/>
    <n v="0.33333333333333331"/>
    <s v="Machine is not running "/>
    <s v="software communication break between front and back computer"/>
  </r>
  <r>
    <n v="7"/>
    <d v="2023-07-21T00:00:00"/>
    <s v="week-29"/>
    <x v="1"/>
    <s v="G"/>
    <s v="LINE1"/>
    <s v="Assy. Line"/>
    <s v="L"/>
    <s v="PRE-APMT 1"/>
    <s v="Mac-Mini"/>
    <d v="1899-12-30T11:20:00"/>
    <d v="1899-12-30T11:40:00"/>
    <n v="20"/>
    <n v="0.33333333333333331"/>
    <s v="Data upload fail"/>
    <s v="Mac. Mini hang problem"/>
  </r>
  <r>
    <n v="8"/>
    <d v="2023-07-26T00:00:00"/>
    <s v="week-30"/>
    <x v="1"/>
    <s v="G"/>
    <s v="LINE1"/>
    <s v="Assy. Line"/>
    <s v="L"/>
    <s v="LEAKAGE TESTING MACHINE 1"/>
    <s v="Robot-1"/>
    <d v="1899-12-30T12:19:00"/>
    <d v="1899-12-30T12:53:00"/>
    <n v="34"/>
    <n v="0.56666666666666665"/>
    <s v="PLC and Robot-1  heart beat is abnormal"/>
    <s v="Robot-1 power not on"/>
  </r>
  <r>
    <n v="9"/>
    <d v="2023-07-26T00:00:00"/>
    <s v="week-30"/>
    <x v="1"/>
    <s v="G"/>
    <s v="LINE1"/>
    <s v="Assy. Line"/>
    <s v="L"/>
    <s v="PLASMA CLEANING AND VHB PASTING MACHINE 1"/>
    <s v="LQC "/>
    <d v="1899-12-30T12:15:00"/>
    <d v="1899-12-30T14:30:00"/>
    <n v="135"/>
    <n v="2.25"/>
    <s v="Bubble came on top edge of the VHB"/>
    <s v="Step came on Cell surface"/>
  </r>
  <r>
    <n v="10"/>
    <d v="2023-07-27T00:00:00"/>
    <s v="week-30"/>
    <x v="1"/>
    <s v="G"/>
    <s v="LINE1"/>
    <s v="Assy. Line"/>
    <s v="L"/>
    <s v="LEAKAGE TESTING MACHINE 1"/>
    <s v="Robot-2"/>
    <d v="1899-12-30T16:10:00"/>
    <d v="1899-12-30T16:20:00"/>
    <n v="10"/>
    <n v="0.16666666666666666"/>
    <s v="Device generate serious alarm"/>
    <s v="Robot-2 diable"/>
  </r>
  <r>
    <n v="11"/>
    <d v="2023-07-27T00:00:00"/>
    <s v="week-30"/>
    <x v="1"/>
    <s v="G"/>
    <s v="LINE1"/>
    <s v="Assy. Line"/>
    <s v="L"/>
    <s v="PLASMA CLEANING AND VHB PASTING MACHINE 1"/>
    <s v="Plasma Gun-2"/>
    <d v="1899-12-30T14:30:00"/>
    <d v="1899-12-30T17:00:00"/>
    <n v="150"/>
    <n v="2.5"/>
    <s v="Plasma Cleaning Gun-2 not working"/>
    <s v="Plasma Controller 15 pin card dry sloder"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s v="B"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2:D3" firstHeaderRow="1" firstDataRow="2" firstDataCol="0"/>
  <pivotFields count="16">
    <pivotField showAll="0"/>
    <pivotField showAll="0"/>
    <pivotField showAll="0"/>
    <pivotField axis="axisCol" showAll="0">
      <items count="9">
        <item x="2"/>
        <item m="1" x="7"/>
        <item m="1" x="4"/>
        <item m="1" x="5"/>
        <item m="1" x="3"/>
        <item m="1"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4">
    <i>
      <x/>
    </i>
    <i>
      <x v="6"/>
    </i>
    <i>
      <x v="7"/>
    </i>
    <i t="grand">
      <x/>
    </i>
  </colItems>
  <formats count="5">
    <format dxfId="709">
      <pivotArea type="origin" dataOnly="0" labelOnly="1" outline="0" fieldPosition="0"/>
    </format>
    <format dxfId="708">
      <pivotArea field="3" type="button" dataOnly="0" labelOnly="1" outline="0" axis="axisCol" fieldPosition="0"/>
    </format>
    <format dxfId="707">
      <pivotArea type="topRight" dataOnly="0" labelOnly="1" outline="0" fieldPosition="0"/>
    </format>
    <format dxfId="706">
      <pivotArea dataOnly="0" labelOnly="1" fieldPosition="0">
        <references count="1">
          <reference field="3" count="0"/>
        </references>
      </pivotArea>
    </format>
    <format dxfId="705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FF0000"/>
    <pageSetUpPr fitToPage="1"/>
  </sheetPr>
  <dimension ref="A1:AB1439"/>
  <sheetViews>
    <sheetView zoomScale="80" zoomScaleNormal="80" zoomScaleSheetLayoutView="70" workbookViewId="0">
      <pane ySplit="2" topLeftCell="A3" activePane="bottomLeft" state="frozen"/>
      <selection activeCell="A2" sqref="A2"/>
      <selection pane="bottomLeft" activeCell="I4" sqref="I4"/>
    </sheetView>
  </sheetViews>
  <sheetFormatPr defaultColWidth="9.140625" defaultRowHeight="15.75" thickBottom="1"/>
  <cols>
    <col min="1" max="1" width="5.7109375" style="113" customWidth="1"/>
    <col min="2" max="2" width="14.42578125" style="121" customWidth="1"/>
    <col min="3" max="3" width="10.28515625" style="121" customWidth="1"/>
    <col min="4" max="4" width="8" style="121" customWidth="1"/>
    <col min="5" max="5" width="5.7109375" style="110" customWidth="1"/>
    <col min="6" max="6" width="17.140625" style="110" customWidth="1"/>
    <col min="7" max="7" width="11.42578125" style="121" bestFit="1" customWidth="1"/>
    <col min="8" max="8" width="16.5703125" style="121" customWidth="1"/>
    <col min="9" max="9" width="62.85546875" style="112" customWidth="1"/>
    <col min="10" max="10" width="18.85546875" style="112" customWidth="1"/>
    <col min="11" max="11" width="10.140625" style="110" customWidth="1"/>
    <col min="12" max="12" width="6.28515625" style="110" customWidth="1"/>
    <col min="13" max="13" width="6.85546875" style="111" customWidth="1"/>
    <col min="14" max="14" width="10" style="1" customWidth="1"/>
    <col min="15" max="15" width="38.7109375" style="128" customWidth="1"/>
    <col min="16" max="16" width="24" style="151" customWidth="1"/>
    <col min="17" max="17" width="27" style="151" customWidth="1"/>
    <col min="18" max="18" width="30" style="128" customWidth="1"/>
    <col min="19" max="19" width="42.7109375" style="151" customWidth="1"/>
    <col min="20" max="20" width="21.5703125" style="110" customWidth="1"/>
    <col min="21" max="21" width="37.85546875" style="148" customWidth="1"/>
    <col min="22" max="22" width="22.140625" style="110" hidden="1" customWidth="1"/>
    <col min="23" max="23" width="16.28515625" style="110" hidden="1" customWidth="1"/>
    <col min="24" max="24" width="18.5703125" style="148" hidden="1" customWidth="1"/>
    <col min="25" max="26" width="10.5703125" style="110" hidden="1" customWidth="1"/>
    <col min="27" max="27" width="15.7109375" style="1" hidden="1" customWidth="1"/>
    <col min="28" max="28" width="60.42578125" style="123" hidden="1" customWidth="1"/>
    <col min="29" max="16384" width="9.140625" style="26"/>
  </cols>
  <sheetData>
    <row r="1" spans="1:28" ht="45.75">
      <c r="A1" s="208" t="s">
        <v>623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</row>
    <row r="2" spans="1:28" s="122" customFormat="1" ht="69" customHeight="1">
      <c r="A2" s="206" t="s">
        <v>84</v>
      </c>
      <c r="B2" s="206" t="s">
        <v>20</v>
      </c>
      <c r="C2" s="206" t="s">
        <v>626</v>
      </c>
      <c r="D2" s="206" t="s">
        <v>628</v>
      </c>
      <c r="E2" s="206" t="s">
        <v>0</v>
      </c>
      <c r="F2" s="206" t="s">
        <v>21</v>
      </c>
      <c r="G2" s="206" t="s">
        <v>629</v>
      </c>
      <c r="H2" s="206" t="s">
        <v>627</v>
      </c>
      <c r="I2" s="206" t="s">
        <v>37</v>
      </c>
      <c r="J2" s="206" t="s">
        <v>634</v>
      </c>
      <c r="K2" s="206" t="s">
        <v>32</v>
      </c>
      <c r="L2" s="206" t="s">
        <v>33</v>
      </c>
      <c r="M2" s="206" t="s">
        <v>621</v>
      </c>
      <c r="N2" s="206" t="s">
        <v>632</v>
      </c>
      <c r="O2" s="206" t="s">
        <v>625</v>
      </c>
      <c r="P2" s="206" t="s">
        <v>638</v>
      </c>
      <c r="Q2" s="206" t="s">
        <v>730</v>
      </c>
      <c r="R2" s="206" t="s">
        <v>736</v>
      </c>
      <c r="S2" s="210" t="s">
        <v>635</v>
      </c>
      <c r="T2" s="211"/>
      <c r="U2" s="206" t="s">
        <v>639</v>
      </c>
      <c r="V2" s="141" t="s">
        <v>645</v>
      </c>
      <c r="W2" s="141" t="s">
        <v>640</v>
      </c>
      <c r="X2" s="141" t="s">
        <v>641</v>
      </c>
      <c r="Y2" s="141" t="s">
        <v>642</v>
      </c>
      <c r="Z2" s="141" t="s">
        <v>643</v>
      </c>
      <c r="AA2" s="212" t="s">
        <v>619</v>
      </c>
      <c r="AB2" s="214" t="s">
        <v>622</v>
      </c>
    </row>
    <row r="3" spans="1:28" s="122" customFormat="1" ht="43.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130" t="s">
        <v>636</v>
      </c>
      <c r="T3" s="130" t="s">
        <v>637</v>
      </c>
      <c r="U3" s="207"/>
      <c r="V3" s="144"/>
      <c r="W3" s="142"/>
      <c r="X3" s="142"/>
      <c r="Y3" s="142"/>
      <c r="Z3" s="142"/>
      <c r="AA3" s="213"/>
      <c r="AB3" s="215"/>
    </row>
    <row r="4" spans="1:28" s="116" customFormat="1" ht="30">
      <c r="A4" s="114">
        <v>1</v>
      </c>
      <c r="B4" s="120">
        <v>45127</v>
      </c>
      <c r="C4" s="129" t="str">
        <f t="shared" ref="C4:C67" si="0">"week-"&amp;WEEKNUM(B4)</f>
        <v>week-29</v>
      </c>
      <c r="D4" s="120" t="str">
        <f t="shared" ref="D4:D67" si="1">TEXT(B4,"mmm")</f>
        <v>Jul</v>
      </c>
      <c r="E4" s="7" t="s">
        <v>624</v>
      </c>
      <c r="F4" s="7" t="s">
        <v>748</v>
      </c>
      <c r="G4" s="120" t="s">
        <v>749</v>
      </c>
      <c r="H4" s="120" t="s">
        <v>631</v>
      </c>
      <c r="I4" s="132" t="s">
        <v>747</v>
      </c>
      <c r="J4" s="132" t="s">
        <v>769</v>
      </c>
      <c r="K4" s="115">
        <v>0.58333333333333337</v>
      </c>
      <c r="L4" s="115">
        <v>0.70833333333333337</v>
      </c>
      <c r="M4" s="8">
        <v>180</v>
      </c>
      <c r="N4" s="8">
        <f t="shared" ref="N4:N67" si="2">IF(ISBLANK(M4),"-",(M4/60))</f>
        <v>3</v>
      </c>
      <c r="O4" s="127" t="s">
        <v>770</v>
      </c>
      <c r="P4" s="127" t="s">
        <v>771</v>
      </c>
      <c r="Q4" s="127" t="s">
        <v>732</v>
      </c>
      <c r="R4" s="126" t="s">
        <v>734</v>
      </c>
      <c r="S4" s="127" t="s">
        <v>772</v>
      </c>
      <c r="T4" s="8" t="s">
        <v>647</v>
      </c>
      <c r="U4" s="158" t="s">
        <v>773</v>
      </c>
      <c r="V4" s="7" t="s">
        <v>647</v>
      </c>
      <c r="W4" s="7"/>
      <c r="X4" s="146" t="s">
        <v>698</v>
      </c>
      <c r="Y4" s="7" t="s">
        <v>699</v>
      </c>
      <c r="Z4" s="7"/>
      <c r="AA4" s="7" t="str">
        <f>IFERROR((VLOOKUP(F4,#REF!,2,FALSE)),"-")</f>
        <v>-</v>
      </c>
      <c r="AB4" s="119" t="e">
        <f>CONCATENATE(F4," - ",I4," - ",#REF!,)</f>
        <v>#REF!</v>
      </c>
    </row>
    <row r="5" spans="1:28" s="116" customFormat="1" ht="60">
      <c r="A5" s="114">
        <v>2</v>
      </c>
      <c r="B5" s="120">
        <v>45128</v>
      </c>
      <c r="C5" s="129" t="str">
        <f t="shared" si="0"/>
        <v>week-29</v>
      </c>
      <c r="D5" s="120" t="str">
        <f t="shared" si="1"/>
        <v>Jul</v>
      </c>
      <c r="E5" s="7" t="s">
        <v>624</v>
      </c>
      <c r="F5" s="7" t="s">
        <v>748</v>
      </c>
      <c r="G5" s="120" t="s">
        <v>749</v>
      </c>
      <c r="H5" s="120" t="s">
        <v>631</v>
      </c>
      <c r="I5" s="132" t="s">
        <v>742</v>
      </c>
      <c r="J5" s="132" t="s">
        <v>750</v>
      </c>
      <c r="K5" s="115">
        <v>0.45833333333333331</v>
      </c>
      <c r="L5" s="115">
        <v>0.47569444444444442</v>
      </c>
      <c r="M5" s="8">
        <v>25</v>
      </c>
      <c r="N5" s="8">
        <f t="shared" si="2"/>
        <v>0.41666666666666669</v>
      </c>
      <c r="O5" s="127" t="s">
        <v>776</v>
      </c>
      <c r="P5" s="127" t="s">
        <v>751</v>
      </c>
      <c r="Q5" s="127" t="s">
        <v>732</v>
      </c>
      <c r="R5" s="126" t="s">
        <v>734</v>
      </c>
      <c r="S5" s="145" t="s">
        <v>777</v>
      </c>
      <c r="T5" s="8" t="s">
        <v>647</v>
      </c>
      <c r="U5" s="158" t="s">
        <v>775</v>
      </c>
      <c r="V5" s="7" t="s">
        <v>647</v>
      </c>
      <c r="W5" s="7" t="s">
        <v>683</v>
      </c>
      <c r="X5" s="146" t="s">
        <v>679</v>
      </c>
      <c r="Y5" s="7" t="s">
        <v>715</v>
      </c>
      <c r="Z5" s="7"/>
      <c r="AA5" s="7" t="str">
        <f>IFERROR((VLOOKUP(F5,#REF!,2,FALSE)),"-")</f>
        <v>-</v>
      </c>
      <c r="AB5" s="119" t="e">
        <f>CONCATENATE(F5," - ",I5," - ",#REF!,)</f>
        <v>#REF!</v>
      </c>
    </row>
    <row r="6" spans="1:28" s="116" customFormat="1" ht="45">
      <c r="A6" s="114">
        <v>3</v>
      </c>
      <c r="B6" s="120">
        <v>45128</v>
      </c>
      <c r="C6" s="129" t="str">
        <f t="shared" si="0"/>
        <v>week-29</v>
      </c>
      <c r="D6" s="120" t="str">
        <f t="shared" si="1"/>
        <v>Jul</v>
      </c>
      <c r="E6" s="7" t="s">
        <v>624</v>
      </c>
      <c r="F6" s="7" t="s">
        <v>748</v>
      </c>
      <c r="G6" s="120" t="s">
        <v>749</v>
      </c>
      <c r="H6" s="120" t="s">
        <v>631</v>
      </c>
      <c r="I6" s="132" t="s">
        <v>742</v>
      </c>
      <c r="J6" s="132" t="s">
        <v>752</v>
      </c>
      <c r="K6" s="115">
        <v>0.58333333333333337</v>
      </c>
      <c r="L6" s="115">
        <v>0.59375</v>
      </c>
      <c r="M6" s="8">
        <v>15</v>
      </c>
      <c r="N6" s="8">
        <f t="shared" si="2"/>
        <v>0.25</v>
      </c>
      <c r="O6" s="127" t="s">
        <v>753</v>
      </c>
      <c r="P6" s="127" t="s">
        <v>754</v>
      </c>
      <c r="Q6" s="127" t="s">
        <v>731</v>
      </c>
      <c r="R6" s="127" t="s">
        <v>735</v>
      </c>
      <c r="S6" s="145" t="s">
        <v>755</v>
      </c>
      <c r="T6" s="8" t="s">
        <v>647</v>
      </c>
      <c r="U6" s="158"/>
      <c r="V6" s="7" t="s">
        <v>647</v>
      </c>
      <c r="W6" s="7"/>
      <c r="X6" s="146" t="s">
        <v>691</v>
      </c>
      <c r="Y6" s="7" t="s">
        <v>715</v>
      </c>
      <c r="Z6" s="7"/>
      <c r="AA6" s="7" t="str">
        <f>IFERROR((VLOOKUP(F6,#REF!,2,FALSE)),"-")</f>
        <v>-</v>
      </c>
      <c r="AB6" s="119" t="e">
        <f>CONCATENATE(F6," - ",I6," - ",#REF!,)</f>
        <v>#REF!</v>
      </c>
    </row>
    <row r="7" spans="1:28" s="116" customFormat="1" ht="30">
      <c r="A7" s="114">
        <v>4</v>
      </c>
      <c r="B7" s="120">
        <v>45128</v>
      </c>
      <c r="C7" s="129" t="str">
        <f t="shared" si="0"/>
        <v>week-29</v>
      </c>
      <c r="D7" s="120" t="str">
        <f t="shared" si="1"/>
        <v>Jul</v>
      </c>
      <c r="E7" s="7" t="s">
        <v>624</v>
      </c>
      <c r="F7" s="7" t="s">
        <v>748</v>
      </c>
      <c r="G7" s="120" t="s">
        <v>749</v>
      </c>
      <c r="H7" s="120" t="s">
        <v>631</v>
      </c>
      <c r="I7" s="132" t="s">
        <v>744</v>
      </c>
      <c r="J7" s="132" t="s">
        <v>756</v>
      </c>
      <c r="K7" s="115">
        <v>0.625</v>
      </c>
      <c r="L7" s="115">
        <v>0.65277777777777779</v>
      </c>
      <c r="M7" s="8">
        <v>40</v>
      </c>
      <c r="N7" s="8">
        <f t="shared" si="2"/>
        <v>0.66666666666666663</v>
      </c>
      <c r="O7" s="127" t="s">
        <v>757</v>
      </c>
      <c r="P7" s="127" t="s">
        <v>758</v>
      </c>
      <c r="Q7" s="127" t="s">
        <v>733</v>
      </c>
      <c r="R7" s="126" t="s">
        <v>734</v>
      </c>
      <c r="S7" s="127" t="s">
        <v>759</v>
      </c>
      <c r="T7" s="139" t="s">
        <v>647</v>
      </c>
      <c r="U7" s="158" t="s">
        <v>760</v>
      </c>
      <c r="V7" s="7" t="s">
        <v>647</v>
      </c>
      <c r="W7" s="7" t="s">
        <v>694</v>
      </c>
      <c r="X7" s="146" t="s">
        <v>654</v>
      </c>
      <c r="Y7" s="7" t="s">
        <v>715</v>
      </c>
      <c r="Z7" s="7"/>
      <c r="AA7" s="7" t="str">
        <f>IFERROR((VLOOKUP(F7,#REF!,2,FALSE)),"-")</f>
        <v>-</v>
      </c>
      <c r="AB7" s="119" t="e">
        <f>CONCATENATE(F7," - ",I7," - ",#REF!,)</f>
        <v>#REF!</v>
      </c>
    </row>
    <row r="8" spans="1:28" s="116" customFormat="1" ht="15">
      <c r="A8" s="114">
        <v>5</v>
      </c>
      <c r="B8" s="120">
        <v>45128</v>
      </c>
      <c r="C8" s="129" t="str">
        <f t="shared" si="0"/>
        <v>week-29</v>
      </c>
      <c r="D8" s="120" t="str">
        <f t="shared" si="1"/>
        <v>Jul</v>
      </c>
      <c r="E8" s="7" t="s">
        <v>624</v>
      </c>
      <c r="F8" s="7" t="s">
        <v>748</v>
      </c>
      <c r="G8" s="120" t="s">
        <v>749</v>
      </c>
      <c r="H8" s="120" t="s">
        <v>631</v>
      </c>
      <c r="I8" s="132" t="s">
        <v>746</v>
      </c>
      <c r="J8" s="132" t="s">
        <v>761</v>
      </c>
      <c r="K8" s="115">
        <v>0.47916666666666669</v>
      </c>
      <c r="L8" s="115">
        <v>0.49305555555555558</v>
      </c>
      <c r="M8" s="8">
        <v>20</v>
      </c>
      <c r="N8" s="8">
        <f t="shared" si="2"/>
        <v>0.33333333333333331</v>
      </c>
      <c r="O8" s="127" t="s">
        <v>762</v>
      </c>
      <c r="P8" s="127" t="s">
        <v>763</v>
      </c>
      <c r="Q8" s="127" t="s">
        <v>731</v>
      </c>
      <c r="R8" s="126" t="s">
        <v>735</v>
      </c>
      <c r="S8" s="127" t="s">
        <v>764</v>
      </c>
      <c r="T8" s="8" t="s">
        <v>647</v>
      </c>
      <c r="U8" s="158" t="s">
        <v>765</v>
      </c>
      <c r="V8" s="7" t="s">
        <v>647</v>
      </c>
      <c r="W8" s="7" t="s">
        <v>694</v>
      </c>
      <c r="X8" s="156" t="s">
        <v>698</v>
      </c>
      <c r="Y8" s="7" t="s">
        <v>699</v>
      </c>
      <c r="Z8" s="7"/>
      <c r="AA8" s="7" t="str">
        <f>IFERROR((VLOOKUP(F8,#REF!,2,FALSE)),"-")</f>
        <v>-</v>
      </c>
      <c r="AB8" s="119" t="e">
        <f>CONCATENATE(F8," - ",I8," - ",#REF!,)</f>
        <v>#REF!</v>
      </c>
    </row>
    <row r="9" spans="1:28" s="116" customFormat="1" ht="45">
      <c r="A9" s="114">
        <v>6</v>
      </c>
      <c r="B9" s="120">
        <v>45128</v>
      </c>
      <c r="C9" s="129" t="str">
        <f t="shared" si="0"/>
        <v>week-29</v>
      </c>
      <c r="D9" s="120" t="str">
        <f t="shared" si="1"/>
        <v>Jul</v>
      </c>
      <c r="E9" s="7" t="s">
        <v>624</v>
      </c>
      <c r="F9" s="7" t="s">
        <v>748</v>
      </c>
      <c r="G9" s="120" t="s">
        <v>749</v>
      </c>
      <c r="H9" s="120" t="s">
        <v>631</v>
      </c>
      <c r="I9" s="132" t="s">
        <v>747</v>
      </c>
      <c r="J9" s="132" t="s">
        <v>761</v>
      </c>
      <c r="K9" s="115">
        <v>0.625</v>
      </c>
      <c r="L9" s="115">
        <v>0.63888888888888895</v>
      </c>
      <c r="M9" s="8">
        <v>20</v>
      </c>
      <c r="N9" s="8">
        <f t="shared" si="2"/>
        <v>0.33333333333333331</v>
      </c>
      <c r="O9" s="127" t="s">
        <v>762</v>
      </c>
      <c r="P9" s="127" t="s">
        <v>766</v>
      </c>
      <c r="Q9" s="127" t="s">
        <v>733</v>
      </c>
      <c r="R9" s="126" t="s">
        <v>734</v>
      </c>
      <c r="S9" s="127" t="s">
        <v>767</v>
      </c>
      <c r="T9" s="8" t="s">
        <v>647</v>
      </c>
      <c r="U9" s="158" t="s">
        <v>768</v>
      </c>
      <c r="V9" s="7" t="s">
        <v>647</v>
      </c>
      <c r="W9" s="7"/>
      <c r="X9" s="156" t="s">
        <v>698</v>
      </c>
      <c r="Y9" s="7" t="s">
        <v>699</v>
      </c>
      <c r="Z9" s="7"/>
      <c r="AA9" s="7" t="str">
        <f>IFERROR((VLOOKUP(F9,#REF!,2,FALSE)),"-")</f>
        <v>-</v>
      </c>
      <c r="AB9" s="119" t="e">
        <f>CONCATENATE(F9," - ",I9," - ",#REF!,)</f>
        <v>#REF!</v>
      </c>
    </row>
    <row r="10" spans="1:28" s="116" customFormat="1" ht="15">
      <c r="A10" s="114">
        <v>7</v>
      </c>
      <c r="B10" s="120">
        <v>45128</v>
      </c>
      <c r="C10" s="129" t="str">
        <f t="shared" si="0"/>
        <v>week-29</v>
      </c>
      <c r="D10" s="120" t="str">
        <f t="shared" si="1"/>
        <v>Jul</v>
      </c>
      <c r="E10" s="7" t="s">
        <v>624</v>
      </c>
      <c r="F10" s="7" t="s">
        <v>748</v>
      </c>
      <c r="G10" s="120" t="s">
        <v>749</v>
      </c>
      <c r="H10" s="120" t="s">
        <v>631</v>
      </c>
      <c r="I10" s="132" t="s">
        <v>745</v>
      </c>
      <c r="J10" s="132" t="s">
        <v>774</v>
      </c>
      <c r="K10" s="115">
        <v>0.47222222222222227</v>
      </c>
      <c r="L10" s="115">
        <v>0.4861111111111111</v>
      </c>
      <c r="M10" s="8">
        <v>20</v>
      </c>
      <c r="N10" s="8">
        <f t="shared" si="2"/>
        <v>0.33333333333333331</v>
      </c>
      <c r="O10" s="127" t="s">
        <v>780</v>
      </c>
      <c r="P10" s="127" t="s">
        <v>781</v>
      </c>
      <c r="Q10" s="127" t="s">
        <v>733</v>
      </c>
      <c r="R10" s="127" t="s">
        <v>666</v>
      </c>
      <c r="S10" s="127" t="s">
        <v>782</v>
      </c>
      <c r="T10" s="139" t="s">
        <v>647</v>
      </c>
      <c r="U10" s="158"/>
      <c r="V10" s="7" t="s">
        <v>647</v>
      </c>
      <c r="W10" s="7"/>
      <c r="X10" s="146" t="s">
        <v>704</v>
      </c>
      <c r="Y10" s="7" t="s">
        <v>701</v>
      </c>
      <c r="Z10" s="7"/>
      <c r="AA10" s="7" t="str">
        <f>IFERROR((VLOOKUP(F10,#REF!,2,FALSE)),"-")</f>
        <v>-</v>
      </c>
      <c r="AB10" s="119" t="e">
        <f>CONCATENATE(F10," - ",I10," - ",#REF!,)</f>
        <v>#REF!</v>
      </c>
    </row>
    <row r="11" spans="1:28" s="116" customFormat="1" ht="33.75" customHeight="1">
      <c r="A11" s="114">
        <v>8</v>
      </c>
      <c r="B11" s="120">
        <v>45133</v>
      </c>
      <c r="C11" s="129" t="str">
        <f t="shared" si="0"/>
        <v>week-30</v>
      </c>
      <c r="D11" s="120" t="str">
        <f t="shared" si="1"/>
        <v>Jul</v>
      </c>
      <c r="E11" s="7" t="s">
        <v>624</v>
      </c>
      <c r="F11" s="7" t="s">
        <v>748</v>
      </c>
      <c r="G11" s="120" t="s">
        <v>749</v>
      </c>
      <c r="H11" s="120" t="s">
        <v>631</v>
      </c>
      <c r="I11" s="132" t="s">
        <v>743</v>
      </c>
      <c r="J11" s="132" t="s">
        <v>778</v>
      </c>
      <c r="K11" s="115">
        <v>0.5131944444444444</v>
      </c>
      <c r="L11" s="115">
        <v>0.53680555555555554</v>
      </c>
      <c r="M11" s="8">
        <v>34</v>
      </c>
      <c r="N11" s="8">
        <f t="shared" si="2"/>
        <v>0.56666666666666665</v>
      </c>
      <c r="O11" s="127" t="s">
        <v>783</v>
      </c>
      <c r="P11" s="127" t="s">
        <v>784</v>
      </c>
      <c r="Q11" s="127" t="s">
        <v>733</v>
      </c>
      <c r="R11" s="126" t="s">
        <v>666</v>
      </c>
      <c r="S11" s="127" t="s">
        <v>785</v>
      </c>
      <c r="T11" s="8" t="s">
        <v>647</v>
      </c>
      <c r="U11" s="158"/>
      <c r="V11" s="7" t="s">
        <v>651</v>
      </c>
      <c r="W11" s="7"/>
      <c r="X11" s="146" t="s">
        <v>703</v>
      </c>
      <c r="Y11" s="7" t="s">
        <v>699</v>
      </c>
      <c r="Z11" s="7"/>
      <c r="AA11" s="7" t="str">
        <f>IFERROR((VLOOKUP(F11,#REF!,2,FALSE)),"-")</f>
        <v>-</v>
      </c>
      <c r="AB11" s="119" t="e">
        <f>CONCATENATE(F11," - ",I11," - ",#REF!,)</f>
        <v>#REF!</v>
      </c>
    </row>
    <row r="12" spans="1:28" s="116" customFormat="1" ht="30">
      <c r="A12" s="114">
        <v>9</v>
      </c>
      <c r="B12" s="120">
        <v>45133</v>
      </c>
      <c r="C12" s="129" t="str">
        <f t="shared" si="0"/>
        <v>week-30</v>
      </c>
      <c r="D12" s="120" t="str">
        <f t="shared" si="1"/>
        <v>Jul</v>
      </c>
      <c r="E12" s="7" t="s">
        <v>624</v>
      </c>
      <c r="F12" s="7" t="s">
        <v>748</v>
      </c>
      <c r="G12" s="120" t="s">
        <v>749</v>
      </c>
      <c r="H12" s="120" t="s">
        <v>631</v>
      </c>
      <c r="I12" s="132" t="s">
        <v>746</v>
      </c>
      <c r="J12" s="132" t="s">
        <v>788</v>
      </c>
      <c r="K12" s="115">
        <v>0.51041666666666663</v>
      </c>
      <c r="L12" s="115">
        <v>0.60416666666666663</v>
      </c>
      <c r="M12" s="8">
        <v>135</v>
      </c>
      <c r="N12" s="8">
        <f t="shared" si="2"/>
        <v>2.25</v>
      </c>
      <c r="O12" s="127" t="s">
        <v>789</v>
      </c>
      <c r="P12" s="127" t="s">
        <v>790</v>
      </c>
      <c r="Q12" s="127" t="s">
        <v>732</v>
      </c>
      <c r="R12" s="126" t="s">
        <v>734</v>
      </c>
      <c r="S12" s="127" t="s">
        <v>791</v>
      </c>
      <c r="T12" s="8" t="s">
        <v>647</v>
      </c>
      <c r="U12" s="158"/>
      <c r="V12" s="7" t="s">
        <v>651</v>
      </c>
      <c r="W12" s="7" t="s">
        <v>700</v>
      </c>
      <c r="X12" s="146" t="s">
        <v>653</v>
      </c>
      <c r="Y12" s="7" t="s">
        <v>701</v>
      </c>
      <c r="Z12" s="7"/>
      <c r="AA12" s="7" t="str">
        <f>IFERROR((VLOOKUP(F12,#REF!,2,FALSE)),"-")</f>
        <v>-</v>
      </c>
      <c r="AB12" s="119" t="e">
        <f>CONCATENATE(F12," - ",I12," - ",#REF!,)</f>
        <v>#REF!</v>
      </c>
    </row>
    <row r="13" spans="1:28" s="116" customFormat="1" ht="15">
      <c r="A13" s="114">
        <v>10</v>
      </c>
      <c r="B13" s="120">
        <v>45134</v>
      </c>
      <c r="C13" s="129" t="str">
        <f t="shared" si="0"/>
        <v>week-30</v>
      </c>
      <c r="D13" s="120" t="str">
        <f t="shared" si="1"/>
        <v>Jul</v>
      </c>
      <c r="E13" s="7" t="s">
        <v>624</v>
      </c>
      <c r="F13" s="7" t="s">
        <v>748</v>
      </c>
      <c r="G13" s="120" t="s">
        <v>749</v>
      </c>
      <c r="H13" s="120" t="s">
        <v>631</v>
      </c>
      <c r="I13" s="132" t="s">
        <v>743</v>
      </c>
      <c r="J13" s="132" t="s">
        <v>750</v>
      </c>
      <c r="K13" s="115">
        <v>0.67361111111111116</v>
      </c>
      <c r="L13" s="115">
        <v>0.68055555555555547</v>
      </c>
      <c r="M13" s="8">
        <v>10</v>
      </c>
      <c r="N13" s="8">
        <f t="shared" si="2"/>
        <v>0.16666666666666666</v>
      </c>
      <c r="O13" s="127" t="s">
        <v>779</v>
      </c>
      <c r="P13" s="127" t="s">
        <v>786</v>
      </c>
      <c r="Q13" s="127" t="s">
        <v>733</v>
      </c>
      <c r="R13" s="126" t="s">
        <v>666</v>
      </c>
      <c r="S13" s="127" t="s">
        <v>787</v>
      </c>
      <c r="T13" s="8" t="s">
        <v>647</v>
      </c>
      <c r="U13" s="158"/>
      <c r="V13" s="7" t="s">
        <v>651</v>
      </c>
      <c r="W13" s="7" t="s">
        <v>700</v>
      </c>
      <c r="X13" s="146" t="s">
        <v>702</v>
      </c>
      <c r="Y13" s="7" t="s">
        <v>701</v>
      </c>
      <c r="Z13" s="7"/>
      <c r="AA13" s="7" t="str">
        <f>IFERROR((VLOOKUP(F13,#REF!,2,FALSE)),"-")</f>
        <v>-</v>
      </c>
      <c r="AB13" s="119" t="e">
        <f>CONCATENATE(F13," - ",I13," - ",#REF!,)</f>
        <v>#REF!</v>
      </c>
    </row>
    <row r="14" spans="1:28" s="116" customFormat="1" ht="30">
      <c r="A14" s="114">
        <v>11</v>
      </c>
      <c r="B14" s="120">
        <v>45134</v>
      </c>
      <c r="C14" s="129" t="str">
        <f t="shared" si="0"/>
        <v>week-30</v>
      </c>
      <c r="D14" s="120" t="str">
        <f t="shared" si="1"/>
        <v>Jul</v>
      </c>
      <c r="E14" s="84" t="s">
        <v>624</v>
      </c>
      <c r="F14" s="7" t="s">
        <v>748</v>
      </c>
      <c r="G14" s="120" t="s">
        <v>749</v>
      </c>
      <c r="H14" s="120" t="s">
        <v>631</v>
      </c>
      <c r="I14" s="132" t="s">
        <v>746</v>
      </c>
      <c r="J14" s="132" t="s">
        <v>792</v>
      </c>
      <c r="K14" s="115">
        <v>0.60416666666666663</v>
      </c>
      <c r="L14" s="115">
        <v>0.70833333333333337</v>
      </c>
      <c r="M14" s="8">
        <v>150</v>
      </c>
      <c r="N14" s="8">
        <f t="shared" si="2"/>
        <v>2.5</v>
      </c>
      <c r="O14" s="127" t="s">
        <v>793</v>
      </c>
      <c r="P14" s="127" t="s">
        <v>794</v>
      </c>
      <c r="Q14" s="127" t="s">
        <v>731</v>
      </c>
      <c r="R14" s="126" t="s">
        <v>734</v>
      </c>
      <c r="S14" s="127" t="s">
        <v>795</v>
      </c>
      <c r="T14" s="139" t="s">
        <v>647</v>
      </c>
      <c r="U14" s="158" t="s">
        <v>796</v>
      </c>
      <c r="V14" s="7" t="s">
        <v>651</v>
      </c>
      <c r="W14" s="7" t="s">
        <v>694</v>
      </c>
      <c r="X14" s="146" t="s">
        <v>707</v>
      </c>
      <c r="Y14" s="7" t="s">
        <v>699</v>
      </c>
      <c r="Z14" s="7"/>
      <c r="AA14" s="7" t="str">
        <f>IFERROR((VLOOKUP(F14,#REF!,2,FALSE)),"-")</f>
        <v>-</v>
      </c>
      <c r="AB14" s="119" t="e">
        <f>CONCATENATE(F14," - ",I14," - ",#REF!,)</f>
        <v>#REF!</v>
      </c>
    </row>
    <row r="15" spans="1:28" s="116" customFormat="1" ht="15">
      <c r="A15" s="114"/>
      <c r="B15" s="120"/>
      <c r="C15" s="129" t="str">
        <f t="shared" si="0"/>
        <v>week-0</v>
      </c>
      <c r="D15" s="120" t="str">
        <f t="shared" si="1"/>
        <v>Jan</v>
      </c>
      <c r="E15" s="7"/>
      <c r="F15" s="7"/>
      <c r="G15" s="120"/>
      <c r="H15" s="120"/>
      <c r="I15" s="132"/>
      <c r="J15" s="132"/>
      <c r="K15" s="115"/>
      <c r="L15" s="115"/>
      <c r="M15" s="8"/>
      <c r="N15" s="8" t="str">
        <f t="shared" si="2"/>
        <v>-</v>
      </c>
      <c r="O15" s="127"/>
      <c r="P15" s="127"/>
      <c r="Q15" s="127"/>
      <c r="R15" s="126"/>
      <c r="S15" s="127"/>
      <c r="T15" s="8"/>
      <c r="U15" s="158"/>
      <c r="V15" s="7"/>
      <c r="W15" s="7"/>
      <c r="X15" s="146"/>
      <c r="Y15" s="7"/>
      <c r="Z15" s="7"/>
      <c r="AA15" s="7" t="str">
        <f>IFERROR((VLOOKUP(F15,#REF!,2,FALSE)),"-")</f>
        <v>-</v>
      </c>
      <c r="AB15" s="119" t="e">
        <f>CONCATENATE(F15," - ",I15," - ",#REF!,)</f>
        <v>#REF!</v>
      </c>
    </row>
    <row r="16" spans="1:28" s="116" customFormat="1" ht="74.25" customHeight="1">
      <c r="A16" s="114"/>
      <c r="B16" s="120"/>
      <c r="C16" s="129" t="str">
        <f t="shared" si="0"/>
        <v>week-0</v>
      </c>
      <c r="D16" s="120" t="str">
        <f t="shared" si="1"/>
        <v>Jan</v>
      </c>
      <c r="E16" s="7"/>
      <c r="F16" s="7"/>
      <c r="G16" s="120"/>
      <c r="H16" s="120"/>
      <c r="I16" s="132"/>
      <c r="J16" s="132"/>
      <c r="K16" s="115"/>
      <c r="L16" s="115"/>
      <c r="M16" s="8"/>
      <c r="N16" s="8" t="str">
        <f t="shared" si="2"/>
        <v>-</v>
      </c>
      <c r="O16" s="127"/>
      <c r="P16" s="127"/>
      <c r="Q16" s="127"/>
      <c r="R16" s="126"/>
      <c r="S16" s="127"/>
      <c r="T16" s="8"/>
      <c r="U16" s="158"/>
      <c r="V16" s="7" t="s">
        <v>647</v>
      </c>
      <c r="W16" s="7" t="s">
        <v>705</v>
      </c>
      <c r="X16" s="146" t="s">
        <v>706</v>
      </c>
      <c r="Y16" s="7" t="s">
        <v>701</v>
      </c>
      <c r="Z16" s="7"/>
      <c r="AA16" s="7" t="str">
        <f>IFERROR((VLOOKUP(F16,#REF!,2,FALSE)),"-")</f>
        <v>-</v>
      </c>
      <c r="AB16" s="119" t="e">
        <f>CONCATENATE(F16," - ",I16," - ",#REF!,)</f>
        <v>#REF!</v>
      </c>
    </row>
    <row r="17" spans="1:28" s="116" customFormat="1" ht="15">
      <c r="A17" s="114"/>
      <c r="B17" s="120"/>
      <c r="C17" s="129" t="str">
        <f t="shared" si="0"/>
        <v>week-0</v>
      </c>
      <c r="D17" s="120" t="str">
        <f t="shared" si="1"/>
        <v>Jan</v>
      </c>
      <c r="E17" s="7"/>
      <c r="F17" s="7"/>
      <c r="G17" s="120"/>
      <c r="H17" s="120"/>
      <c r="I17" s="132"/>
      <c r="J17" s="132"/>
      <c r="K17" s="115"/>
      <c r="L17" s="115"/>
      <c r="M17" s="8"/>
      <c r="N17" s="8" t="str">
        <f t="shared" si="2"/>
        <v>-</v>
      </c>
      <c r="O17" s="127"/>
      <c r="P17" s="127"/>
      <c r="Q17" s="127"/>
      <c r="R17" s="126"/>
      <c r="S17" s="127"/>
      <c r="T17" s="8"/>
      <c r="U17" s="158"/>
      <c r="V17" s="7" t="s">
        <v>651</v>
      </c>
      <c r="W17" s="7" t="s">
        <v>694</v>
      </c>
      <c r="X17" s="146" t="s">
        <v>708</v>
      </c>
      <c r="Y17" s="7" t="s">
        <v>699</v>
      </c>
      <c r="Z17" s="7"/>
      <c r="AA17" s="7" t="str">
        <f>IFERROR((VLOOKUP(F17,#REF!,2,FALSE)),"-")</f>
        <v>-</v>
      </c>
      <c r="AB17" s="119" t="e">
        <f>CONCATENATE(F17," - ",I17," - ",#REF!,)</f>
        <v>#REF!</v>
      </c>
    </row>
    <row r="18" spans="1:28" s="116" customFormat="1" ht="15">
      <c r="A18" s="114"/>
      <c r="B18" s="120"/>
      <c r="C18" s="129" t="str">
        <f t="shared" si="0"/>
        <v>week-0</v>
      </c>
      <c r="D18" s="120" t="str">
        <f t="shared" si="1"/>
        <v>Jan</v>
      </c>
      <c r="E18" s="7"/>
      <c r="F18" s="7"/>
      <c r="G18" s="120"/>
      <c r="H18" s="120"/>
      <c r="I18" s="132"/>
      <c r="J18" s="132"/>
      <c r="K18" s="115"/>
      <c r="L18" s="115"/>
      <c r="M18" s="8"/>
      <c r="N18" s="8" t="str">
        <f t="shared" si="2"/>
        <v>-</v>
      </c>
      <c r="O18" s="127"/>
      <c r="P18" s="127"/>
      <c r="Q18" s="127"/>
      <c r="R18" s="126"/>
      <c r="S18" s="127"/>
      <c r="T18" s="8"/>
      <c r="U18" s="158"/>
      <c r="V18" s="7" t="s">
        <v>647</v>
      </c>
      <c r="W18" s="7" t="s">
        <v>709</v>
      </c>
      <c r="X18" s="156" t="s">
        <v>708</v>
      </c>
      <c r="Y18" s="7" t="s">
        <v>699</v>
      </c>
      <c r="Z18" s="7"/>
      <c r="AA18" s="7" t="str">
        <f>IFERROR((VLOOKUP(F18,#REF!,2,FALSE)),"-")</f>
        <v>-</v>
      </c>
      <c r="AB18" s="119" t="e">
        <f>CONCATENATE(F18," - ",I18," - ",#REF!,)</f>
        <v>#REF!</v>
      </c>
    </row>
    <row r="19" spans="1:28" s="116" customFormat="1" ht="15">
      <c r="A19" s="114"/>
      <c r="B19" s="120"/>
      <c r="C19" s="129" t="str">
        <f t="shared" si="0"/>
        <v>week-0</v>
      </c>
      <c r="D19" s="120" t="str">
        <f t="shared" si="1"/>
        <v>Jan</v>
      </c>
      <c r="E19" s="7"/>
      <c r="F19" s="7"/>
      <c r="G19" s="120"/>
      <c r="H19" s="120"/>
      <c r="I19" s="132"/>
      <c r="J19" s="132"/>
      <c r="K19" s="115"/>
      <c r="L19" s="115"/>
      <c r="M19" s="8"/>
      <c r="N19" s="8" t="str">
        <f t="shared" si="2"/>
        <v>-</v>
      </c>
      <c r="O19" s="127"/>
      <c r="P19" s="127"/>
      <c r="Q19" s="127"/>
      <c r="R19" s="126"/>
      <c r="S19" s="127"/>
      <c r="T19" s="8"/>
      <c r="U19" s="158"/>
      <c r="V19" s="7" t="s">
        <v>651</v>
      </c>
      <c r="W19" s="7" t="s">
        <v>710</v>
      </c>
      <c r="X19" s="146" t="s">
        <v>711</v>
      </c>
      <c r="Y19" s="7" t="s">
        <v>699</v>
      </c>
      <c r="Z19" s="7"/>
      <c r="AA19" s="7" t="str">
        <f>IFERROR((VLOOKUP(F19,#REF!,2,FALSE)),"-")</f>
        <v>-</v>
      </c>
      <c r="AB19" s="119" t="e">
        <f>CONCATENATE(F19," - ",I19," - ",#REF!,)</f>
        <v>#REF!</v>
      </c>
    </row>
    <row r="20" spans="1:28" s="116" customFormat="1" ht="15">
      <c r="A20" s="114"/>
      <c r="B20" s="120"/>
      <c r="C20" s="129" t="str">
        <f t="shared" si="0"/>
        <v>week-0</v>
      </c>
      <c r="D20" s="120" t="str">
        <f t="shared" si="1"/>
        <v>Jan</v>
      </c>
      <c r="E20" s="7"/>
      <c r="F20" s="7"/>
      <c r="G20" s="120"/>
      <c r="H20" s="120"/>
      <c r="I20" s="132"/>
      <c r="J20" s="132"/>
      <c r="K20" s="115"/>
      <c r="L20" s="115"/>
      <c r="M20" s="8"/>
      <c r="N20" s="8" t="str">
        <f t="shared" si="2"/>
        <v>-</v>
      </c>
      <c r="O20" s="127"/>
      <c r="P20" s="127"/>
      <c r="Q20" s="127"/>
      <c r="R20" s="126"/>
      <c r="S20" s="127"/>
      <c r="T20" s="8"/>
      <c r="U20" s="158"/>
      <c r="V20" s="7" t="s">
        <v>651</v>
      </c>
      <c r="W20" s="7"/>
      <c r="X20" s="146" t="s">
        <v>653</v>
      </c>
      <c r="Y20" s="7" t="s">
        <v>699</v>
      </c>
      <c r="Z20" s="7"/>
      <c r="AA20" s="7" t="str">
        <f>IFERROR((VLOOKUP(F20,#REF!,2,FALSE)),"-")</f>
        <v>-</v>
      </c>
      <c r="AB20" s="119" t="e">
        <f>CONCATENATE(F20," - ",I20," - ",#REF!,)</f>
        <v>#REF!</v>
      </c>
    </row>
    <row r="21" spans="1:28" s="116" customFormat="1" ht="15">
      <c r="A21" s="114"/>
      <c r="B21" s="120"/>
      <c r="C21" s="129" t="str">
        <f t="shared" si="0"/>
        <v>week-0</v>
      </c>
      <c r="D21" s="120" t="str">
        <f t="shared" si="1"/>
        <v>Jan</v>
      </c>
      <c r="E21" s="7" t="s">
        <v>7</v>
      </c>
      <c r="F21" s="7"/>
      <c r="G21" s="120"/>
      <c r="H21" s="120"/>
      <c r="I21" s="132"/>
      <c r="J21" s="132"/>
      <c r="K21" s="115"/>
      <c r="L21" s="115"/>
      <c r="M21" s="8"/>
      <c r="N21" s="8" t="str">
        <f t="shared" si="2"/>
        <v>-</v>
      </c>
      <c r="O21" s="127"/>
      <c r="P21" s="127"/>
      <c r="Q21" s="127"/>
      <c r="R21" s="126"/>
      <c r="S21" s="127"/>
      <c r="T21" s="8"/>
      <c r="U21" s="158"/>
      <c r="V21" s="7" t="s">
        <v>651</v>
      </c>
      <c r="W21" s="7" t="s">
        <v>657</v>
      </c>
      <c r="X21" s="146" t="s">
        <v>712</v>
      </c>
      <c r="Y21" s="7" t="s">
        <v>699</v>
      </c>
      <c r="Z21" s="7"/>
      <c r="AA21" s="7" t="str">
        <f>IFERROR((VLOOKUP(F21,#REF!,2,FALSE)),"-")</f>
        <v>-</v>
      </c>
      <c r="AB21" s="119" t="e">
        <f>CONCATENATE(F21," - ",I21," - ",#REF!,)</f>
        <v>#REF!</v>
      </c>
    </row>
    <row r="22" spans="1:28" s="116" customFormat="1" ht="15">
      <c r="A22" s="114"/>
      <c r="B22" s="120"/>
      <c r="C22" s="129" t="str">
        <f t="shared" si="0"/>
        <v>week-0</v>
      </c>
      <c r="D22" s="120" t="str">
        <f t="shared" si="1"/>
        <v>Jan</v>
      </c>
      <c r="E22" s="7"/>
      <c r="F22" s="7"/>
      <c r="G22" s="120"/>
      <c r="H22" s="120"/>
      <c r="I22" s="132"/>
      <c r="J22" s="132"/>
      <c r="K22" s="115"/>
      <c r="L22" s="115"/>
      <c r="M22" s="8"/>
      <c r="N22" s="8" t="str">
        <f t="shared" si="2"/>
        <v>-</v>
      </c>
      <c r="O22" s="127"/>
      <c r="P22" s="127"/>
      <c r="Q22" s="127"/>
      <c r="R22" s="127"/>
      <c r="S22" s="127"/>
      <c r="T22" s="8"/>
      <c r="U22" s="158"/>
      <c r="V22" s="7" t="s">
        <v>651</v>
      </c>
      <c r="W22" s="7" t="s">
        <v>657</v>
      </c>
      <c r="X22" s="146" t="s">
        <v>711</v>
      </c>
      <c r="Y22" s="7" t="s">
        <v>713</v>
      </c>
      <c r="Z22" s="7"/>
      <c r="AA22" s="7" t="str">
        <f>IFERROR((VLOOKUP(F22,#REF!,2,FALSE)),"-")</f>
        <v>-</v>
      </c>
      <c r="AB22" s="119" t="e">
        <f>CONCATENATE(F22," - ",I22," - ",#REF!,)</f>
        <v>#REF!</v>
      </c>
    </row>
    <row r="23" spans="1:28" s="116" customFormat="1" ht="15">
      <c r="A23" s="114"/>
      <c r="B23" s="120"/>
      <c r="C23" s="129" t="str">
        <f t="shared" si="0"/>
        <v>week-0</v>
      </c>
      <c r="D23" s="120" t="str">
        <f t="shared" si="1"/>
        <v>Jan</v>
      </c>
      <c r="E23" s="7"/>
      <c r="F23" s="7"/>
      <c r="G23" s="120"/>
      <c r="H23" s="120"/>
      <c r="I23" s="132"/>
      <c r="J23" s="132"/>
      <c r="K23" s="115"/>
      <c r="L23" s="115"/>
      <c r="M23" s="8"/>
      <c r="N23" s="8" t="str">
        <f t="shared" si="2"/>
        <v>-</v>
      </c>
      <c r="O23" s="127"/>
      <c r="P23" s="127"/>
      <c r="Q23" s="127"/>
      <c r="R23" s="127"/>
      <c r="S23" s="127"/>
      <c r="T23" s="139"/>
      <c r="U23" s="158"/>
      <c r="V23" s="7"/>
      <c r="W23" s="7"/>
      <c r="X23" s="146"/>
      <c r="Y23" s="7"/>
      <c r="Z23" s="7"/>
      <c r="AA23" s="7" t="str">
        <f>IFERROR((VLOOKUP(F23,#REF!,2,FALSE)),"-")</f>
        <v>-</v>
      </c>
      <c r="AB23" s="119" t="e">
        <f>CONCATENATE(F23," - ",I23," - ",#REF!,)</f>
        <v>#REF!</v>
      </c>
    </row>
    <row r="24" spans="1:28" s="116" customFormat="1" ht="15">
      <c r="A24" s="114"/>
      <c r="B24" s="120"/>
      <c r="C24" s="129" t="str">
        <f t="shared" si="0"/>
        <v>week-0</v>
      </c>
      <c r="D24" s="120" t="str">
        <f t="shared" si="1"/>
        <v>Jan</v>
      </c>
      <c r="E24" s="7"/>
      <c r="F24" s="7"/>
      <c r="G24" s="120"/>
      <c r="H24" s="120"/>
      <c r="I24" s="132"/>
      <c r="J24" s="132"/>
      <c r="K24" s="115"/>
      <c r="L24" s="115"/>
      <c r="M24" s="8"/>
      <c r="N24" s="8" t="str">
        <f t="shared" si="2"/>
        <v>-</v>
      </c>
      <c r="O24" s="127"/>
      <c r="P24" s="127"/>
      <c r="Q24" s="127"/>
      <c r="R24" s="126"/>
      <c r="S24" s="127"/>
      <c r="T24" s="8"/>
      <c r="U24" s="158"/>
      <c r="V24" s="7" t="s">
        <v>651</v>
      </c>
      <c r="W24" s="7" t="s">
        <v>653</v>
      </c>
      <c r="X24" s="146" t="s">
        <v>714</v>
      </c>
      <c r="Y24" s="7" t="s">
        <v>713</v>
      </c>
      <c r="Z24" s="7"/>
      <c r="AA24" s="7" t="str">
        <f>IFERROR((VLOOKUP(F24,#REF!,2,FALSE)),"-")</f>
        <v>-</v>
      </c>
      <c r="AB24" s="119" t="e">
        <f>CONCATENATE(F24," - ",I24," - ",#REF!,)</f>
        <v>#REF!</v>
      </c>
    </row>
    <row r="25" spans="1:28" s="116" customFormat="1" ht="15">
      <c r="A25" s="114"/>
      <c r="B25" s="120"/>
      <c r="C25" s="129" t="str">
        <f t="shared" si="0"/>
        <v>week-0</v>
      </c>
      <c r="D25" s="120" t="str">
        <f t="shared" si="1"/>
        <v>Jan</v>
      </c>
      <c r="E25" s="7"/>
      <c r="F25" s="7"/>
      <c r="G25" s="120"/>
      <c r="H25" s="120"/>
      <c r="I25" s="132"/>
      <c r="J25" s="132"/>
      <c r="K25" s="115"/>
      <c r="L25" s="115"/>
      <c r="M25" s="8"/>
      <c r="N25" s="8" t="str">
        <f t="shared" si="2"/>
        <v>-</v>
      </c>
      <c r="O25" s="127"/>
      <c r="P25" s="127"/>
      <c r="Q25" s="127"/>
      <c r="R25" s="126"/>
      <c r="S25" s="127"/>
      <c r="T25" s="8"/>
      <c r="U25" s="158"/>
      <c r="V25" s="7" t="s">
        <v>651</v>
      </c>
      <c r="W25" s="7" t="s">
        <v>657</v>
      </c>
      <c r="X25" s="7" t="s">
        <v>653</v>
      </c>
      <c r="Y25" s="7" t="s">
        <v>713</v>
      </c>
      <c r="Z25" s="7"/>
      <c r="AA25" s="7" t="str">
        <f>IFERROR((VLOOKUP(F25,#REF!,2,FALSE)),"-")</f>
        <v>-</v>
      </c>
      <c r="AB25" s="119" t="e">
        <f>CONCATENATE(F25," - ",I25," - ",#REF!,)</f>
        <v>#REF!</v>
      </c>
    </row>
    <row r="26" spans="1:28" s="116" customFormat="1" ht="15">
      <c r="A26" s="114"/>
      <c r="B26" s="120"/>
      <c r="C26" s="129" t="str">
        <f t="shared" si="0"/>
        <v>week-0</v>
      </c>
      <c r="D26" s="120" t="str">
        <f t="shared" si="1"/>
        <v>Jan</v>
      </c>
      <c r="E26" s="7"/>
      <c r="F26" s="7"/>
      <c r="G26" s="120"/>
      <c r="H26" s="120"/>
      <c r="I26" s="132"/>
      <c r="J26" s="132"/>
      <c r="K26" s="115"/>
      <c r="L26" s="115"/>
      <c r="M26" s="8"/>
      <c r="N26" s="8" t="str">
        <f t="shared" si="2"/>
        <v>-</v>
      </c>
      <c r="O26" s="127"/>
      <c r="P26" s="127"/>
      <c r="Q26" s="127"/>
      <c r="R26" s="126"/>
      <c r="S26" s="127"/>
      <c r="T26" s="8"/>
      <c r="U26" s="158"/>
      <c r="V26" s="7" t="s">
        <v>651</v>
      </c>
      <c r="W26" s="7"/>
      <c r="X26" s="146" t="s">
        <v>655</v>
      </c>
      <c r="Y26" s="7" t="s">
        <v>713</v>
      </c>
      <c r="Z26" s="7"/>
      <c r="AA26" s="7" t="str">
        <f>IFERROR((VLOOKUP(F26,#REF!,2,FALSE)),"-")</f>
        <v>-</v>
      </c>
      <c r="AB26" s="119" t="e">
        <f>CONCATENATE(F26," - ",I26," - ",#REF!,)</f>
        <v>#REF!</v>
      </c>
    </row>
    <row r="27" spans="1:28" s="116" customFormat="1" ht="15">
      <c r="A27" s="114"/>
      <c r="B27" s="120"/>
      <c r="C27" s="129" t="str">
        <f t="shared" si="0"/>
        <v>week-0</v>
      </c>
      <c r="D27" s="120" t="str">
        <f t="shared" si="1"/>
        <v>Jan</v>
      </c>
      <c r="E27" s="7"/>
      <c r="F27" s="7"/>
      <c r="G27" s="120"/>
      <c r="H27" s="120"/>
      <c r="I27" s="132"/>
      <c r="J27" s="132"/>
      <c r="K27" s="115"/>
      <c r="L27" s="115"/>
      <c r="M27" s="8"/>
      <c r="N27" s="8" t="str">
        <f t="shared" si="2"/>
        <v>-</v>
      </c>
      <c r="O27" s="127"/>
      <c r="P27" s="127"/>
      <c r="Q27" s="127"/>
      <c r="R27" s="126"/>
      <c r="S27" s="127"/>
      <c r="T27" s="8"/>
      <c r="U27" s="158"/>
      <c r="V27" s="7" t="s">
        <v>647</v>
      </c>
      <c r="W27" s="116" t="s">
        <v>656</v>
      </c>
      <c r="X27" s="7" t="s">
        <v>716</v>
      </c>
      <c r="Y27" s="7" t="s">
        <v>715</v>
      </c>
      <c r="Z27" s="7"/>
      <c r="AA27" s="7" t="str">
        <f>IFERROR((VLOOKUP(F27,#REF!,2,FALSE)),"-")</f>
        <v>-</v>
      </c>
      <c r="AB27" s="119" t="e">
        <f>CONCATENATE(F27," - ",I27," - ",#REF!,)</f>
        <v>#REF!</v>
      </c>
    </row>
    <row r="28" spans="1:28" s="116" customFormat="1" ht="15">
      <c r="A28" s="114"/>
      <c r="B28" s="120"/>
      <c r="C28" s="129" t="str">
        <f t="shared" si="0"/>
        <v>week-0</v>
      </c>
      <c r="D28" s="120" t="str">
        <f t="shared" si="1"/>
        <v>Jan</v>
      </c>
      <c r="E28" s="7"/>
      <c r="F28" s="7"/>
      <c r="G28" s="120"/>
      <c r="H28" s="120"/>
      <c r="I28" s="132"/>
      <c r="J28" s="132"/>
      <c r="K28" s="115"/>
      <c r="L28" s="115"/>
      <c r="M28" s="8"/>
      <c r="N28" s="8" t="str">
        <f t="shared" si="2"/>
        <v>-</v>
      </c>
      <c r="O28" s="127"/>
      <c r="P28" s="127"/>
      <c r="Q28" s="127"/>
      <c r="R28" s="126"/>
      <c r="S28" s="127"/>
      <c r="T28" s="8"/>
      <c r="U28" s="158"/>
      <c r="V28" s="7" t="s">
        <v>647</v>
      </c>
      <c r="W28" s="7" t="s">
        <v>716</v>
      </c>
      <c r="X28" s="146" t="s">
        <v>717</v>
      </c>
      <c r="Y28" s="7" t="s">
        <v>715</v>
      </c>
      <c r="Z28" s="7"/>
      <c r="AA28" s="7" t="str">
        <f>IFERROR((VLOOKUP(F28,#REF!,2,FALSE)),"-")</f>
        <v>-</v>
      </c>
      <c r="AB28" s="119" t="e">
        <f>CONCATENATE(F28," - ",I28," - ",#REF!,)</f>
        <v>#REF!</v>
      </c>
    </row>
    <row r="29" spans="1:28" s="116" customFormat="1" ht="32.25" customHeight="1">
      <c r="A29" s="114"/>
      <c r="B29" s="120"/>
      <c r="C29" s="129" t="str">
        <f t="shared" si="0"/>
        <v>week-0</v>
      </c>
      <c r="D29" s="120" t="str">
        <f t="shared" si="1"/>
        <v>Jan</v>
      </c>
      <c r="E29" s="7"/>
      <c r="F29" s="7"/>
      <c r="G29" s="120"/>
      <c r="H29" s="120"/>
      <c r="I29" s="132"/>
      <c r="J29" s="132"/>
      <c r="K29" s="115"/>
      <c r="L29" s="115"/>
      <c r="M29" s="8"/>
      <c r="N29" s="8" t="str">
        <f t="shared" si="2"/>
        <v>-</v>
      </c>
      <c r="O29" s="127"/>
      <c r="P29" s="127"/>
      <c r="Q29" s="127"/>
      <c r="R29" s="126"/>
      <c r="S29" s="127"/>
      <c r="T29" s="8"/>
      <c r="U29" s="158"/>
      <c r="V29" s="7" t="s">
        <v>647</v>
      </c>
      <c r="W29" s="7" t="s">
        <v>694</v>
      </c>
      <c r="X29" s="146" t="s">
        <v>687</v>
      </c>
      <c r="Y29" s="7" t="s">
        <v>715</v>
      </c>
      <c r="Z29" s="7"/>
      <c r="AA29" s="7" t="str">
        <f>IFERROR((VLOOKUP(F29,#REF!,2,FALSE)),"-")</f>
        <v>-</v>
      </c>
      <c r="AB29" s="119" t="e">
        <f>CONCATENATE(F29," - ",I29," - ",#REF!,)</f>
        <v>#REF!</v>
      </c>
    </row>
    <row r="30" spans="1:28" s="116" customFormat="1" ht="15">
      <c r="A30" s="114"/>
      <c r="B30" s="120"/>
      <c r="C30" s="129" t="str">
        <f t="shared" si="0"/>
        <v>week-0</v>
      </c>
      <c r="D30" s="120" t="str">
        <f t="shared" si="1"/>
        <v>Jan</v>
      </c>
      <c r="E30" s="7"/>
      <c r="F30" s="7"/>
      <c r="G30" s="120"/>
      <c r="H30" s="120"/>
      <c r="I30" s="132"/>
      <c r="J30" s="132"/>
      <c r="K30" s="115"/>
      <c r="L30" s="115"/>
      <c r="M30" s="8"/>
      <c r="N30" s="8" t="str">
        <f t="shared" si="2"/>
        <v>-</v>
      </c>
      <c r="O30" s="127"/>
      <c r="P30" s="127"/>
      <c r="Q30" s="127"/>
      <c r="R30" s="126"/>
      <c r="S30" s="127"/>
      <c r="T30" s="8"/>
      <c r="U30" s="158"/>
      <c r="V30" s="7" t="s">
        <v>647</v>
      </c>
      <c r="W30" s="7"/>
      <c r="X30" s="146" t="s">
        <v>702</v>
      </c>
      <c r="Y30" s="7" t="s">
        <v>715</v>
      </c>
      <c r="Z30" s="7"/>
      <c r="AA30" s="7" t="str">
        <f>IFERROR((VLOOKUP(F30,#REF!,2,FALSE)),"-")</f>
        <v>-</v>
      </c>
      <c r="AB30" s="119" t="e">
        <f>CONCATENATE(F30," - ",I30," - ",#REF!,)</f>
        <v>#REF!</v>
      </c>
    </row>
    <row r="31" spans="1:28" s="116" customFormat="1" ht="45">
      <c r="A31" s="114"/>
      <c r="B31" s="120"/>
      <c r="C31" s="129" t="str">
        <f t="shared" si="0"/>
        <v>week-0</v>
      </c>
      <c r="D31" s="120" t="str">
        <f t="shared" si="1"/>
        <v>Jan</v>
      </c>
      <c r="E31" s="7"/>
      <c r="F31" s="7"/>
      <c r="G31" s="120"/>
      <c r="H31" s="120"/>
      <c r="I31" s="132"/>
      <c r="J31" s="132"/>
      <c r="K31" s="115"/>
      <c r="L31" s="115"/>
      <c r="M31" s="8"/>
      <c r="N31" s="8" t="str">
        <f t="shared" si="2"/>
        <v>-</v>
      </c>
      <c r="O31" s="127"/>
      <c r="P31" s="127"/>
      <c r="Q31" s="127"/>
      <c r="R31" s="126"/>
      <c r="S31" s="127"/>
      <c r="T31" s="8"/>
      <c r="U31" s="158"/>
      <c r="V31" s="7" t="s">
        <v>647</v>
      </c>
      <c r="W31" s="7" t="s">
        <v>694</v>
      </c>
      <c r="X31" s="146" t="s">
        <v>718</v>
      </c>
      <c r="Y31" s="7" t="s">
        <v>715</v>
      </c>
      <c r="Z31" s="7"/>
      <c r="AA31" s="7" t="str">
        <f>IFERROR((VLOOKUP(F31,#REF!,2,FALSE)),"-")</f>
        <v>-</v>
      </c>
      <c r="AB31" s="119" t="e">
        <f>CONCATENATE(F31," - ",I31," - ",#REF!,)</f>
        <v>#REF!</v>
      </c>
    </row>
    <row r="32" spans="1:28" s="116" customFormat="1" ht="15">
      <c r="A32" s="114"/>
      <c r="B32" s="120"/>
      <c r="C32" s="129" t="str">
        <f t="shared" si="0"/>
        <v>week-0</v>
      </c>
      <c r="D32" s="120" t="str">
        <f t="shared" si="1"/>
        <v>Jan</v>
      </c>
      <c r="E32" s="7"/>
      <c r="F32" s="7"/>
      <c r="G32" s="120"/>
      <c r="H32" s="120"/>
      <c r="I32" s="132"/>
      <c r="J32" s="132"/>
      <c r="K32" s="115"/>
      <c r="L32" s="115"/>
      <c r="M32" s="8"/>
      <c r="N32" s="8" t="str">
        <f t="shared" si="2"/>
        <v>-</v>
      </c>
      <c r="O32" s="127"/>
      <c r="P32" s="127"/>
      <c r="Q32" s="127"/>
      <c r="R32" s="126"/>
      <c r="S32" s="127"/>
      <c r="T32" s="8"/>
      <c r="U32" s="158"/>
      <c r="V32" s="7" t="s">
        <v>647</v>
      </c>
      <c r="W32" s="7" t="s">
        <v>719</v>
      </c>
      <c r="X32" s="146" t="s">
        <v>720</v>
      </c>
      <c r="Y32" s="7" t="s">
        <v>715</v>
      </c>
      <c r="Z32" s="7"/>
      <c r="AA32" s="7" t="str">
        <f>IFERROR((VLOOKUP(F32,#REF!,2,FALSE)),"-")</f>
        <v>-</v>
      </c>
      <c r="AB32" s="119" t="e">
        <f>CONCATENATE(F32," - ",I32," - ",#REF!,)</f>
        <v>#REF!</v>
      </c>
    </row>
    <row r="33" spans="1:28" s="116" customFormat="1" ht="15">
      <c r="A33" s="114"/>
      <c r="B33" s="120"/>
      <c r="C33" s="129" t="str">
        <f t="shared" si="0"/>
        <v>week-0</v>
      </c>
      <c r="D33" s="120" t="str">
        <f t="shared" si="1"/>
        <v>Jan</v>
      </c>
      <c r="E33" s="7"/>
      <c r="F33" s="7"/>
      <c r="G33" s="120"/>
      <c r="H33" s="120"/>
      <c r="I33" s="132"/>
      <c r="J33" s="132"/>
      <c r="K33" s="115"/>
      <c r="L33" s="115"/>
      <c r="M33" s="8"/>
      <c r="N33" s="8" t="str">
        <f t="shared" si="2"/>
        <v>-</v>
      </c>
      <c r="O33" s="127"/>
      <c r="P33" s="127"/>
      <c r="Q33" s="127"/>
      <c r="R33" s="126"/>
      <c r="S33" s="127"/>
      <c r="T33" s="8"/>
      <c r="U33" s="158"/>
      <c r="V33" s="7" t="s">
        <v>647</v>
      </c>
      <c r="W33" s="7" t="s">
        <v>683</v>
      </c>
      <c r="X33" s="146" t="s">
        <v>673</v>
      </c>
      <c r="Y33" s="7" t="s">
        <v>715</v>
      </c>
      <c r="Z33" s="7"/>
      <c r="AA33" s="7" t="str">
        <f>IFERROR((VLOOKUP(F33,#REF!,2,FALSE)),"-")</f>
        <v>-</v>
      </c>
      <c r="AB33" s="119" t="e">
        <f>CONCATENATE(F33," - ",I33," - ",#REF!,)</f>
        <v>#REF!</v>
      </c>
    </row>
    <row r="34" spans="1:28" s="116" customFormat="1" ht="15">
      <c r="A34" s="114"/>
      <c r="B34" s="120"/>
      <c r="C34" s="129" t="str">
        <f t="shared" si="0"/>
        <v>week-0</v>
      </c>
      <c r="D34" s="120" t="str">
        <f t="shared" si="1"/>
        <v>Jan</v>
      </c>
      <c r="E34" s="7"/>
      <c r="F34" s="7"/>
      <c r="G34" s="120"/>
      <c r="H34" s="120"/>
      <c r="I34" s="132"/>
      <c r="J34" s="132"/>
      <c r="K34" s="115"/>
      <c r="L34" s="115"/>
      <c r="M34" s="172"/>
      <c r="N34" s="8" t="str">
        <f t="shared" si="2"/>
        <v>-</v>
      </c>
      <c r="O34" s="173"/>
      <c r="P34" s="173"/>
      <c r="Q34" s="173"/>
      <c r="R34" s="173"/>
      <c r="S34" s="174"/>
      <c r="T34" s="172"/>
      <c r="U34" s="163"/>
      <c r="V34" s="7" t="s">
        <v>647</v>
      </c>
      <c r="W34" s="7" t="s">
        <v>716</v>
      </c>
      <c r="X34" s="157" t="s">
        <v>673</v>
      </c>
      <c r="Y34" s="7" t="s">
        <v>715</v>
      </c>
      <c r="Z34" s="7"/>
      <c r="AA34" s="7" t="str">
        <f>IFERROR((VLOOKUP(F34,#REF!,2,FALSE)),"-")</f>
        <v>-</v>
      </c>
      <c r="AB34" s="119" t="e">
        <f>CONCATENATE(F34," - ",I34," - ",#REF!,)</f>
        <v>#REF!</v>
      </c>
    </row>
    <row r="35" spans="1:28" s="116" customFormat="1" ht="15">
      <c r="A35" s="114"/>
      <c r="B35" s="120"/>
      <c r="C35" s="129" t="str">
        <f t="shared" si="0"/>
        <v>week-0</v>
      </c>
      <c r="D35" s="120" t="str">
        <f t="shared" si="1"/>
        <v>Jan</v>
      </c>
      <c r="E35" s="7"/>
      <c r="F35" s="7"/>
      <c r="G35" s="120"/>
      <c r="H35" s="120"/>
      <c r="I35" s="132"/>
      <c r="J35" s="132"/>
      <c r="K35" s="115"/>
      <c r="L35" s="115"/>
      <c r="M35" s="8"/>
      <c r="N35" s="8" t="str">
        <f t="shared" si="2"/>
        <v>-</v>
      </c>
      <c r="O35" s="127"/>
      <c r="P35" s="127"/>
      <c r="Q35" s="127"/>
      <c r="R35" s="126"/>
      <c r="S35" s="145"/>
      <c r="T35" s="8"/>
      <c r="U35" s="158"/>
      <c r="V35" s="7" t="s">
        <v>647</v>
      </c>
      <c r="W35" s="7"/>
      <c r="X35" s="146" t="s">
        <v>654</v>
      </c>
      <c r="Y35" s="7" t="s">
        <v>715</v>
      </c>
      <c r="Z35" s="7"/>
      <c r="AA35" s="7" t="str">
        <f>IFERROR((VLOOKUP(F35,#REF!,2,FALSE)),"-")</f>
        <v>-</v>
      </c>
      <c r="AB35" s="119" t="e">
        <f>CONCATENATE(F35," - ",I35," - ",#REF!,)</f>
        <v>#REF!</v>
      </c>
    </row>
    <row r="36" spans="1:28" s="116" customFormat="1" ht="15">
      <c r="A36" s="114"/>
      <c r="B36" s="120"/>
      <c r="C36" s="129" t="str">
        <f t="shared" si="0"/>
        <v>week-0</v>
      </c>
      <c r="D36" s="120" t="str">
        <f t="shared" si="1"/>
        <v>Jan</v>
      </c>
      <c r="E36" s="7"/>
      <c r="F36" s="7"/>
      <c r="G36" s="120"/>
      <c r="H36" s="120"/>
      <c r="I36" s="132"/>
      <c r="J36" s="132"/>
      <c r="K36" s="115"/>
      <c r="L36" s="115"/>
      <c r="M36" s="8"/>
      <c r="N36" s="8" t="str">
        <f t="shared" si="2"/>
        <v>-</v>
      </c>
      <c r="O36" s="127"/>
      <c r="P36" s="127"/>
      <c r="Q36" s="127"/>
      <c r="R36" s="126"/>
      <c r="S36" s="127"/>
      <c r="T36" s="8"/>
      <c r="U36" s="158"/>
      <c r="V36" s="7" t="s">
        <v>647</v>
      </c>
      <c r="W36" s="7" t="s">
        <v>694</v>
      </c>
      <c r="X36" s="146" t="s">
        <v>702</v>
      </c>
      <c r="Y36" s="7" t="s">
        <v>715</v>
      </c>
      <c r="Z36" s="7"/>
      <c r="AA36" s="7" t="str">
        <f>IFERROR((VLOOKUP(F36,#REF!,2,FALSE)),"-")</f>
        <v>-</v>
      </c>
      <c r="AB36" s="119" t="e">
        <f>CONCATENATE(F36," - ",I36," - ",#REF!,)</f>
        <v>#REF!</v>
      </c>
    </row>
    <row r="37" spans="1:28" s="116" customFormat="1" ht="15">
      <c r="A37" s="114"/>
      <c r="B37" s="120"/>
      <c r="C37" s="129" t="str">
        <f t="shared" si="0"/>
        <v>week-0</v>
      </c>
      <c r="D37" s="120" t="str">
        <f t="shared" si="1"/>
        <v>Jan</v>
      </c>
      <c r="E37" s="7"/>
      <c r="F37" s="7"/>
      <c r="G37" s="120"/>
      <c r="H37" s="120"/>
      <c r="I37" s="132"/>
      <c r="J37" s="132"/>
      <c r="K37" s="115"/>
      <c r="L37" s="115"/>
      <c r="M37" s="8"/>
      <c r="N37" s="8" t="str">
        <f t="shared" si="2"/>
        <v>-</v>
      </c>
      <c r="O37" s="127"/>
      <c r="P37" s="127"/>
      <c r="Q37" s="127"/>
      <c r="R37" s="127"/>
      <c r="S37" s="127"/>
      <c r="T37" s="8"/>
      <c r="U37" s="158"/>
      <c r="V37" s="7" t="s">
        <v>647</v>
      </c>
      <c r="W37" s="7"/>
      <c r="X37" s="146"/>
      <c r="Y37" s="7"/>
      <c r="Z37" s="7"/>
      <c r="AA37" s="7" t="str">
        <f>IFERROR((VLOOKUP(F37,#REF!,2,FALSE)),"-")</f>
        <v>-</v>
      </c>
      <c r="AB37" s="119" t="e">
        <f>CONCATENATE(F37," - ",I37," - ",#REF!,)</f>
        <v>#REF!</v>
      </c>
    </row>
    <row r="38" spans="1:28" s="116" customFormat="1" ht="15">
      <c r="A38" s="114"/>
      <c r="B38" s="120"/>
      <c r="C38" s="129" t="str">
        <f t="shared" si="0"/>
        <v>week-0</v>
      </c>
      <c r="D38" s="120" t="str">
        <f t="shared" si="1"/>
        <v>Jan</v>
      </c>
      <c r="E38" s="7"/>
      <c r="F38" s="7"/>
      <c r="G38" s="120"/>
      <c r="H38" s="120"/>
      <c r="I38" s="132"/>
      <c r="J38" s="132"/>
      <c r="K38" s="115"/>
      <c r="L38" s="115"/>
      <c r="M38" s="8"/>
      <c r="N38" s="8" t="str">
        <f t="shared" si="2"/>
        <v>-</v>
      </c>
      <c r="O38" s="127"/>
      <c r="P38" s="127"/>
      <c r="Q38" s="127"/>
      <c r="R38" s="127"/>
      <c r="S38" s="127"/>
      <c r="T38" s="139"/>
      <c r="U38" s="158"/>
      <c r="V38" s="7" t="s">
        <v>647</v>
      </c>
      <c r="W38" s="7"/>
      <c r="X38" s="146" t="s">
        <v>648</v>
      </c>
      <c r="Y38" s="7" t="s">
        <v>662</v>
      </c>
      <c r="Z38" s="7"/>
      <c r="AA38" s="7" t="str">
        <f>IFERROR((VLOOKUP(F38,#REF!,2,FALSE)),"-")</f>
        <v>-</v>
      </c>
      <c r="AB38" s="119" t="e">
        <f>CONCATENATE(F38," - ",I38," - ",#REF!,)</f>
        <v>#REF!</v>
      </c>
    </row>
    <row r="39" spans="1:28" s="116" customFormat="1" ht="15" customHeight="1">
      <c r="A39" s="114"/>
      <c r="B39" s="120"/>
      <c r="C39" s="129" t="str">
        <f t="shared" si="0"/>
        <v>week-0</v>
      </c>
      <c r="D39" s="120" t="str">
        <f t="shared" si="1"/>
        <v>Jan</v>
      </c>
      <c r="E39" s="7"/>
      <c r="F39" s="7"/>
      <c r="G39" s="120"/>
      <c r="H39" s="120"/>
      <c r="I39" s="132"/>
      <c r="J39" s="132"/>
      <c r="K39" s="115"/>
      <c r="L39" s="115"/>
      <c r="M39" s="8"/>
      <c r="N39" s="8" t="str">
        <f t="shared" si="2"/>
        <v>-</v>
      </c>
      <c r="O39" s="127"/>
      <c r="P39" s="127"/>
      <c r="Q39" s="127"/>
      <c r="R39" s="126"/>
      <c r="S39" s="127"/>
      <c r="T39" s="139"/>
      <c r="U39" s="158"/>
      <c r="V39" s="7"/>
      <c r="W39" s="7"/>
      <c r="X39" s="146" t="s">
        <v>650</v>
      </c>
      <c r="Y39" s="7" t="s">
        <v>662</v>
      </c>
      <c r="Z39" s="7"/>
      <c r="AA39" s="7" t="str">
        <f>IFERROR((VLOOKUP(F39,#REF!,2,FALSE)),"-")</f>
        <v>-</v>
      </c>
      <c r="AB39" s="119" t="e">
        <f>CONCATENATE(F39," - ",I39," - ",#REF!,)</f>
        <v>#REF!</v>
      </c>
    </row>
    <row r="40" spans="1:28" s="116" customFormat="1" ht="15">
      <c r="A40" s="114"/>
      <c r="B40" s="120"/>
      <c r="C40" s="129" t="str">
        <f t="shared" si="0"/>
        <v>week-0</v>
      </c>
      <c r="D40" s="120" t="str">
        <f t="shared" si="1"/>
        <v>Jan</v>
      </c>
      <c r="E40" s="7"/>
      <c r="F40" s="7"/>
      <c r="G40" s="120"/>
      <c r="H40" s="120"/>
      <c r="I40" s="132"/>
      <c r="J40" s="132"/>
      <c r="K40" s="115"/>
      <c r="L40" s="115"/>
      <c r="M40" s="8"/>
      <c r="N40" s="8" t="str">
        <f t="shared" si="2"/>
        <v>-</v>
      </c>
      <c r="O40" s="127"/>
      <c r="P40" s="127"/>
      <c r="Q40" s="127"/>
      <c r="R40" s="126"/>
      <c r="S40" s="127"/>
      <c r="T40" s="8"/>
      <c r="U40" s="158"/>
      <c r="V40" s="7" t="s">
        <v>647</v>
      </c>
      <c r="W40" s="7"/>
      <c r="X40" s="146" t="s">
        <v>649</v>
      </c>
      <c r="Y40" s="7" t="s">
        <v>662</v>
      </c>
      <c r="Z40" s="7"/>
      <c r="AA40" s="7" t="str">
        <f>IFERROR((VLOOKUP(F40,#REF!,2,FALSE)),"-")</f>
        <v>-</v>
      </c>
      <c r="AB40" s="119" t="e">
        <f>CONCATENATE(F40," - ",I40," - ",#REF!,)</f>
        <v>#REF!</v>
      </c>
    </row>
    <row r="41" spans="1:28" s="116" customFormat="1" ht="15" customHeight="1">
      <c r="A41" s="114"/>
      <c r="B41" s="120"/>
      <c r="C41" s="129" t="str">
        <f t="shared" si="0"/>
        <v>week-0</v>
      </c>
      <c r="D41" s="120" t="str">
        <f t="shared" si="1"/>
        <v>Jan</v>
      </c>
      <c r="E41" s="7"/>
      <c r="F41" s="7"/>
      <c r="G41" s="120"/>
      <c r="H41" s="120"/>
      <c r="I41" s="132"/>
      <c r="J41" s="132"/>
      <c r="K41" s="115"/>
      <c r="L41" s="115"/>
      <c r="M41" s="8"/>
      <c r="N41" s="8" t="str">
        <f t="shared" si="2"/>
        <v>-</v>
      </c>
      <c r="O41" s="127"/>
      <c r="P41" s="127"/>
      <c r="Q41" s="127"/>
      <c r="R41" s="127"/>
      <c r="S41" s="127"/>
      <c r="T41" s="139"/>
      <c r="U41" s="158"/>
      <c r="V41" s="7" t="s">
        <v>651</v>
      </c>
      <c r="W41" s="7"/>
      <c r="X41" s="146" t="s">
        <v>652</v>
      </c>
      <c r="Y41" s="7" t="s">
        <v>662</v>
      </c>
      <c r="Z41" s="7"/>
      <c r="AA41" s="7" t="str">
        <f>IFERROR((VLOOKUP(F41,#REF!,2,FALSE)),"-")</f>
        <v>-</v>
      </c>
      <c r="AB41" s="119" t="e">
        <f>CONCATENATE(F41," - ",I41," - ",#REF!,)</f>
        <v>#REF!</v>
      </c>
    </row>
    <row r="42" spans="1:28" s="116" customFormat="1" ht="47.25" customHeight="1">
      <c r="A42" s="114"/>
      <c r="B42" s="120"/>
      <c r="C42" s="129" t="str">
        <f t="shared" si="0"/>
        <v>week-0</v>
      </c>
      <c r="D42" s="120" t="str">
        <f t="shared" si="1"/>
        <v>Jan</v>
      </c>
      <c r="E42" s="7"/>
      <c r="F42" s="7"/>
      <c r="G42" s="120"/>
      <c r="H42" s="120"/>
      <c r="I42" s="132"/>
      <c r="J42" s="132"/>
      <c r="K42" s="115"/>
      <c r="L42" s="115"/>
      <c r="M42" s="8"/>
      <c r="N42" s="8" t="str">
        <f t="shared" si="2"/>
        <v>-</v>
      </c>
      <c r="O42" s="127"/>
      <c r="P42" s="127"/>
      <c r="Q42" s="127"/>
      <c r="R42" s="127"/>
      <c r="S42" s="127"/>
      <c r="T42" s="139"/>
      <c r="U42" s="158"/>
      <c r="V42" s="7" t="s">
        <v>651</v>
      </c>
      <c r="W42" s="7"/>
      <c r="X42" s="146" t="s">
        <v>653</v>
      </c>
      <c r="Y42" s="7" t="s">
        <v>662</v>
      </c>
      <c r="Z42" s="7"/>
      <c r="AA42" s="7" t="str">
        <f>IFERROR((VLOOKUP(F42,#REF!,2,FALSE)),"-")</f>
        <v>-</v>
      </c>
      <c r="AB42" s="119" t="e">
        <f>CONCATENATE(F42," - ",I42," - ",#REF!,)</f>
        <v>#REF!</v>
      </c>
    </row>
    <row r="43" spans="1:28" s="116" customFormat="1" ht="80.25" customHeight="1">
      <c r="A43" s="114"/>
      <c r="B43" s="120"/>
      <c r="C43" s="129" t="str">
        <f t="shared" si="0"/>
        <v>week-0</v>
      </c>
      <c r="D43" s="120" t="str">
        <f t="shared" si="1"/>
        <v>Jan</v>
      </c>
      <c r="E43" s="7"/>
      <c r="F43" s="7"/>
      <c r="G43" s="120"/>
      <c r="H43" s="120"/>
      <c r="I43" s="132"/>
      <c r="J43" s="132"/>
      <c r="K43" s="115"/>
      <c r="L43" s="115"/>
      <c r="M43" s="8"/>
      <c r="N43" s="8" t="str">
        <f t="shared" si="2"/>
        <v>-</v>
      </c>
      <c r="O43" s="127"/>
      <c r="P43" s="127"/>
      <c r="Q43" s="127"/>
      <c r="R43" s="126"/>
      <c r="S43" s="127"/>
      <c r="T43" s="139"/>
      <c r="U43" s="158"/>
      <c r="V43" s="7" t="s">
        <v>651</v>
      </c>
      <c r="W43" s="7"/>
      <c r="X43" s="146" t="s">
        <v>654</v>
      </c>
      <c r="Y43" s="7" t="s">
        <v>662</v>
      </c>
      <c r="Z43" s="7"/>
      <c r="AA43" s="7" t="str">
        <f>IFERROR((VLOOKUP(F43,#REF!,2,FALSE)),"-")</f>
        <v>-</v>
      </c>
      <c r="AB43" s="119" t="e">
        <f>CONCATENATE(F43," - ",I43," - ",#REF!,)</f>
        <v>#REF!</v>
      </c>
    </row>
    <row r="44" spans="1:28" s="116" customFormat="1" ht="15">
      <c r="A44" s="114"/>
      <c r="B44" s="120"/>
      <c r="C44" s="129" t="str">
        <f t="shared" si="0"/>
        <v>week-0</v>
      </c>
      <c r="D44" s="120" t="str">
        <f t="shared" si="1"/>
        <v>Jan</v>
      </c>
      <c r="E44" s="7"/>
      <c r="F44" s="7"/>
      <c r="G44" s="120"/>
      <c r="H44" s="120"/>
      <c r="I44" s="132"/>
      <c r="J44" s="132"/>
      <c r="K44" s="115"/>
      <c r="L44" s="115"/>
      <c r="M44" s="8"/>
      <c r="N44" s="8" t="str">
        <f t="shared" si="2"/>
        <v>-</v>
      </c>
      <c r="O44" s="127"/>
      <c r="P44" s="127"/>
      <c r="Q44" s="127"/>
      <c r="R44" s="126"/>
      <c r="S44" s="127"/>
      <c r="T44" s="8"/>
      <c r="U44" s="158"/>
      <c r="V44" s="7" t="s">
        <v>651</v>
      </c>
      <c r="W44" s="7"/>
      <c r="X44" s="146" t="s">
        <v>655</v>
      </c>
      <c r="Y44" s="7" t="s">
        <v>662</v>
      </c>
      <c r="Z44" s="7"/>
      <c r="AA44" s="7" t="str">
        <f>IFERROR((VLOOKUP(F44,#REF!,2,FALSE)),"-")</f>
        <v>-</v>
      </c>
      <c r="AB44" s="119" t="e">
        <f>CONCATENATE(F44," - ",I44," - ",#REF!,)</f>
        <v>#REF!</v>
      </c>
    </row>
    <row r="45" spans="1:28" s="116" customFormat="1" ht="48.75" customHeight="1">
      <c r="A45" s="114"/>
      <c r="B45" s="120"/>
      <c r="C45" s="129" t="str">
        <f t="shared" si="0"/>
        <v>week-0</v>
      </c>
      <c r="D45" s="120" t="str">
        <f t="shared" si="1"/>
        <v>Jan</v>
      </c>
      <c r="E45" s="7"/>
      <c r="F45" s="7"/>
      <c r="G45" s="120"/>
      <c r="H45" s="120"/>
      <c r="I45" s="132"/>
      <c r="J45" s="132"/>
      <c r="K45" s="115"/>
      <c r="L45" s="115"/>
      <c r="M45" s="8"/>
      <c r="N45" s="8" t="str">
        <f t="shared" si="2"/>
        <v>-</v>
      </c>
      <c r="O45" s="127"/>
      <c r="P45" s="127"/>
      <c r="Q45" s="127"/>
      <c r="R45" s="127"/>
      <c r="S45" s="127"/>
      <c r="T45" s="139"/>
      <c r="U45" s="158"/>
      <c r="V45" s="7" t="s">
        <v>647</v>
      </c>
      <c r="W45" s="7" t="s">
        <v>656</v>
      </c>
      <c r="X45" s="146" t="s">
        <v>653</v>
      </c>
      <c r="Y45" s="7" t="s">
        <v>662</v>
      </c>
      <c r="Z45" s="7" t="s">
        <v>660</v>
      </c>
      <c r="AA45" s="7" t="str">
        <f>IFERROR((VLOOKUP(F45,#REF!,2,FALSE)),"-")</f>
        <v>-</v>
      </c>
      <c r="AB45" s="119" t="e">
        <f>CONCATENATE(F45," - ",I45," - ",#REF!,)</f>
        <v>#REF!</v>
      </c>
    </row>
    <row r="46" spans="1:28" s="116" customFormat="1" ht="15">
      <c r="A46" s="114"/>
      <c r="B46" s="120"/>
      <c r="C46" s="129" t="str">
        <f t="shared" si="0"/>
        <v>week-0</v>
      </c>
      <c r="D46" s="120" t="str">
        <f t="shared" si="1"/>
        <v>Jan</v>
      </c>
      <c r="E46" s="7"/>
      <c r="F46" s="7"/>
      <c r="G46" s="120"/>
      <c r="H46" s="120"/>
      <c r="I46" s="132"/>
      <c r="J46" s="132"/>
      <c r="K46" s="115"/>
      <c r="L46" s="115"/>
      <c r="M46" s="8"/>
      <c r="N46" s="8" t="str">
        <f t="shared" si="2"/>
        <v>-</v>
      </c>
      <c r="O46" s="127"/>
      <c r="P46" s="127"/>
      <c r="Q46" s="127"/>
      <c r="R46" s="126"/>
      <c r="S46" s="127"/>
      <c r="T46" s="8"/>
      <c r="U46" s="158"/>
      <c r="V46" s="7" t="s">
        <v>647</v>
      </c>
      <c r="W46" s="7"/>
      <c r="X46" s="146" t="s">
        <v>654</v>
      </c>
      <c r="Y46" s="7" t="s">
        <v>662</v>
      </c>
      <c r="Z46" s="7"/>
      <c r="AA46" s="7" t="str">
        <f>IFERROR((VLOOKUP(F46,#REF!,2,FALSE)),"-")</f>
        <v>-</v>
      </c>
      <c r="AB46" s="119" t="e">
        <f>CONCATENATE(F46," - ",I46," - ",#REF!,)</f>
        <v>#REF!</v>
      </c>
    </row>
    <row r="47" spans="1:28" s="116" customFormat="1" ht="15">
      <c r="A47" s="114"/>
      <c r="B47" s="120"/>
      <c r="C47" s="129" t="str">
        <f t="shared" si="0"/>
        <v>week-0</v>
      </c>
      <c r="D47" s="120" t="str">
        <f t="shared" si="1"/>
        <v>Jan</v>
      </c>
      <c r="E47" s="7"/>
      <c r="F47" s="7"/>
      <c r="G47" s="120"/>
      <c r="H47" s="120"/>
      <c r="I47" s="132"/>
      <c r="J47" s="132"/>
      <c r="K47" s="115"/>
      <c r="L47" s="115"/>
      <c r="M47" s="8"/>
      <c r="N47" s="8" t="str">
        <f t="shared" si="2"/>
        <v>-</v>
      </c>
      <c r="O47" s="127"/>
      <c r="P47" s="127"/>
      <c r="Q47" s="127"/>
      <c r="R47" s="127"/>
      <c r="S47" s="127"/>
      <c r="T47" s="8"/>
      <c r="U47" s="158"/>
      <c r="V47" s="7" t="s">
        <v>647</v>
      </c>
      <c r="W47" s="7"/>
      <c r="X47" s="146" t="s">
        <v>657</v>
      </c>
      <c r="Y47" s="7" t="s">
        <v>662</v>
      </c>
      <c r="Z47" s="7"/>
      <c r="AA47" s="7" t="str">
        <f>IFERROR((VLOOKUP(F47,#REF!,2,FALSE)),"-")</f>
        <v>-</v>
      </c>
      <c r="AB47" s="119" t="e">
        <f>CONCATENATE(F47," - ",I47," - ",#REF!,)</f>
        <v>#REF!</v>
      </c>
    </row>
    <row r="48" spans="1:28" s="116" customFormat="1" ht="15">
      <c r="A48" s="114"/>
      <c r="B48" s="120"/>
      <c r="C48" s="129" t="str">
        <f t="shared" si="0"/>
        <v>week-0</v>
      </c>
      <c r="D48" s="120" t="str">
        <f t="shared" si="1"/>
        <v>Jan</v>
      </c>
      <c r="E48" s="7"/>
      <c r="F48" s="7"/>
      <c r="G48" s="120"/>
      <c r="H48" s="120"/>
      <c r="I48" s="132"/>
      <c r="J48" s="132"/>
      <c r="K48" s="115"/>
      <c r="L48" s="115"/>
      <c r="M48" s="8"/>
      <c r="N48" s="8" t="str">
        <f t="shared" si="2"/>
        <v>-</v>
      </c>
      <c r="O48" s="127"/>
      <c r="P48" s="127"/>
      <c r="Q48" s="127"/>
      <c r="R48" s="126"/>
      <c r="S48" s="127"/>
      <c r="T48" s="8"/>
      <c r="U48" s="158"/>
      <c r="V48" s="7" t="s">
        <v>647</v>
      </c>
      <c r="W48" s="7"/>
      <c r="X48" s="146" t="s">
        <v>658</v>
      </c>
      <c r="Y48" s="7" t="s">
        <v>662</v>
      </c>
      <c r="Z48" s="7"/>
      <c r="AA48" s="7" t="str">
        <f>IFERROR((VLOOKUP(F48,#REF!,2,FALSE)),"-")</f>
        <v>-</v>
      </c>
      <c r="AB48" s="119" t="e">
        <f>CONCATENATE(F48," - ",I48," - ",#REF!,)</f>
        <v>#REF!</v>
      </c>
    </row>
    <row r="49" spans="1:28" s="116" customFormat="1" ht="15">
      <c r="A49" s="114"/>
      <c r="B49" s="120"/>
      <c r="C49" s="129" t="str">
        <f t="shared" si="0"/>
        <v>week-0</v>
      </c>
      <c r="D49" s="120" t="str">
        <f t="shared" si="1"/>
        <v>Jan</v>
      </c>
      <c r="E49" s="7"/>
      <c r="F49" s="7"/>
      <c r="G49" s="120"/>
      <c r="H49" s="120"/>
      <c r="I49" s="132"/>
      <c r="J49" s="132"/>
      <c r="K49" s="115"/>
      <c r="L49" s="115"/>
      <c r="M49" s="8"/>
      <c r="N49" s="8" t="str">
        <f t="shared" si="2"/>
        <v>-</v>
      </c>
      <c r="O49" s="127"/>
      <c r="P49" s="127"/>
      <c r="Q49" s="127"/>
      <c r="R49" s="126"/>
      <c r="S49" s="127"/>
      <c r="T49" s="8"/>
      <c r="U49" s="158"/>
      <c r="V49" s="7" t="s">
        <v>647</v>
      </c>
      <c r="W49" s="7"/>
      <c r="X49" s="146" t="s">
        <v>659</v>
      </c>
      <c r="Y49" s="7" t="s">
        <v>662</v>
      </c>
      <c r="Z49" s="7"/>
      <c r="AA49" s="7" t="str">
        <f>IFERROR((VLOOKUP(F49,#REF!,2,FALSE)),"-")</f>
        <v>-</v>
      </c>
      <c r="AB49" s="119" t="e">
        <f>CONCATENATE(F49," - ",I49," - ",#REF!,)</f>
        <v>#REF!</v>
      </c>
    </row>
    <row r="50" spans="1:28" s="116" customFormat="1" ht="15">
      <c r="A50" s="114"/>
      <c r="B50" s="120"/>
      <c r="C50" s="129" t="str">
        <f t="shared" si="0"/>
        <v>week-0</v>
      </c>
      <c r="D50" s="120" t="str">
        <f t="shared" si="1"/>
        <v>Jan</v>
      </c>
      <c r="E50" s="7"/>
      <c r="F50" s="7"/>
      <c r="G50" s="120"/>
      <c r="H50" s="120"/>
      <c r="I50" s="132"/>
      <c r="J50" s="132"/>
      <c r="K50" s="115"/>
      <c r="L50" s="115"/>
      <c r="M50" s="8"/>
      <c r="N50" s="8" t="str">
        <f t="shared" si="2"/>
        <v>-</v>
      </c>
      <c r="O50" s="127"/>
      <c r="P50" s="127"/>
      <c r="Q50" s="127"/>
      <c r="R50" s="126"/>
      <c r="S50" s="127"/>
      <c r="T50" s="8"/>
      <c r="U50" s="158"/>
      <c r="V50" s="7" t="s">
        <v>647</v>
      </c>
      <c r="W50" s="7"/>
      <c r="X50" s="146" t="s">
        <v>661</v>
      </c>
      <c r="Y50" s="7" t="s">
        <v>662</v>
      </c>
      <c r="Z50" s="7"/>
      <c r="AA50" s="7" t="str">
        <f>IFERROR((VLOOKUP(F50,#REF!,2,FALSE)),"-")</f>
        <v>-</v>
      </c>
      <c r="AB50" s="119" t="e">
        <f>CONCATENATE(F50," - ",I50," - ",#REF!,)</f>
        <v>#REF!</v>
      </c>
    </row>
    <row r="51" spans="1:28" s="116" customFormat="1" ht="15">
      <c r="A51" s="114"/>
      <c r="B51" s="120"/>
      <c r="C51" s="129" t="str">
        <f t="shared" si="0"/>
        <v>week-0</v>
      </c>
      <c r="D51" s="120" t="str">
        <f t="shared" si="1"/>
        <v>Jan</v>
      </c>
      <c r="E51" s="7"/>
      <c r="F51" s="7"/>
      <c r="G51" s="120"/>
      <c r="H51" s="120"/>
      <c r="I51" s="132"/>
      <c r="J51" s="132"/>
      <c r="K51" s="115"/>
      <c r="L51" s="115"/>
      <c r="M51" s="8"/>
      <c r="N51" s="8" t="str">
        <f t="shared" si="2"/>
        <v>-</v>
      </c>
      <c r="O51" s="127"/>
      <c r="P51" s="127"/>
      <c r="Q51" s="127"/>
      <c r="R51" s="126"/>
      <c r="S51" s="127"/>
      <c r="T51" s="8"/>
      <c r="U51" s="158"/>
      <c r="V51" s="7" t="s">
        <v>647</v>
      </c>
      <c r="W51" s="7"/>
      <c r="X51" s="146" t="s">
        <v>663</v>
      </c>
      <c r="Y51" s="7" t="s">
        <v>662</v>
      </c>
      <c r="Z51" s="7"/>
      <c r="AA51" s="7" t="str">
        <f>IFERROR((VLOOKUP(F51,#REF!,2,FALSE)),"-")</f>
        <v>-</v>
      </c>
      <c r="AB51" s="119" t="e">
        <f>CONCATENATE(F51," - ",I51," - ",#REF!,)</f>
        <v>#REF!</v>
      </c>
    </row>
    <row r="52" spans="1:28" s="116" customFormat="1" ht="15">
      <c r="A52" s="114"/>
      <c r="B52" s="120"/>
      <c r="C52" s="129" t="str">
        <f t="shared" si="0"/>
        <v>week-0</v>
      </c>
      <c r="D52" s="120" t="str">
        <f t="shared" si="1"/>
        <v>Jan</v>
      </c>
      <c r="E52" s="7"/>
      <c r="F52" s="7"/>
      <c r="G52" s="120"/>
      <c r="H52" s="120"/>
      <c r="I52" s="132"/>
      <c r="J52" s="132"/>
      <c r="K52" s="115"/>
      <c r="L52" s="115"/>
      <c r="M52" s="8"/>
      <c r="N52" s="8" t="str">
        <f t="shared" si="2"/>
        <v>-</v>
      </c>
      <c r="O52" s="127"/>
      <c r="P52" s="127"/>
      <c r="Q52" s="127"/>
      <c r="R52" s="126"/>
      <c r="S52" s="127"/>
      <c r="T52" s="8"/>
      <c r="U52" s="158"/>
      <c r="V52" s="7" t="s">
        <v>647</v>
      </c>
      <c r="W52" s="7"/>
      <c r="X52" s="146" t="s">
        <v>661</v>
      </c>
      <c r="Y52" s="7" t="s">
        <v>662</v>
      </c>
      <c r="Z52" s="7"/>
      <c r="AA52" s="7" t="str">
        <f>IFERROR((VLOOKUP(F52,#REF!,2,FALSE)),"-")</f>
        <v>-</v>
      </c>
      <c r="AB52" s="119" t="e">
        <f>CONCATENATE(F52," - ",I52," - ",#REF!,)</f>
        <v>#REF!</v>
      </c>
    </row>
    <row r="53" spans="1:28" s="116" customFormat="1" ht="15">
      <c r="A53" s="114"/>
      <c r="B53" s="120"/>
      <c r="C53" s="129" t="str">
        <f t="shared" si="0"/>
        <v>week-0</v>
      </c>
      <c r="D53" s="120" t="str">
        <f t="shared" si="1"/>
        <v>Jan</v>
      </c>
      <c r="E53" s="7"/>
      <c r="F53" s="7"/>
      <c r="G53" s="120"/>
      <c r="H53" s="120"/>
      <c r="I53" s="132"/>
      <c r="J53" s="132"/>
      <c r="K53" s="115"/>
      <c r="L53" s="115"/>
      <c r="M53" s="8"/>
      <c r="N53" s="8" t="str">
        <f t="shared" si="2"/>
        <v>-</v>
      </c>
      <c r="O53" s="127"/>
      <c r="P53" s="127"/>
      <c r="Q53" s="127"/>
      <c r="R53" s="126"/>
      <c r="S53" s="127"/>
      <c r="T53" s="8"/>
      <c r="U53" s="158"/>
      <c r="V53" s="7" t="s">
        <v>647</v>
      </c>
      <c r="W53" s="7"/>
      <c r="X53" s="146" t="s">
        <v>661</v>
      </c>
      <c r="Y53" s="7" t="s">
        <v>662</v>
      </c>
      <c r="Z53" s="7"/>
      <c r="AA53" s="7" t="str">
        <f>IFERROR((VLOOKUP(F53,#REF!,2,FALSE)),"-")</f>
        <v>-</v>
      </c>
      <c r="AB53" s="119" t="e">
        <f>CONCATENATE(F53," - ",I53," - ",#REF!,)</f>
        <v>#REF!</v>
      </c>
    </row>
    <row r="54" spans="1:28" s="116" customFormat="1" ht="15">
      <c r="A54" s="114"/>
      <c r="B54" s="120"/>
      <c r="C54" s="129" t="str">
        <f t="shared" si="0"/>
        <v>week-0</v>
      </c>
      <c r="D54" s="120" t="str">
        <f t="shared" si="1"/>
        <v>Jan</v>
      </c>
      <c r="E54" s="7"/>
      <c r="F54" s="7"/>
      <c r="G54" s="120"/>
      <c r="H54" s="120"/>
      <c r="I54" s="132"/>
      <c r="J54" s="132"/>
      <c r="K54" s="115"/>
      <c r="L54" s="115"/>
      <c r="M54" s="8"/>
      <c r="N54" s="8" t="str">
        <f t="shared" si="2"/>
        <v>-</v>
      </c>
      <c r="O54" s="127"/>
      <c r="P54" s="127"/>
      <c r="Q54" s="127"/>
      <c r="R54" s="126"/>
      <c r="S54" s="127"/>
      <c r="T54" s="8"/>
      <c r="U54" s="158"/>
      <c r="V54" s="7" t="s">
        <v>647</v>
      </c>
      <c r="W54" s="7"/>
      <c r="X54" s="146" t="s">
        <v>663</v>
      </c>
      <c r="Y54" s="7" t="s">
        <v>662</v>
      </c>
      <c r="Z54" s="7"/>
      <c r="AA54" s="7" t="str">
        <f>IFERROR((VLOOKUP(F54,#REF!,2,FALSE)),"-")</f>
        <v>-</v>
      </c>
      <c r="AB54" s="119" t="e">
        <f>CONCATENATE(F54," - ",I54," - ",#REF!,)</f>
        <v>#REF!</v>
      </c>
    </row>
    <row r="55" spans="1:28" s="116" customFormat="1" ht="30">
      <c r="A55" s="114"/>
      <c r="B55" s="120"/>
      <c r="C55" s="129" t="str">
        <f t="shared" si="0"/>
        <v>week-0</v>
      </c>
      <c r="D55" s="120" t="str">
        <f t="shared" si="1"/>
        <v>Jan</v>
      </c>
      <c r="E55" s="7"/>
      <c r="F55" s="7"/>
      <c r="G55" s="120"/>
      <c r="H55" s="120"/>
      <c r="I55" s="132"/>
      <c r="J55" s="132"/>
      <c r="K55" s="115"/>
      <c r="L55" s="115"/>
      <c r="M55" s="8"/>
      <c r="N55" s="8" t="str">
        <f t="shared" si="2"/>
        <v>-</v>
      </c>
      <c r="O55" s="127"/>
      <c r="P55" s="127"/>
      <c r="Q55" s="127"/>
      <c r="R55" s="126"/>
      <c r="S55" s="127"/>
      <c r="T55" s="8"/>
      <c r="U55" s="158"/>
      <c r="V55" s="140" t="s">
        <v>664</v>
      </c>
      <c r="W55" s="7" t="s">
        <v>665</v>
      </c>
      <c r="X55" s="146" t="s">
        <v>663</v>
      </c>
      <c r="Y55" s="7" t="s">
        <v>662</v>
      </c>
      <c r="Z55" s="7"/>
      <c r="AA55" s="7" t="str">
        <f>IFERROR((VLOOKUP(F55,#REF!,2,FALSE)),"-")</f>
        <v>-</v>
      </c>
      <c r="AB55" s="119" t="e">
        <f>CONCATENATE(F55," - ",I55," - ",#REF!,)</f>
        <v>#REF!</v>
      </c>
    </row>
    <row r="56" spans="1:28" s="116" customFormat="1" ht="30">
      <c r="A56" s="114"/>
      <c r="B56" s="120"/>
      <c r="C56" s="129" t="str">
        <f t="shared" si="0"/>
        <v>week-0</v>
      </c>
      <c r="D56" s="120" t="str">
        <f t="shared" si="1"/>
        <v>Jan</v>
      </c>
      <c r="E56" s="7"/>
      <c r="F56" s="7"/>
      <c r="G56" s="120"/>
      <c r="H56" s="120"/>
      <c r="I56" s="132"/>
      <c r="J56" s="132"/>
      <c r="K56" s="115"/>
      <c r="L56" s="115"/>
      <c r="M56" s="8"/>
      <c r="N56" s="8" t="str">
        <f t="shared" si="2"/>
        <v>-</v>
      </c>
      <c r="O56" s="127"/>
      <c r="P56" s="127"/>
      <c r="Q56" s="127"/>
      <c r="R56" s="126"/>
      <c r="S56" s="127"/>
      <c r="T56" s="8"/>
      <c r="U56" s="158"/>
      <c r="V56" s="143" t="s">
        <v>664</v>
      </c>
      <c r="W56" s="7"/>
      <c r="X56" s="146"/>
      <c r="Y56" s="7"/>
      <c r="Z56" s="7"/>
      <c r="AA56" s="7" t="str">
        <f>IFERROR((VLOOKUP(F56,#REF!,2,FALSE)),"-")</f>
        <v>-</v>
      </c>
      <c r="AB56" s="119" t="e">
        <f>CONCATENATE(F56," - ",I56," - ",#REF!,)</f>
        <v>#REF!</v>
      </c>
    </row>
    <row r="57" spans="1:28" s="116" customFormat="1" ht="15">
      <c r="A57" s="114"/>
      <c r="B57" s="120"/>
      <c r="C57" s="129" t="str">
        <f t="shared" si="0"/>
        <v>week-0</v>
      </c>
      <c r="D57" s="120" t="str">
        <f t="shared" si="1"/>
        <v>Jan</v>
      </c>
      <c r="E57" s="7"/>
      <c r="F57" s="7"/>
      <c r="G57" s="120"/>
      <c r="H57" s="120"/>
      <c r="I57" s="132"/>
      <c r="J57" s="132"/>
      <c r="K57" s="115"/>
      <c r="L57" s="115"/>
      <c r="M57" s="8"/>
      <c r="N57" s="8" t="str">
        <f t="shared" si="2"/>
        <v>-</v>
      </c>
      <c r="O57" s="127"/>
      <c r="P57" s="139"/>
      <c r="Q57" s="139"/>
      <c r="R57" s="126"/>
      <c r="S57" s="139"/>
      <c r="T57" s="8"/>
      <c r="U57" s="158"/>
      <c r="V57" s="7"/>
      <c r="W57" s="7"/>
      <c r="X57" s="146"/>
      <c r="Y57" s="7"/>
      <c r="Z57" s="7"/>
      <c r="AA57" s="7" t="str">
        <f>IFERROR((VLOOKUP(F57,#REF!,2,FALSE)),"-")</f>
        <v>-</v>
      </c>
      <c r="AB57" s="119" t="e">
        <f>CONCATENATE(F57," - ",I57," - ",#REF!,)</f>
        <v>#REF!</v>
      </c>
    </row>
    <row r="58" spans="1:28" s="116" customFormat="1" ht="15">
      <c r="A58" s="114"/>
      <c r="B58" s="120"/>
      <c r="C58" s="129" t="str">
        <f t="shared" si="0"/>
        <v>week-0</v>
      </c>
      <c r="D58" s="120" t="str">
        <f t="shared" si="1"/>
        <v>Jan</v>
      </c>
      <c r="E58" s="7"/>
      <c r="F58" s="7"/>
      <c r="G58" s="120"/>
      <c r="H58" s="120"/>
      <c r="I58" s="132"/>
      <c r="J58" s="132"/>
      <c r="K58" s="115"/>
      <c r="L58" s="115"/>
      <c r="M58" s="8"/>
      <c r="N58" s="8" t="str">
        <f t="shared" si="2"/>
        <v>-</v>
      </c>
      <c r="O58" s="127"/>
      <c r="P58" s="127"/>
      <c r="Q58" s="127"/>
      <c r="R58" s="127"/>
      <c r="S58" s="127"/>
      <c r="T58" s="139"/>
      <c r="U58" s="168"/>
      <c r="V58" s="7"/>
      <c r="W58" s="7"/>
      <c r="X58" s="146" t="s">
        <v>665</v>
      </c>
      <c r="Y58" s="7"/>
      <c r="Z58" s="7"/>
      <c r="AA58" s="7" t="str">
        <f>IFERROR((VLOOKUP(F58,#REF!,2,FALSE)),"-")</f>
        <v>-</v>
      </c>
      <c r="AB58" s="119" t="e">
        <f>CONCATENATE(F58," - ",I58," - ",#REF!,)</f>
        <v>#REF!</v>
      </c>
    </row>
    <row r="59" spans="1:28" s="116" customFormat="1" ht="15">
      <c r="A59" s="114"/>
      <c r="B59" s="120"/>
      <c r="C59" s="129" t="str">
        <f t="shared" si="0"/>
        <v>week-0</v>
      </c>
      <c r="D59" s="120" t="str">
        <f t="shared" si="1"/>
        <v>Jan</v>
      </c>
      <c r="E59" s="7"/>
      <c r="F59" s="7"/>
      <c r="G59" s="120"/>
      <c r="H59" s="120"/>
      <c r="I59" s="132"/>
      <c r="J59" s="132"/>
      <c r="K59" s="115"/>
      <c r="L59" s="115"/>
      <c r="M59" s="8"/>
      <c r="N59" s="8" t="str">
        <f t="shared" si="2"/>
        <v>-</v>
      </c>
      <c r="O59" s="127"/>
      <c r="P59" s="127"/>
      <c r="Q59" s="127"/>
      <c r="R59" s="127"/>
      <c r="S59" s="127"/>
      <c r="T59" s="139"/>
      <c r="U59" s="168"/>
      <c r="V59" s="7"/>
      <c r="W59" s="7"/>
      <c r="X59" s="146" t="s">
        <v>658</v>
      </c>
      <c r="Y59" s="7"/>
      <c r="Z59" s="7"/>
      <c r="AA59" s="7" t="str">
        <f>IFERROR((VLOOKUP(F59,#REF!,2,FALSE)),"-")</f>
        <v>-</v>
      </c>
      <c r="AB59" s="119" t="e">
        <f>CONCATENATE(F59," - ",I59," - ",#REF!,)</f>
        <v>#REF!</v>
      </c>
    </row>
    <row r="60" spans="1:28" s="116" customFormat="1" ht="15">
      <c r="A60" s="114"/>
      <c r="B60" s="120"/>
      <c r="C60" s="129" t="str">
        <f t="shared" si="0"/>
        <v>week-0</v>
      </c>
      <c r="D60" s="120" t="str">
        <f t="shared" si="1"/>
        <v>Jan</v>
      </c>
      <c r="E60" s="7"/>
      <c r="F60" s="7"/>
      <c r="G60" s="120"/>
      <c r="H60" s="120"/>
      <c r="I60" s="132"/>
      <c r="J60" s="132"/>
      <c r="K60" s="115"/>
      <c r="L60" s="115"/>
      <c r="M60" s="8"/>
      <c r="N60" s="8" t="str">
        <f t="shared" si="2"/>
        <v>-</v>
      </c>
      <c r="O60" s="127"/>
      <c r="P60" s="127"/>
      <c r="Q60" s="127"/>
      <c r="R60" s="127"/>
      <c r="S60" s="127"/>
      <c r="T60" s="139"/>
      <c r="U60" s="168"/>
      <c r="V60" s="7"/>
      <c r="W60" s="7"/>
      <c r="X60" s="146" t="s">
        <v>668</v>
      </c>
      <c r="Y60" s="7"/>
      <c r="Z60" s="7"/>
      <c r="AA60" s="7" t="str">
        <f>IFERROR((VLOOKUP(F60,#REF!,2,FALSE)),"-")</f>
        <v>-</v>
      </c>
      <c r="AB60" s="119" t="e">
        <f>CONCATENATE(F60," - ",I60," - ",#REF!,)</f>
        <v>#REF!</v>
      </c>
    </row>
    <row r="61" spans="1:28" s="116" customFormat="1" ht="15">
      <c r="A61" s="114"/>
      <c r="B61" s="120"/>
      <c r="C61" s="129" t="str">
        <f t="shared" si="0"/>
        <v>week-0</v>
      </c>
      <c r="D61" s="120" t="str">
        <f t="shared" si="1"/>
        <v>Jan</v>
      </c>
      <c r="E61" s="7"/>
      <c r="F61" s="7"/>
      <c r="G61" s="120"/>
      <c r="H61" s="120"/>
      <c r="I61" s="132"/>
      <c r="J61" s="132"/>
      <c r="K61" s="115"/>
      <c r="L61" s="115"/>
      <c r="M61" s="8"/>
      <c r="N61" s="8" t="str">
        <f t="shared" si="2"/>
        <v>-</v>
      </c>
      <c r="O61" s="127"/>
      <c r="P61" s="127"/>
      <c r="Q61" s="127"/>
      <c r="R61" s="127"/>
      <c r="S61" s="127"/>
      <c r="T61" s="139"/>
      <c r="U61" s="168"/>
      <c r="V61" s="7"/>
      <c r="W61" s="7"/>
      <c r="X61" s="146" t="s">
        <v>668</v>
      </c>
      <c r="Y61" s="7"/>
      <c r="Z61" s="7"/>
      <c r="AA61" s="7" t="str">
        <f>IFERROR((VLOOKUP(F61,#REF!,2,FALSE)),"-")</f>
        <v>-</v>
      </c>
      <c r="AB61" s="119" t="e">
        <f>CONCATENATE(F61," - ",I61," - ",#REF!,)</f>
        <v>#REF!</v>
      </c>
    </row>
    <row r="62" spans="1:28" s="116" customFormat="1" ht="15">
      <c r="A62" s="114"/>
      <c r="B62" s="120"/>
      <c r="C62" s="129" t="str">
        <f t="shared" si="0"/>
        <v>week-0</v>
      </c>
      <c r="D62" s="120" t="str">
        <f t="shared" si="1"/>
        <v>Jan</v>
      </c>
      <c r="E62" s="7"/>
      <c r="F62" s="7"/>
      <c r="G62" s="120"/>
      <c r="H62" s="120"/>
      <c r="I62" s="132"/>
      <c r="J62" s="132"/>
      <c r="K62" s="115"/>
      <c r="L62" s="115"/>
      <c r="M62" s="8"/>
      <c r="N62" s="8" t="str">
        <f t="shared" si="2"/>
        <v>-</v>
      </c>
      <c r="O62" s="127"/>
      <c r="P62" s="127"/>
      <c r="Q62" s="127"/>
      <c r="R62" s="127"/>
      <c r="S62" s="127"/>
      <c r="T62" s="139"/>
      <c r="U62" s="168"/>
      <c r="V62" s="7"/>
      <c r="W62" s="7"/>
      <c r="X62" s="146" t="s">
        <v>669</v>
      </c>
      <c r="Y62" s="7"/>
      <c r="Z62" s="7"/>
      <c r="AA62" s="7" t="str">
        <f>IFERROR((VLOOKUP(F62,#REF!,2,FALSE)),"-")</f>
        <v>-</v>
      </c>
      <c r="AB62" s="119" t="e">
        <f>CONCATENATE(F62," - ",I62," - ",#REF!,)</f>
        <v>#REF!</v>
      </c>
    </row>
    <row r="63" spans="1:28" s="116" customFormat="1" ht="15">
      <c r="A63" s="114"/>
      <c r="B63" s="120"/>
      <c r="C63" s="129" t="str">
        <f t="shared" si="0"/>
        <v>week-0</v>
      </c>
      <c r="D63" s="120" t="str">
        <f t="shared" si="1"/>
        <v>Jan</v>
      </c>
      <c r="E63" s="7"/>
      <c r="F63" s="7"/>
      <c r="G63" s="120"/>
      <c r="H63" s="120"/>
      <c r="I63" s="132"/>
      <c r="J63" s="132"/>
      <c r="K63" s="115"/>
      <c r="L63" s="115"/>
      <c r="M63" s="8"/>
      <c r="N63" s="8" t="str">
        <f t="shared" si="2"/>
        <v>-</v>
      </c>
      <c r="O63" s="127"/>
      <c r="P63" s="127"/>
      <c r="Q63" s="127"/>
      <c r="R63" s="127"/>
      <c r="S63" s="127"/>
      <c r="T63" s="139"/>
      <c r="U63" s="168"/>
      <c r="V63" s="7"/>
      <c r="W63" s="7"/>
      <c r="X63" s="146" t="s">
        <v>670</v>
      </c>
      <c r="Y63" s="7"/>
      <c r="Z63" s="7"/>
      <c r="AA63" s="7" t="str">
        <f>IFERROR((VLOOKUP(F63,#REF!,2,FALSE)),"-")</f>
        <v>-</v>
      </c>
      <c r="AB63" s="119" t="e">
        <f>CONCATENATE(F63," - ",I63," - ",#REF!,)</f>
        <v>#REF!</v>
      </c>
    </row>
    <row r="64" spans="1:28" s="116" customFormat="1" ht="15">
      <c r="A64" s="114"/>
      <c r="B64" s="120"/>
      <c r="C64" s="129" t="str">
        <f t="shared" si="0"/>
        <v>week-0</v>
      </c>
      <c r="D64" s="120" t="str">
        <f t="shared" si="1"/>
        <v>Jan</v>
      </c>
      <c r="E64" s="7"/>
      <c r="F64" s="7"/>
      <c r="G64" s="120"/>
      <c r="H64" s="120"/>
      <c r="I64" s="132"/>
      <c r="J64" s="132"/>
      <c r="K64" s="115"/>
      <c r="L64" s="115"/>
      <c r="M64" s="8"/>
      <c r="N64" s="8" t="str">
        <f t="shared" si="2"/>
        <v>-</v>
      </c>
      <c r="O64" s="127"/>
      <c r="P64" s="127"/>
      <c r="Q64" s="127"/>
      <c r="R64" s="127"/>
      <c r="S64" s="127"/>
      <c r="T64" s="139"/>
      <c r="U64" s="168"/>
      <c r="V64" s="7"/>
      <c r="W64" s="7"/>
      <c r="X64" s="146" t="s">
        <v>665</v>
      </c>
      <c r="Y64" s="7"/>
      <c r="Z64" s="7"/>
      <c r="AA64" s="7" t="str">
        <f>IFERROR((VLOOKUP(F64,#REF!,2,FALSE)),"-")</f>
        <v>-</v>
      </c>
      <c r="AB64" s="119" t="e">
        <f>CONCATENATE(F64," - ",I64," - ",#REF!,)</f>
        <v>#REF!</v>
      </c>
    </row>
    <row r="65" spans="1:28" s="116" customFormat="1" ht="15">
      <c r="A65" s="114"/>
      <c r="B65" s="120"/>
      <c r="C65" s="129" t="str">
        <f t="shared" si="0"/>
        <v>week-0</v>
      </c>
      <c r="D65" s="120" t="str">
        <f t="shared" si="1"/>
        <v>Jan</v>
      </c>
      <c r="E65" s="7"/>
      <c r="F65" s="7"/>
      <c r="G65" s="120"/>
      <c r="H65" s="120"/>
      <c r="I65" s="132"/>
      <c r="J65" s="132"/>
      <c r="K65" s="115"/>
      <c r="L65" s="115"/>
      <c r="M65" s="8"/>
      <c r="N65" s="8" t="str">
        <f t="shared" si="2"/>
        <v>-</v>
      </c>
      <c r="O65" s="127"/>
      <c r="P65" s="127"/>
      <c r="Q65" s="127"/>
      <c r="R65" s="127"/>
      <c r="S65" s="127"/>
      <c r="T65" s="139"/>
      <c r="U65" s="168"/>
      <c r="V65" s="7"/>
      <c r="W65" s="7"/>
      <c r="X65" s="146" t="s">
        <v>665</v>
      </c>
      <c r="Y65" s="7"/>
      <c r="Z65" s="7"/>
      <c r="AA65" s="7" t="str">
        <f>IFERROR((VLOOKUP(F65,#REF!,2,FALSE)),"-")</f>
        <v>-</v>
      </c>
      <c r="AB65" s="119" t="e">
        <f>CONCATENATE(F65," - ",I65," - ",#REF!,)</f>
        <v>#REF!</v>
      </c>
    </row>
    <row r="66" spans="1:28" s="116" customFormat="1" ht="30">
      <c r="A66" s="114"/>
      <c r="B66" s="120"/>
      <c r="C66" s="129" t="str">
        <f t="shared" si="0"/>
        <v>week-0</v>
      </c>
      <c r="D66" s="120" t="str">
        <f t="shared" si="1"/>
        <v>Jan</v>
      </c>
      <c r="E66" s="7"/>
      <c r="F66" s="7"/>
      <c r="G66" s="120"/>
      <c r="H66" s="120"/>
      <c r="I66" s="132"/>
      <c r="J66" s="132"/>
      <c r="K66" s="115"/>
      <c r="L66" s="115"/>
      <c r="M66" s="8"/>
      <c r="N66" s="8" t="str">
        <f t="shared" si="2"/>
        <v>-</v>
      </c>
      <c r="O66" s="127"/>
      <c r="P66" s="127"/>
      <c r="Q66" s="127"/>
      <c r="R66" s="127"/>
      <c r="S66" s="127"/>
      <c r="T66" s="139"/>
      <c r="U66" s="168"/>
      <c r="V66" s="7"/>
      <c r="W66" s="7"/>
      <c r="X66" s="146" t="s">
        <v>671</v>
      </c>
      <c r="Y66" s="7"/>
      <c r="Z66" s="7"/>
      <c r="AA66" s="7" t="str">
        <f>IFERROR((VLOOKUP(F66,#REF!,2,FALSE)),"-")</f>
        <v>-</v>
      </c>
      <c r="AB66" s="119" t="e">
        <f>CONCATENATE(F66," - ",I66," - ",#REF!,)</f>
        <v>#REF!</v>
      </c>
    </row>
    <row r="67" spans="1:28" s="116" customFormat="1" ht="15">
      <c r="A67" s="114"/>
      <c r="B67" s="120"/>
      <c r="C67" s="129" t="str">
        <f t="shared" si="0"/>
        <v>week-0</v>
      </c>
      <c r="D67" s="120" t="str">
        <f t="shared" si="1"/>
        <v>Jan</v>
      </c>
      <c r="E67" s="7"/>
      <c r="F67" s="7"/>
      <c r="G67" s="120"/>
      <c r="H67" s="120"/>
      <c r="I67" s="132"/>
      <c r="J67" s="132"/>
      <c r="K67" s="115"/>
      <c r="L67" s="115"/>
      <c r="M67" s="8"/>
      <c r="N67" s="8" t="str">
        <f t="shared" si="2"/>
        <v>-</v>
      </c>
      <c r="O67" s="127"/>
      <c r="P67" s="127"/>
      <c r="Q67" s="127"/>
      <c r="R67" s="127"/>
      <c r="S67" s="127"/>
      <c r="T67" s="139"/>
      <c r="U67" s="168"/>
      <c r="V67" s="7"/>
      <c r="W67" s="7"/>
      <c r="X67" s="146"/>
      <c r="Y67" s="7"/>
      <c r="Z67" s="7"/>
      <c r="AA67" s="7" t="str">
        <f>IFERROR((VLOOKUP(F67,#REF!,2,FALSE)),"-")</f>
        <v>-</v>
      </c>
      <c r="AB67" s="119" t="e">
        <f>CONCATENATE(F67," - ",I67," - ",#REF!,)</f>
        <v>#REF!</v>
      </c>
    </row>
    <row r="68" spans="1:28" s="116" customFormat="1" ht="30">
      <c r="A68" s="114"/>
      <c r="B68" s="120"/>
      <c r="C68" s="129" t="str">
        <f t="shared" ref="C68:C131" si="3">"week-"&amp;WEEKNUM(B68)</f>
        <v>week-0</v>
      </c>
      <c r="D68" s="120" t="str">
        <f t="shared" ref="D68:D131" si="4">TEXT(B68,"mmm")</f>
        <v>Jan</v>
      </c>
      <c r="E68" s="7"/>
      <c r="F68" s="7"/>
      <c r="G68" s="120"/>
      <c r="H68" s="120"/>
      <c r="I68" s="132"/>
      <c r="J68" s="132"/>
      <c r="K68" s="115"/>
      <c r="L68" s="115"/>
      <c r="M68" s="8"/>
      <c r="N68" s="8" t="str">
        <f t="shared" ref="N68:N131" si="5">IF(ISBLANK(M68),"-",(M68/60))</f>
        <v>-</v>
      </c>
      <c r="O68" s="127"/>
      <c r="P68" s="127"/>
      <c r="Q68" s="127"/>
      <c r="R68" s="127"/>
      <c r="S68" s="127"/>
      <c r="T68" s="139"/>
      <c r="U68" s="168"/>
      <c r="V68" s="7"/>
      <c r="W68" s="7"/>
      <c r="X68" s="146" t="s">
        <v>672</v>
      </c>
      <c r="Y68" s="7" t="s">
        <v>662</v>
      </c>
      <c r="Z68" s="7" t="s">
        <v>660</v>
      </c>
      <c r="AA68" s="7" t="str">
        <f>IFERROR((VLOOKUP(F68,#REF!,2,FALSE)),"-")</f>
        <v>-</v>
      </c>
      <c r="AB68" s="119" t="e">
        <f>CONCATENATE(F68," - ",I68," - ",#REF!,)</f>
        <v>#REF!</v>
      </c>
    </row>
    <row r="69" spans="1:28" s="116" customFormat="1" ht="15">
      <c r="A69" s="114"/>
      <c r="B69" s="120"/>
      <c r="C69" s="129" t="str">
        <f t="shared" si="3"/>
        <v>week-0</v>
      </c>
      <c r="D69" s="120" t="str">
        <f t="shared" si="4"/>
        <v>Jan</v>
      </c>
      <c r="E69" s="7"/>
      <c r="F69" s="7"/>
      <c r="G69" s="120"/>
      <c r="H69" s="120"/>
      <c r="I69" s="132"/>
      <c r="J69" s="132"/>
      <c r="K69" s="115"/>
      <c r="L69" s="115"/>
      <c r="M69" s="8"/>
      <c r="N69" s="8" t="str">
        <f t="shared" si="5"/>
        <v>-</v>
      </c>
      <c r="O69" s="127"/>
      <c r="P69" s="127"/>
      <c r="Q69" s="127"/>
      <c r="R69" s="127"/>
      <c r="S69" s="127"/>
      <c r="T69" s="139"/>
      <c r="U69" s="168"/>
      <c r="V69" s="7"/>
      <c r="W69" s="7"/>
      <c r="X69" s="146" t="s">
        <v>673</v>
      </c>
      <c r="Y69" s="7" t="s">
        <v>662</v>
      </c>
      <c r="Z69" s="7"/>
      <c r="AA69" s="7" t="str">
        <f>IFERROR((VLOOKUP(F69,#REF!,2,FALSE)),"-")</f>
        <v>-</v>
      </c>
      <c r="AB69" s="119" t="e">
        <f>CONCATENATE(F69," - ",I69," - ",#REF!,)</f>
        <v>#REF!</v>
      </c>
    </row>
    <row r="70" spans="1:28" s="116" customFormat="1" ht="15">
      <c r="A70" s="114"/>
      <c r="B70" s="120"/>
      <c r="C70" s="129" t="str">
        <f t="shared" si="3"/>
        <v>week-0</v>
      </c>
      <c r="D70" s="120" t="str">
        <f t="shared" si="4"/>
        <v>Jan</v>
      </c>
      <c r="E70" s="7"/>
      <c r="F70" s="7"/>
      <c r="G70" s="120"/>
      <c r="H70" s="120"/>
      <c r="I70" s="132"/>
      <c r="J70" s="132"/>
      <c r="K70" s="115"/>
      <c r="L70" s="115"/>
      <c r="M70" s="8"/>
      <c r="N70" s="8" t="str">
        <f t="shared" si="5"/>
        <v>-</v>
      </c>
      <c r="O70" s="127"/>
      <c r="P70" s="127"/>
      <c r="Q70" s="127"/>
      <c r="R70" s="127"/>
      <c r="S70" s="127"/>
      <c r="T70" s="139"/>
      <c r="U70" s="168"/>
      <c r="V70" s="7"/>
      <c r="W70" s="7"/>
      <c r="X70" s="152" t="s">
        <v>673</v>
      </c>
      <c r="Y70" s="7" t="s">
        <v>662</v>
      </c>
      <c r="Z70" s="7"/>
      <c r="AA70" s="7" t="str">
        <f>IFERROR((VLOOKUP(F70,#REF!,2,FALSE)),"-")</f>
        <v>-</v>
      </c>
      <c r="AB70" s="119" t="e">
        <f>CONCATENATE(F70," - ",I70," - ",#REF!,)</f>
        <v>#REF!</v>
      </c>
    </row>
    <row r="71" spans="1:28" s="116" customFormat="1" ht="15">
      <c r="A71" s="114"/>
      <c r="B71" s="120"/>
      <c r="C71" s="129" t="str">
        <f t="shared" si="3"/>
        <v>week-0</v>
      </c>
      <c r="D71" s="120" t="str">
        <f t="shared" si="4"/>
        <v>Jan</v>
      </c>
      <c r="E71" s="7"/>
      <c r="F71" s="7"/>
      <c r="G71" s="120"/>
      <c r="H71" s="120"/>
      <c r="I71" s="132"/>
      <c r="J71" s="132"/>
      <c r="K71" s="115"/>
      <c r="L71" s="115"/>
      <c r="M71" s="8"/>
      <c r="N71" s="8" t="str">
        <f t="shared" si="5"/>
        <v>-</v>
      </c>
      <c r="O71" s="127"/>
      <c r="P71" s="127"/>
      <c r="Q71" s="127"/>
      <c r="R71" s="127"/>
      <c r="S71" s="127"/>
      <c r="T71" s="139"/>
      <c r="U71" s="168"/>
      <c r="V71" s="7"/>
      <c r="W71" s="7"/>
      <c r="X71" s="152" t="s">
        <v>674</v>
      </c>
      <c r="Y71" s="7" t="s">
        <v>662</v>
      </c>
      <c r="Z71" s="7"/>
      <c r="AA71" s="7" t="str">
        <f>IFERROR((VLOOKUP(F71,#REF!,2,FALSE)),"-")</f>
        <v>-</v>
      </c>
      <c r="AB71" s="119" t="e">
        <f>CONCATENATE(F71," - ",I71," - ",#REF!,)</f>
        <v>#REF!</v>
      </c>
    </row>
    <row r="72" spans="1:28" s="116" customFormat="1" ht="15">
      <c r="A72" s="114"/>
      <c r="B72" s="120"/>
      <c r="C72" s="129" t="str">
        <f t="shared" si="3"/>
        <v>week-0</v>
      </c>
      <c r="D72" s="120" t="str">
        <f t="shared" si="4"/>
        <v>Jan</v>
      </c>
      <c r="E72" s="7"/>
      <c r="F72" s="7"/>
      <c r="G72" s="120"/>
      <c r="H72" s="120"/>
      <c r="I72" s="132"/>
      <c r="J72" s="132"/>
      <c r="K72" s="115"/>
      <c r="L72" s="115"/>
      <c r="M72" s="8"/>
      <c r="N72" s="8" t="str">
        <f t="shared" si="5"/>
        <v>-</v>
      </c>
      <c r="O72" s="127"/>
      <c r="P72" s="127"/>
      <c r="Q72" s="127"/>
      <c r="R72" s="127"/>
      <c r="S72" s="127"/>
      <c r="T72" s="139"/>
      <c r="U72" s="168"/>
      <c r="V72" s="7"/>
      <c r="W72" s="7"/>
      <c r="X72" s="146" t="s">
        <v>675</v>
      </c>
      <c r="Y72" s="7" t="s">
        <v>662</v>
      </c>
      <c r="Z72" s="7"/>
      <c r="AA72" s="7" t="str">
        <f>IFERROR((VLOOKUP(F72,#REF!,2,FALSE)),"-")</f>
        <v>-</v>
      </c>
      <c r="AB72" s="119" t="e">
        <f>CONCATENATE(F72," - ",I72," - ",#REF!,)</f>
        <v>#REF!</v>
      </c>
    </row>
    <row r="73" spans="1:28" s="116" customFormat="1" ht="15">
      <c r="A73" s="114"/>
      <c r="B73" s="120"/>
      <c r="C73" s="129" t="str">
        <f t="shared" si="3"/>
        <v>week-0</v>
      </c>
      <c r="D73" s="120" t="str">
        <f t="shared" si="4"/>
        <v>Jan</v>
      </c>
      <c r="E73" s="7"/>
      <c r="F73" s="7"/>
      <c r="G73" s="120"/>
      <c r="H73" s="120"/>
      <c r="I73" s="132"/>
      <c r="J73" s="132"/>
      <c r="K73" s="115"/>
      <c r="L73" s="115"/>
      <c r="M73" s="8"/>
      <c r="N73" s="8" t="str">
        <f t="shared" si="5"/>
        <v>-</v>
      </c>
      <c r="O73" s="127"/>
      <c r="P73" s="127"/>
      <c r="Q73" s="127"/>
      <c r="R73" s="127"/>
      <c r="S73" s="127"/>
      <c r="T73" s="139"/>
      <c r="U73" s="168"/>
      <c r="V73" s="7"/>
      <c r="W73" s="7"/>
      <c r="X73" s="146" t="s">
        <v>676</v>
      </c>
      <c r="Y73" s="7" t="s">
        <v>662</v>
      </c>
      <c r="Z73" s="7"/>
      <c r="AA73" s="7" t="str">
        <f>IFERROR((VLOOKUP(F73,#REF!,2,FALSE)),"-")</f>
        <v>-</v>
      </c>
      <c r="AB73" s="119" t="e">
        <f>CONCATENATE(F73," - ",I73," - ",#REF!,)</f>
        <v>#REF!</v>
      </c>
    </row>
    <row r="74" spans="1:28" s="116" customFormat="1" ht="15">
      <c r="A74" s="114"/>
      <c r="B74" s="120"/>
      <c r="C74" s="129" t="str">
        <f t="shared" si="3"/>
        <v>week-0</v>
      </c>
      <c r="D74" s="120" t="str">
        <f t="shared" si="4"/>
        <v>Jan</v>
      </c>
      <c r="E74" s="7"/>
      <c r="F74" s="7"/>
      <c r="G74" s="120"/>
      <c r="H74" s="120"/>
      <c r="I74" s="132"/>
      <c r="J74" s="132"/>
      <c r="K74" s="115"/>
      <c r="L74" s="115"/>
      <c r="M74" s="8"/>
      <c r="N74" s="8" t="str">
        <f t="shared" si="5"/>
        <v>-</v>
      </c>
      <c r="O74" s="127"/>
      <c r="P74" s="127"/>
      <c r="Q74" s="127"/>
      <c r="R74" s="127"/>
      <c r="S74" s="127"/>
      <c r="T74" s="139"/>
      <c r="U74" s="168"/>
      <c r="V74" s="7"/>
      <c r="W74" s="7"/>
      <c r="X74" s="146" t="s">
        <v>677</v>
      </c>
      <c r="Y74" s="7" t="s">
        <v>662</v>
      </c>
      <c r="Z74" s="7"/>
      <c r="AA74" s="7" t="str">
        <f>IFERROR((VLOOKUP(F74,#REF!,2,FALSE)),"-")</f>
        <v>-</v>
      </c>
      <c r="AB74" s="119" t="e">
        <f>CONCATENATE(F74," - ",I74," - ",#REF!,)</f>
        <v>#REF!</v>
      </c>
    </row>
    <row r="75" spans="1:28" s="116" customFormat="1" ht="15">
      <c r="A75" s="114"/>
      <c r="B75" s="120"/>
      <c r="C75" s="129" t="str">
        <f t="shared" si="3"/>
        <v>week-0</v>
      </c>
      <c r="D75" s="120" t="str">
        <f t="shared" si="4"/>
        <v>Jan</v>
      </c>
      <c r="E75" s="7"/>
      <c r="F75" s="7"/>
      <c r="G75" s="120"/>
      <c r="H75" s="120"/>
      <c r="I75" s="132"/>
      <c r="J75" s="132"/>
      <c r="K75" s="115"/>
      <c r="L75" s="115"/>
      <c r="M75" s="8"/>
      <c r="N75" s="8" t="str">
        <f t="shared" si="5"/>
        <v>-</v>
      </c>
      <c r="O75" s="127"/>
      <c r="P75" s="127"/>
      <c r="Q75" s="127"/>
      <c r="R75" s="127"/>
      <c r="S75" s="127"/>
      <c r="T75" s="139"/>
      <c r="U75" s="168"/>
      <c r="V75" s="7"/>
      <c r="W75" s="7"/>
      <c r="X75" s="146" t="s">
        <v>678</v>
      </c>
      <c r="Y75" s="7" t="s">
        <v>662</v>
      </c>
      <c r="Z75" s="7"/>
      <c r="AA75" s="7" t="str">
        <f>IFERROR((VLOOKUP(F75,#REF!,2,FALSE)),"-")</f>
        <v>-</v>
      </c>
      <c r="AB75" s="119" t="e">
        <f>CONCATENATE(F75," - ",I75," - ",#REF!,)</f>
        <v>#REF!</v>
      </c>
    </row>
    <row r="76" spans="1:28" s="116" customFormat="1" ht="15">
      <c r="A76" s="114"/>
      <c r="B76" s="120"/>
      <c r="C76" s="129" t="str">
        <f t="shared" si="3"/>
        <v>week-0</v>
      </c>
      <c r="D76" s="120" t="str">
        <f t="shared" si="4"/>
        <v>Jan</v>
      </c>
      <c r="E76" s="7"/>
      <c r="F76" s="7"/>
      <c r="G76" s="120"/>
      <c r="H76" s="120"/>
      <c r="I76" s="132"/>
      <c r="J76" s="132"/>
      <c r="K76" s="115"/>
      <c r="L76" s="115"/>
      <c r="M76" s="8"/>
      <c r="N76" s="8" t="str">
        <f t="shared" si="5"/>
        <v>-</v>
      </c>
      <c r="O76" s="127"/>
      <c r="P76" s="127"/>
      <c r="Q76" s="127"/>
      <c r="R76" s="127"/>
      <c r="S76" s="127"/>
      <c r="T76" s="139"/>
      <c r="U76" s="168"/>
      <c r="V76" s="7"/>
      <c r="W76" s="7"/>
      <c r="X76" s="146" t="s">
        <v>679</v>
      </c>
      <c r="Y76" s="7" t="s">
        <v>662</v>
      </c>
      <c r="Z76" s="7"/>
      <c r="AA76" s="7" t="str">
        <f>IFERROR((VLOOKUP(F76,#REF!,2,FALSE)),"-")</f>
        <v>-</v>
      </c>
      <c r="AB76" s="119" t="e">
        <f>CONCATENATE(F76," - ",I76," - ",#REF!,)</f>
        <v>#REF!</v>
      </c>
    </row>
    <row r="77" spans="1:28" s="116" customFormat="1" ht="15">
      <c r="A77" s="114"/>
      <c r="B77" s="120"/>
      <c r="C77" s="129" t="str">
        <f t="shared" si="3"/>
        <v>week-0</v>
      </c>
      <c r="D77" s="120" t="str">
        <f t="shared" si="4"/>
        <v>Jan</v>
      </c>
      <c r="E77" s="7"/>
      <c r="F77" s="7"/>
      <c r="G77" s="120"/>
      <c r="H77" s="120"/>
      <c r="I77" s="132"/>
      <c r="J77" s="132"/>
      <c r="K77" s="115"/>
      <c r="L77" s="115"/>
      <c r="M77" s="8"/>
      <c r="N77" s="8" t="str">
        <f t="shared" si="5"/>
        <v>-</v>
      </c>
      <c r="O77" s="167"/>
      <c r="P77" s="167"/>
      <c r="Q77" s="167"/>
      <c r="R77" s="167"/>
      <c r="S77" s="167"/>
      <c r="T77" s="139"/>
      <c r="U77" s="168"/>
      <c r="V77" s="7"/>
      <c r="W77" s="7"/>
      <c r="X77" s="146" t="s">
        <v>680</v>
      </c>
      <c r="Y77" s="7"/>
      <c r="Z77" s="7"/>
      <c r="AA77" s="7" t="str">
        <f>IFERROR((VLOOKUP(F77,#REF!,2,FALSE)),"-")</f>
        <v>-</v>
      </c>
      <c r="AB77" s="119" t="e">
        <f>CONCATENATE(F77," - ",I77," - ",#REF!,)</f>
        <v>#REF!</v>
      </c>
    </row>
    <row r="78" spans="1:28" s="116" customFormat="1" ht="30">
      <c r="A78" s="114"/>
      <c r="B78" s="120"/>
      <c r="C78" s="129" t="str">
        <f t="shared" si="3"/>
        <v>week-0</v>
      </c>
      <c r="D78" s="120" t="str">
        <f t="shared" si="4"/>
        <v>Jan</v>
      </c>
      <c r="E78" s="7"/>
      <c r="F78" s="7"/>
      <c r="G78" s="120"/>
      <c r="H78" s="120"/>
      <c r="I78" s="132"/>
      <c r="J78" s="132"/>
      <c r="K78" s="115"/>
      <c r="L78" s="115"/>
      <c r="M78" s="8"/>
      <c r="N78" s="8" t="str">
        <f t="shared" si="5"/>
        <v>-</v>
      </c>
      <c r="O78" s="127"/>
      <c r="P78" s="127"/>
      <c r="Q78" s="127"/>
      <c r="R78" s="127"/>
      <c r="S78" s="127"/>
      <c r="T78" s="139"/>
      <c r="U78" s="168"/>
      <c r="V78" s="7"/>
      <c r="W78" s="7"/>
      <c r="X78" s="146" t="s">
        <v>681</v>
      </c>
      <c r="Y78" s="7" t="s">
        <v>662</v>
      </c>
      <c r="Z78" s="7"/>
      <c r="AA78" s="7" t="str">
        <f>IFERROR((VLOOKUP(F78,#REF!,2,FALSE)),"-")</f>
        <v>-</v>
      </c>
      <c r="AB78" s="119" t="e">
        <f>CONCATENATE(F78," - ",I78," - ",#REF!,)</f>
        <v>#REF!</v>
      </c>
    </row>
    <row r="79" spans="1:28" s="116" customFormat="1" ht="15">
      <c r="A79" s="114"/>
      <c r="B79" s="120"/>
      <c r="C79" s="129" t="str">
        <f t="shared" si="3"/>
        <v>week-0</v>
      </c>
      <c r="D79" s="120" t="str">
        <f t="shared" si="4"/>
        <v>Jan</v>
      </c>
      <c r="E79" s="7"/>
      <c r="F79" s="7"/>
      <c r="G79" s="120"/>
      <c r="H79" s="120"/>
      <c r="I79" s="132"/>
      <c r="J79" s="132"/>
      <c r="K79" s="115"/>
      <c r="L79" s="115"/>
      <c r="M79" s="8"/>
      <c r="N79" s="8" t="str">
        <f t="shared" si="5"/>
        <v>-</v>
      </c>
      <c r="O79" s="127"/>
      <c r="P79" s="127"/>
      <c r="Q79" s="127"/>
      <c r="R79" s="127"/>
      <c r="S79" s="127"/>
      <c r="T79" s="139"/>
      <c r="U79" s="168"/>
      <c r="V79" s="7"/>
      <c r="W79" s="7"/>
      <c r="X79" s="146" t="s">
        <v>682</v>
      </c>
      <c r="Y79" s="7" t="s">
        <v>662</v>
      </c>
      <c r="Z79" s="7"/>
      <c r="AA79" s="7" t="str">
        <f>IFERROR((VLOOKUP(F79,#REF!,2,FALSE)),"-")</f>
        <v>-</v>
      </c>
      <c r="AB79" s="119" t="e">
        <f>CONCATENATE(F79," - ",I79," - ",#REF!,)</f>
        <v>#REF!</v>
      </c>
    </row>
    <row r="80" spans="1:28" s="116" customFormat="1" ht="15">
      <c r="A80" s="114"/>
      <c r="B80" s="120"/>
      <c r="C80" s="129" t="str">
        <f t="shared" si="3"/>
        <v>week-0</v>
      </c>
      <c r="D80" s="120" t="str">
        <f t="shared" si="4"/>
        <v>Jan</v>
      </c>
      <c r="E80" s="7"/>
      <c r="F80" s="7"/>
      <c r="G80" s="120"/>
      <c r="H80" s="120"/>
      <c r="I80" s="132"/>
      <c r="J80" s="132"/>
      <c r="K80" s="115"/>
      <c r="L80" s="115"/>
      <c r="M80" s="8"/>
      <c r="N80" s="8" t="str">
        <f t="shared" si="5"/>
        <v>-</v>
      </c>
      <c r="O80" s="127"/>
      <c r="P80" s="127"/>
      <c r="Q80" s="127"/>
      <c r="R80" s="127"/>
      <c r="S80" s="127"/>
      <c r="T80" s="139"/>
      <c r="U80" s="168"/>
      <c r="V80" s="7"/>
      <c r="W80" s="7"/>
      <c r="X80" s="146" t="s">
        <v>683</v>
      </c>
      <c r="Y80" s="7" t="s">
        <v>662</v>
      </c>
      <c r="Z80" s="7"/>
      <c r="AA80" s="7" t="str">
        <f>IFERROR((VLOOKUP(F80,#REF!,2,FALSE)),"-")</f>
        <v>-</v>
      </c>
      <c r="AB80" s="119" t="e">
        <f>CONCATENATE(F80," - ",I80," - ",#REF!,)</f>
        <v>#REF!</v>
      </c>
    </row>
    <row r="81" spans="1:28" s="116" customFormat="1" ht="15">
      <c r="A81" s="114"/>
      <c r="B81" s="120"/>
      <c r="C81" s="129" t="str">
        <f t="shared" si="3"/>
        <v>week-0</v>
      </c>
      <c r="D81" s="120" t="str">
        <f t="shared" si="4"/>
        <v>Jan</v>
      </c>
      <c r="E81" s="7"/>
      <c r="F81" s="7"/>
      <c r="G81" s="120"/>
      <c r="H81" s="120"/>
      <c r="I81" s="132"/>
      <c r="J81" s="132"/>
      <c r="K81" s="115"/>
      <c r="L81" s="115"/>
      <c r="M81" s="8"/>
      <c r="N81" s="8" t="str">
        <f t="shared" si="5"/>
        <v>-</v>
      </c>
      <c r="O81" s="167"/>
      <c r="P81" s="167"/>
      <c r="Q81" s="167"/>
      <c r="R81" s="127"/>
      <c r="S81" s="167"/>
      <c r="T81" s="139"/>
      <c r="U81" s="168"/>
      <c r="V81" s="7"/>
      <c r="W81" s="7"/>
      <c r="X81" s="146" t="s">
        <v>684</v>
      </c>
      <c r="Y81" s="7" t="s">
        <v>662</v>
      </c>
      <c r="Z81" s="7"/>
      <c r="AA81" s="7" t="str">
        <f>IFERROR((VLOOKUP(F81,#REF!,2,FALSE)),"-")</f>
        <v>-</v>
      </c>
      <c r="AB81" s="119" t="e">
        <f>CONCATENATE(F81," - ",I81," - ",#REF!,)</f>
        <v>#REF!</v>
      </c>
    </row>
    <row r="82" spans="1:28" s="116" customFormat="1" ht="15">
      <c r="A82" s="114"/>
      <c r="B82" s="120"/>
      <c r="C82" s="129" t="str">
        <f t="shared" si="3"/>
        <v>week-0</v>
      </c>
      <c r="D82" s="120" t="str">
        <f t="shared" si="4"/>
        <v>Jan</v>
      </c>
      <c r="E82" s="7"/>
      <c r="F82" s="7"/>
      <c r="G82" s="120"/>
      <c r="H82" s="120"/>
      <c r="I82" s="132"/>
      <c r="J82" s="132"/>
      <c r="K82" s="115"/>
      <c r="L82" s="115"/>
      <c r="M82" s="8"/>
      <c r="N82" s="8" t="str">
        <f t="shared" si="5"/>
        <v>-</v>
      </c>
      <c r="O82" s="127"/>
      <c r="P82" s="127"/>
      <c r="Q82" s="127"/>
      <c r="R82" s="127"/>
      <c r="S82" s="127"/>
      <c r="T82" s="139"/>
      <c r="U82" s="168"/>
      <c r="V82" s="7"/>
      <c r="W82" s="7"/>
      <c r="X82" s="146" t="s">
        <v>685</v>
      </c>
      <c r="Y82" s="7" t="s">
        <v>662</v>
      </c>
      <c r="Z82" s="7"/>
      <c r="AA82" s="7" t="str">
        <f>IFERROR((VLOOKUP(F82,#REF!,2,FALSE)),"-")</f>
        <v>-</v>
      </c>
      <c r="AB82" s="119" t="e">
        <f>CONCATENATE(F82," - ",I82," - ",#REF!,)</f>
        <v>#REF!</v>
      </c>
    </row>
    <row r="83" spans="1:28" s="116" customFormat="1" ht="30">
      <c r="A83" s="114"/>
      <c r="B83" s="120"/>
      <c r="C83" s="129" t="str">
        <f t="shared" si="3"/>
        <v>week-0</v>
      </c>
      <c r="D83" s="120" t="str">
        <f t="shared" si="4"/>
        <v>Jan</v>
      </c>
      <c r="E83" s="7"/>
      <c r="F83" s="7"/>
      <c r="G83" s="120"/>
      <c r="H83" s="120"/>
      <c r="I83" s="132"/>
      <c r="J83" s="132"/>
      <c r="K83" s="115"/>
      <c r="L83" s="115"/>
      <c r="M83" s="8"/>
      <c r="N83" s="8" t="str">
        <f t="shared" si="5"/>
        <v>-</v>
      </c>
      <c r="O83" s="127"/>
      <c r="P83" s="127"/>
      <c r="Q83" s="127"/>
      <c r="R83" s="127"/>
      <c r="S83" s="127"/>
      <c r="T83" s="139"/>
      <c r="U83" s="168"/>
      <c r="V83" s="7"/>
      <c r="W83" s="7"/>
      <c r="X83" s="146" t="s">
        <v>686</v>
      </c>
      <c r="Y83" s="7" t="s">
        <v>662</v>
      </c>
      <c r="Z83" s="7"/>
      <c r="AA83" s="7" t="str">
        <f>IFERROR((VLOOKUP(F83,#REF!,2,FALSE)),"-")</f>
        <v>-</v>
      </c>
      <c r="AB83" s="119" t="e">
        <f>CONCATENATE(F83," - ",I83," - ",#REF!,)</f>
        <v>#REF!</v>
      </c>
    </row>
    <row r="84" spans="1:28" s="116" customFormat="1" ht="15">
      <c r="A84" s="114"/>
      <c r="B84" s="120"/>
      <c r="C84" s="129" t="str">
        <f t="shared" si="3"/>
        <v>week-0</v>
      </c>
      <c r="D84" s="120" t="str">
        <f t="shared" si="4"/>
        <v>Jan</v>
      </c>
      <c r="E84" s="7"/>
      <c r="F84" s="7"/>
      <c r="G84" s="120"/>
      <c r="H84" s="120"/>
      <c r="I84" s="132"/>
      <c r="J84" s="132"/>
      <c r="K84" s="115"/>
      <c r="L84" s="115"/>
      <c r="M84" s="8"/>
      <c r="N84" s="8" t="str">
        <f t="shared" si="5"/>
        <v>-</v>
      </c>
      <c r="O84" s="127"/>
      <c r="P84" s="127"/>
      <c r="Q84" s="127"/>
      <c r="R84" s="127"/>
      <c r="S84" s="127"/>
      <c r="T84" s="139"/>
      <c r="U84" s="168"/>
      <c r="V84" s="7"/>
      <c r="W84" s="7"/>
      <c r="X84" s="153" t="s">
        <v>685</v>
      </c>
      <c r="Y84" s="7" t="s">
        <v>662</v>
      </c>
      <c r="Z84" s="7"/>
      <c r="AA84" s="7" t="str">
        <f>IFERROR((VLOOKUP(F84,#REF!,2,FALSE)),"-")</f>
        <v>-</v>
      </c>
      <c r="AB84" s="119" t="e">
        <f>CONCATENATE(F84," - ",I84," - ",#REF!,)</f>
        <v>#REF!</v>
      </c>
    </row>
    <row r="85" spans="1:28" s="116" customFormat="1" ht="15">
      <c r="A85" s="114"/>
      <c r="B85" s="120"/>
      <c r="C85" s="129" t="str">
        <f t="shared" si="3"/>
        <v>week-0</v>
      </c>
      <c r="D85" s="120" t="str">
        <f t="shared" si="4"/>
        <v>Jan</v>
      </c>
      <c r="E85" s="7"/>
      <c r="F85" s="7"/>
      <c r="G85" s="120"/>
      <c r="H85" s="120"/>
      <c r="I85" s="132"/>
      <c r="J85" s="132"/>
      <c r="K85" s="115"/>
      <c r="L85" s="115"/>
      <c r="M85" s="8"/>
      <c r="N85" s="8" t="str">
        <f t="shared" si="5"/>
        <v>-</v>
      </c>
      <c r="O85" s="167"/>
      <c r="P85" s="167"/>
      <c r="Q85" s="167"/>
      <c r="R85" s="127"/>
      <c r="S85" s="167"/>
      <c r="T85" s="139"/>
      <c r="U85" s="168"/>
      <c r="V85" s="7"/>
      <c r="W85" s="7"/>
      <c r="X85" s="146" t="s">
        <v>655</v>
      </c>
      <c r="Y85" s="7" t="s">
        <v>662</v>
      </c>
      <c r="Z85" s="7"/>
      <c r="AA85" s="7" t="str">
        <f>IFERROR((VLOOKUP(F85,#REF!,2,FALSE)),"-")</f>
        <v>-</v>
      </c>
      <c r="AB85" s="119" t="e">
        <f>CONCATENATE(F85," - ",I85," - ",#REF!,)</f>
        <v>#REF!</v>
      </c>
    </row>
    <row r="86" spans="1:28" s="116" customFormat="1" ht="15">
      <c r="A86" s="114"/>
      <c r="B86" s="120"/>
      <c r="C86" s="129" t="str">
        <f t="shared" si="3"/>
        <v>week-0</v>
      </c>
      <c r="D86" s="120" t="str">
        <f t="shared" si="4"/>
        <v>Jan</v>
      </c>
      <c r="E86" s="7"/>
      <c r="F86" s="7"/>
      <c r="G86" s="120"/>
      <c r="H86" s="120"/>
      <c r="I86" s="132"/>
      <c r="J86" s="132"/>
      <c r="K86" s="115"/>
      <c r="L86" s="115"/>
      <c r="M86" s="8"/>
      <c r="N86" s="8" t="str">
        <f t="shared" si="5"/>
        <v>-</v>
      </c>
      <c r="O86" s="127"/>
      <c r="P86" s="127"/>
      <c r="Q86" s="127"/>
      <c r="R86" s="127"/>
      <c r="S86" s="127"/>
      <c r="T86" s="139"/>
      <c r="U86" s="168"/>
      <c r="V86" s="7"/>
      <c r="W86" s="7"/>
      <c r="X86" s="146" t="s">
        <v>687</v>
      </c>
      <c r="Y86" s="7" t="s">
        <v>662</v>
      </c>
      <c r="Z86" s="7"/>
      <c r="AA86" s="7" t="str">
        <f>IFERROR((VLOOKUP(F86,#REF!,2,FALSE)),"-")</f>
        <v>-</v>
      </c>
      <c r="AB86" s="119" t="e">
        <f>CONCATENATE(F86," - ",I86," - ",#REF!,)</f>
        <v>#REF!</v>
      </c>
    </row>
    <row r="87" spans="1:28" s="116" customFormat="1" ht="15">
      <c r="A87" s="114"/>
      <c r="B87" s="120"/>
      <c r="C87" s="129" t="str">
        <f t="shared" si="3"/>
        <v>week-0</v>
      </c>
      <c r="D87" s="120" t="str">
        <f t="shared" si="4"/>
        <v>Jan</v>
      </c>
      <c r="E87" s="7"/>
      <c r="F87" s="7"/>
      <c r="G87" s="120"/>
      <c r="H87" s="120"/>
      <c r="I87" s="132"/>
      <c r="J87" s="132"/>
      <c r="K87" s="115"/>
      <c r="L87" s="115"/>
      <c r="M87" s="8"/>
      <c r="N87" s="8" t="str">
        <f t="shared" si="5"/>
        <v>-</v>
      </c>
      <c r="O87" s="167"/>
      <c r="P87" s="167"/>
      <c r="Q87" s="167"/>
      <c r="R87" s="127"/>
      <c r="S87" s="167"/>
      <c r="T87" s="139"/>
      <c r="U87" s="168"/>
      <c r="V87" s="7"/>
      <c r="W87" s="7"/>
      <c r="X87" s="153" t="s">
        <v>687</v>
      </c>
      <c r="Y87" s="7" t="s">
        <v>662</v>
      </c>
      <c r="Z87" s="7"/>
      <c r="AA87" s="7" t="str">
        <f>IFERROR((VLOOKUP(F87,#REF!,2,FALSE)),"-")</f>
        <v>-</v>
      </c>
      <c r="AB87" s="119" t="e">
        <f>CONCATENATE(F87," - ",I87," - ",#REF!,)</f>
        <v>#REF!</v>
      </c>
    </row>
    <row r="88" spans="1:28" s="116" customFormat="1" ht="15">
      <c r="A88" s="114"/>
      <c r="B88" s="120"/>
      <c r="C88" s="129" t="str">
        <f t="shared" si="3"/>
        <v>week-0</v>
      </c>
      <c r="D88" s="120" t="str">
        <f t="shared" si="4"/>
        <v>Jan</v>
      </c>
      <c r="E88" s="7"/>
      <c r="F88" s="7"/>
      <c r="G88" s="120"/>
      <c r="H88" s="120"/>
      <c r="I88" s="132"/>
      <c r="J88" s="132"/>
      <c r="K88" s="115"/>
      <c r="L88" s="115"/>
      <c r="M88" s="8"/>
      <c r="N88" s="8" t="str">
        <f t="shared" si="5"/>
        <v>-</v>
      </c>
      <c r="O88" s="167"/>
      <c r="P88" s="167"/>
      <c r="Q88" s="167"/>
      <c r="R88" s="127"/>
      <c r="S88" s="167"/>
      <c r="T88" s="139"/>
      <c r="U88" s="168"/>
      <c r="V88" s="7"/>
      <c r="W88" s="7"/>
      <c r="X88" s="146" t="s">
        <v>688</v>
      </c>
      <c r="Y88" s="7" t="s">
        <v>662</v>
      </c>
      <c r="Z88" s="7"/>
      <c r="AA88" s="7" t="str">
        <f>IFERROR((VLOOKUP(F88,#REF!,2,FALSE)),"-")</f>
        <v>-</v>
      </c>
      <c r="AB88" s="119" t="e">
        <f>CONCATENATE(F88," - ",I88," - ",#REF!,)</f>
        <v>#REF!</v>
      </c>
    </row>
    <row r="89" spans="1:28" s="116" customFormat="1" ht="15">
      <c r="A89" s="114"/>
      <c r="B89" s="120"/>
      <c r="C89" s="129" t="str">
        <f t="shared" si="3"/>
        <v>week-0</v>
      </c>
      <c r="D89" s="120" t="str">
        <f t="shared" si="4"/>
        <v>Jan</v>
      </c>
      <c r="E89" s="7"/>
      <c r="F89" s="7"/>
      <c r="G89" s="120"/>
      <c r="H89" s="120"/>
      <c r="I89" s="132"/>
      <c r="J89" s="132"/>
      <c r="K89" s="115"/>
      <c r="L89" s="115"/>
      <c r="M89" s="8"/>
      <c r="N89" s="8" t="str">
        <f t="shared" si="5"/>
        <v>-</v>
      </c>
      <c r="O89" s="149"/>
      <c r="P89" s="149"/>
      <c r="Q89" s="149"/>
      <c r="R89" s="149"/>
      <c r="S89" s="149"/>
      <c r="T89" s="170"/>
      <c r="U89" s="168"/>
      <c r="V89" s="7" t="s">
        <v>647</v>
      </c>
      <c r="W89" s="7"/>
      <c r="X89" s="146" t="s">
        <v>689</v>
      </c>
      <c r="Y89" s="7" t="s">
        <v>662</v>
      </c>
      <c r="Z89" s="7"/>
      <c r="AA89" s="7" t="str">
        <f>IFERROR((VLOOKUP(F89,#REF!,2,FALSE)),"-")</f>
        <v>-</v>
      </c>
      <c r="AB89" s="119" t="e">
        <f>CONCATENATE(F89," - ",I89," - ",#REF!,)</f>
        <v>#REF!</v>
      </c>
    </row>
    <row r="90" spans="1:28" s="116" customFormat="1" ht="15">
      <c r="A90" s="114"/>
      <c r="B90" s="120"/>
      <c r="C90" s="129" t="str">
        <f t="shared" si="3"/>
        <v>week-0</v>
      </c>
      <c r="D90" s="120" t="str">
        <f t="shared" si="4"/>
        <v>Jan</v>
      </c>
      <c r="E90" s="7"/>
      <c r="F90" s="7"/>
      <c r="G90" s="120"/>
      <c r="H90" s="120"/>
      <c r="I90" s="132"/>
      <c r="J90" s="132"/>
      <c r="K90" s="115"/>
      <c r="L90" s="115"/>
      <c r="M90" s="8"/>
      <c r="N90" s="8" t="str">
        <f t="shared" si="5"/>
        <v>-</v>
      </c>
      <c r="O90" s="127"/>
      <c r="P90" s="127"/>
      <c r="Q90" s="149"/>
      <c r="R90" s="127"/>
      <c r="S90" s="127"/>
      <c r="T90" s="139"/>
      <c r="U90" s="168"/>
      <c r="V90" s="7" t="s">
        <v>647</v>
      </c>
      <c r="W90" s="7" t="s">
        <v>690</v>
      </c>
      <c r="X90" s="7" t="s">
        <v>690</v>
      </c>
      <c r="Y90" s="7" t="s">
        <v>662</v>
      </c>
      <c r="Z90" s="7"/>
      <c r="AA90" s="7" t="str">
        <f>IFERROR((VLOOKUP(F90,#REF!,2,FALSE)),"-")</f>
        <v>-</v>
      </c>
      <c r="AB90" s="119" t="e">
        <f>CONCATENATE(F90," - ",I90," - ",#REF!,)</f>
        <v>#REF!</v>
      </c>
    </row>
    <row r="91" spans="1:28" s="116" customFormat="1" ht="15">
      <c r="A91" s="114"/>
      <c r="B91" s="120"/>
      <c r="C91" s="129" t="str">
        <f t="shared" si="3"/>
        <v>week-0</v>
      </c>
      <c r="D91" s="120" t="str">
        <f t="shared" si="4"/>
        <v>Jan</v>
      </c>
      <c r="E91" s="7"/>
      <c r="F91" s="7"/>
      <c r="G91" s="120"/>
      <c r="H91" s="120"/>
      <c r="I91" s="132"/>
      <c r="J91" s="132"/>
      <c r="K91" s="115"/>
      <c r="L91" s="115"/>
      <c r="M91" s="8"/>
      <c r="N91" s="8" t="str">
        <f t="shared" si="5"/>
        <v>-</v>
      </c>
      <c r="O91" s="127"/>
      <c r="P91" s="127"/>
      <c r="Q91" s="127"/>
      <c r="R91" s="127"/>
      <c r="S91" s="127"/>
      <c r="T91" s="139"/>
      <c r="U91" s="168"/>
      <c r="V91" s="7" t="s">
        <v>647</v>
      </c>
      <c r="W91" s="7" t="s">
        <v>691</v>
      </c>
      <c r="X91" s="7" t="s">
        <v>691</v>
      </c>
      <c r="Y91" s="7" t="s">
        <v>662</v>
      </c>
      <c r="Z91" s="7"/>
      <c r="AA91" s="7" t="str">
        <f>IFERROR((VLOOKUP(F91,#REF!,2,FALSE)),"-")</f>
        <v>-</v>
      </c>
      <c r="AB91" s="119" t="e">
        <f>CONCATENATE(F91," - ",I91," - ",#REF!,)</f>
        <v>#REF!</v>
      </c>
    </row>
    <row r="92" spans="1:28" s="116" customFormat="1" ht="15">
      <c r="A92" s="114"/>
      <c r="B92" s="120"/>
      <c r="C92" s="129" t="str">
        <f t="shared" si="3"/>
        <v>week-0</v>
      </c>
      <c r="D92" s="120" t="str">
        <f t="shared" si="4"/>
        <v>Jan</v>
      </c>
      <c r="E92" s="7"/>
      <c r="F92" s="7"/>
      <c r="G92" s="120"/>
      <c r="H92" s="120"/>
      <c r="I92" s="132"/>
      <c r="J92" s="132"/>
      <c r="K92" s="115"/>
      <c r="L92" s="115"/>
      <c r="M92" s="8"/>
      <c r="N92" s="8" t="str">
        <f t="shared" si="5"/>
        <v>-</v>
      </c>
      <c r="O92" s="127"/>
      <c r="P92" s="127"/>
      <c r="Q92" s="127"/>
      <c r="R92" s="127"/>
      <c r="S92" s="127"/>
      <c r="T92" s="139"/>
      <c r="U92" s="168"/>
      <c r="V92" s="7"/>
      <c r="W92" s="7" t="s">
        <v>692</v>
      </c>
      <c r="X92" s="146"/>
      <c r="Y92" s="7" t="s">
        <v>662</v>
      </c>
      <c r="Z92" s="7"/>
      <c r="AA92" s="7" t="str">
        <f>IFERROR((VLOOKUP(F92,#REF!,2,FALSE)),"-")</f>
        <v>-</v>
      </c>
      <c r="AB92" s="119" t="e">
        <f>CONCATENATE(F92," - ",I92," - ",#REF!,)</f>
        <v>#REF!</v>
      </c>
    </row>
    <row r="93" spans="1:28" s="116" customFormat="1" ht="15">
      <c r="A93" s="114"/>
      <c r="B93" s="120"/>
      <c r="C93" s="129" t="str">
        <f t="shared" si="3"/>
        <v>week-0</v>
      </c>
      <c r="D93" s="120" t="str">
        <f t="shared" si="4"/>
        <v>Jan</v>
      </c>
      <c r="E93" s="7"/>
      <c r="F93" s="7"/>
      <c r="G93" s="120"/>
      <c r="H93" s="120"/>
      <c r="I93" s="132"/>
      <c r="J93" s="132"/>
      <c r="K93" s="115"/>
      <c r="L93" s="115"/>
      <c r="M93" s="8"/>
      <c r="N93" s="8" t="str">
        <f t="shared" si="5"/>
        <v>-</v>
      </c>
      <c r="O93" s="127"/>
      <c r="P93" s="127"/>
      <c r="Q93" s="127"/>
      <c r="R93" s="127"/>
      <c r="S93" s="127"/>
      <c r="T93" s="139"/>
      <c r="U93" s="168"/>
      <c r="V93" s="7" t="s">
        <v>647</v>
      </c>
      <c r="W93" s="7" t="s">
        <v>693</v>
      </c>
      <c r="X93" s="7" t="s">
        <v>693</v>
      </c>
      <c r="Y93" s="7" t="s">
        <v>662</v>
      </c>
      <c r="Z93" s="7"/>
      <c r="AA93" s="7" t="str">
        <f>IFERROR((VLOOKUP(F93,#REF!,2,FALSE)),"-")</f>
        <v>-</v>
      </c>
      <c r="AB93" s="119" t="e">
        <f>CONCATENATE(F93," - ",I93," - ",#REF!,)</f>
        <v>#REF!</v>
      </c>
    </row>
    <row r="94" spans="1:28" s="116" customFormat="1" ht="15">
      <c r="A94" s="114"/>
      <c r="B94" s="120"/>
      <c r="C94" s="129" t="str">
        <f t="shared" si="3"/>
        <v>week-0</v>
      </c>
      <c r="D94" s="120" t="str">
        <f t="shared" si="4"/>
        <v>Jan</v>
      </c>
      <c r="E94" s="84"/>
      <c r="F94" s="7"/>
      <c r="G94" s="120"/>
      <c r="H94" s="120"/>
      <c r="I94" s="132"/>
      <c r="J94" s="132"/>
      <c r="K94" s="115"/>
      <c r="L94" s="115"/>
      <c r="M94" s="8"/>
      <c r="N94" s="8" t="str">
        <f t="shared" si="5"/>
        <v>-</v>
      </c>
      <c r="O94" s="127"/>
      <c r="P94" s="127"/>
      <c r="Q94" s="127"/>
      <c r="R94" s="127"/>
      <c r="S94" s="127"/>
      <c r="T94" s="139"/>
      <c r="U94" s="168"/>
      <c r="V94" s="7" t="s">
        <v>647</v>
      </c>
      <c r="W94" s="7" t="s">
        <v>694</v>
      </c>
      <c r="X94" s="146" t="s">
        <v>695</v>
      </c>
      <c r="Y94" s="7" t="s">
        <v>662</v>
      </c>
      <c r="Z94" s="7"/>
      <c r="AA94" s="7" t="str">
        <f>IFERROR((VLOOKUP(F94,#REF!,2,FALSE)),"-")</f>
        <v>-</v>
      </c>
      <c r="AB94" s="119" t="e">
        <f>CONCATENATE(F94," - ",I94," - ",#REF!,)</f>
        <v>#REF!</v>
      </c>
    </row>
    <row r="95" spans="1:28" s="116" customFormat="1" ht="15">
      <c r="A95" s="114"/>
      <c r="B95" s="120"/>
      <c r="C95" s="129" t="str">
        <f t="shared" si="3"/>
        <v>week-0</v>
      </c>
      <c r="D95" s="120" t="str">
        <f t="shared" si="4"/>
        <v>Jan</v>
      </c>
      <c r="E95" s="84"/>
      <c r="F95" s="7"/>
      <c r="G95" s="120"/>
      <c r="H95" s="120"/>
      <c r="I95" s="132"/>
      <c r="J95" s="132"/>
      <c r="K95" s="115"/>
      <c r="L95" s="115"/>
      <c r="M95" s="8"/>
      <c r="N95" s="8" t="str">
        <f t="shared" si="5"/>
        <v>-</v>
      </c>
      <c r="O95" s="127"/>
      <c r="P95" s="127"/>
      <c r="Q95" s="127"/>
      <c r="R95" s="127"/>
      <c r="S95" s="127"/>
      <c r="T95" s="139"/>
      <c r="U95" s="168"/>
      <c r="V95" s="7" t="s">
        <v>647</v>
      </c>
      <c r="W95" s="7" t="s">
        <v>690</v>
      </c>
      <c r="X95" s="146" t="s">
        <v>690</v>
      </c>
      <c r="Y95" s="7" t="s">
        <v>662</v>
      </c>
      <c r="Z95" s="7"/>
      <c r="AA95" s="7" t="str">
        <f>IFERROR((VLOOKUP(F95,#REF!,2,FALSE)),"-")</f>
        <v>-</v>
      </c>
      <c r="AB95" s="119" t="e">
        <f>CONCATENATE(F95," - ",I95," - ",#REF!,)</f>
        <v>#REF!</v>
      </c>
    </row>
    <row r="96" spans="1:28" s="116" customFormat="1" ht="15">
      <c r="A96" s="114"/>
      <c r="B96" s="120"/>
      <c r="C96" s="129" t="str">
        <f t="shared" si="3"/>
        <v>week-0</v>
      </c>
      <c r="D96" s="120" t="str">
        <f t="shared" si="4"/>
        <v>Jan</v>
      </c>
      <c r="E96" s="84"/>
      <c r="F96" s="7"/>
      <c r="G96" s="120"/>
      <c r="H96" s="120"/>
      <c r="I96" s="132"/>
      <c r="J96" s="132"/>
      <c r="K96" s="115"/>
      <c r="L96" s="115"/>
      <c r="M96" s="8"/>
      <c r="N96" s="8" t="str">
        <f t="shared" si="5"/>
        <v>-</v>
      </c>
      <c r="O96" s="127"/>
      <c r="P96" s="127"/>
      <c r="Q96" s="127"/>
      <c r="R96" s="127"/>
      <c r="S96" s="127"/>
      <c r="T96" s="139"/>
      <c r="U96" s="168"/>
      <c r="V96" s="7" t="s">
        <v>647</v>
      </c>
      <c r="W96" s="7" t="s">
        <v>690</v>
      </c>
      <c r="X96" s="154" t="s">
        <v>690</v>
      </c>
      <c r="Y96" s="7" t="s">
        <v>662</v>
      </c>
      <c r="Z96" s="7"/>
      <c r="AA96" s="7" t="str">
        <f>IFERROR((VLOOKUP(F96,#REF!,2,FALSE)),"-")</f>
        <v>-</v>
      </c>
      <c r="AB96" s="119" t="e">
        <f>CONCATENATE(F96," - ",I96," - ",#REF!,)</f>
        <v>#REF!</v>
      </c>
    </row>
    <row r="97" spans="1:28" s="116" customFormat="1" ht="30">
      <c r="A97" s="114"/>
      <c r="B97" s="120"/>
      <c r="C97" s="129" t="str">
        <f t="shared" si="3"/>
        <v>week-0</v>
      </c>
      <c r="D97" s="120" t="str">
        <f t="shared" si="4"/>
        <v>Jan</v>
      </c>
      <c r="E97" s="7"/>
      <c r="F97" s="7"/>
      <c r="G97" s="120"/>
      <c r="H97" s="120"/>
      <c r="I97" s="132"/>
      <c r="J97" s="132"/>
      <c r="K97" s="115"/>
      <c r="L97" s="115"/>
      <c r="M97" s="8"/>
      <c r="N97" s="8" t="str">
        <f t="shared" si="5"/>
        <v>-</v>
      </c>
      <c r="O97" s="127"/>
      <c r="P97" s="127"/>
      <c r="Q97" s="127"/>
      <c r="R97" s="127"/>
      <c r="S97" s="127"/>
      <c r="T97" s="139"/>
      <c r="U97" s="168"/>
      <c r="V97" s="7" t="s">
        <v>647</v>
      </c>
      <c r="W97" s="155" t="s">
        <v>696</v>
      </c>
      <c r="X97" s="146"/>
      <c r="Y97" s="7" t="s">
        <v>662</v>
      </c>
      <c r="Z97" s="7"/>
      <c r="AA97" s="7" t="str">
        <f>IFERROR((VLOOKUP(F97,#REF!,2,FALSE)),"-")</f>
        <v>-</v>
      </c>
      <c r="AB97" s="119" t="e">
        <f>CONCATENATE(F97," - ",I97," - ",#REF!,)</f>
        <v>#REF!</v>
      </c>
    </row>
    <row r="98" spans="1:28" s="116" customFormat="1" ht="29.25" customHeight="1">
      <c r="A98" s="114"/>
      <c r="B98" s="120"/>
      <c r="C98" s="129" t="str">
        <f t="shared" si="3"/>
        <v>week-0</v>
      </c>
      <c r="D98" s="120" t="str">
        <f t="shared" si="4"/>
        <v>Jan</v>
      </c>
      <c r="E98" s="7"/>
      <c r="F98" s="7"/>
      <c r="G98" s="120"/>
      <c r="H98" s="120"/>
      <c r="I98" s="132"/>
      <c r="J98" s="132"/>
      <c r="K98" s="115"/>
      <c r="L98" s="115"/>
      <c r="M98" s="8"/>
      <c r="N98" s="8" t="str">
        <f t="shared" si="5"/>
        <v>-</v>
      </c>
      <c r="O98" s="127"/>
      <c r="P98" s="127"/>
      <c r="Q98" s="127"/>
      <c r="R98" s="127"/>
      <c r="S98" s="127"/>
      <c r="T98" s="139"/>
      <c r="U98" s="168"/>
      <c r="V98" s="7" t="s">
        <v>647</v>
      </c>
      <c r="W98" s="7" t="s">
        <v>697</v>
      </c>
      <c r="X98" s="146"/>
      <c r="Y98" s="7" t="s">
        <v>662</v>
      </c>
      <c r="Z98" s="7"/>
      <c r="AA98" s="7" t="str">
        <f>IFERROR((VLOOKUP(F98,#REF!,2,FALSE)),"-")</f>
        <v>-</v>
      </c>
      <c r="AB98" s="119" t="e">
        <f>CONCATENATE(F98," - ",I98," - ",#REF!,)</f>
        <v>#REF!</v>
      </c>
    </row>
    <row r="99" spans="1:28" s="116" customFormat="1" ht="68.25" customHeight="1">
      <c r="A99" s="114"/>
      <c r="B99" s="120"/>
      <c r="C99" s="129" t="str">
        <f t="shared" si="3"/>
        <v>week-0</v>
      </c>
      <c r="D99" s="120" t="str">
        <f t="shared" si="4"/>
        <v>Jan</v>
      </c>
      <c r="E99" s="7"/>
      <c r="F99" s="7"/>
      <c r="G99" s="120"/>
      <c r="H99" s="120"/>
      <c r="I99" s="132"/>
      <c r="J99" s="132"/>
      <c r="K99" s="115"/>
      <c r="L99" s="115"/>
      <c r="M99" s="8"/>
      <c r="N99" s="8" t="str">
        <f t="shared" si="5"/>
        <v>-</v>
      </c>
      <c r="O99" s="127"/>
      <c r="P99" s="127"/>
      <c r="Q99" s="127"/>
      <c r="R99" s="127"/>
      <c r="S99" s="127"/>
      <c r="T99" s="139"/>
      <c r="U99" s="168"/>
      <c r="V99" s="7" t="s">
        <v>647</v>
      </c>
      <c r="W99" s="7"/>
      <c r="X99" s="146"/>
      <c r="Y99" s="7" t="s">
        <v>662</v>
      </c>
      <c r="Z99" s="7"/>
      <c r="AA99" s="7" t="str">
        <f>IFERROR((VLOOKUP(F99,#REF!,2,FALSE)),"-")</f>
        <v>-</v>
      </c>
      <c r="AB99" s="119" t="e">
        <f>CONCATENATE(F99," - ",I99," - ",#REF!,)</f>
        <v>#REF!</v>
      </c>
    </row>
    <row r="100" spans="1:28" s="116" customFormat="1" ht="28.5" customHeight="1">
      <c r="A100" s="114"/>
      <c r="B100" s="120"/>
      <c r="C100" s="129" t="str">
        <f t="shared" si="3"/>
        <v>week-0</v>
      </c>
      <c r="D100" s="120" t="str">
        <f t="shared" si="4"/>
        <v>Jan</v>
      </c>
      <c r="E100" s="7"/>
      <c r="F100" s="7"/>
      <c r="G100" s="120"/>
      <c r="H100" s="120"/>
      <c r="I100" s="132"/>
      <c r="J100" s="132"/>
      <c r="K100" s="115"/>
      <c r="L100" s="115"/>
      <c r="M100" s="8"/>
      <c r="N100" s="8" t="str">
        <f t="shared" si="5"/>
        <v>-</v>
      </c>
      <c r="O100" s="127"/>
      <c r="P100" s="127"/>
      <c r="Q100" s="127"/>
      <c r="R100" s="127"/>
      <c r="S100" s="127"/>
      <c r="T100" s="139"/>
      <c r="U100" s="168"/>
      <c r="V100" s="7" t="s">
        <v>647</v>
      </c>
      <c r="W100" s="7"/>
      <c r="X100" s="146" t="s">
        <v>723</v>
      </c>
      <c r="Y100" s="7" t="s">
        <v>662</v>
      </c>
      <c r="Z100" s="7"/>
      <c r="AA100" s="7" t="str">
        <f>IFERROR((VLOOKUP(F100,#REF!,2,FALSE)),"-")</f>
        <v>-</v>
      </c>
      <c r="AB100" s="119" t="e">
        <f>CONCATENATE(F100," - ",I100," - ",#REF!,)</f>
        <v>#REF!</v>
      </c>
    </row>
    <row r="101" spans="1:28" s="116" customFormat="1" ht="15">
      <c r="A101" s="114"/>
      <c r="B101" s="120"/>
      <c r="C101" s="129" t="str">
        <f t="shared" si="3"/>
        <v>week-0</v>
      </c>
      <c r="D101" s="120" t="str">
        <f t="shared" si="4"/>
        <v>Jan</v>
      </c>
      <c r="E101" s="7"/>
      <c r="F101" s="7"/>
      <c r="G101" s="120"/>
      <c r="H101" s="120"/>
      <c r="I101" s="171"/>
      <c r="J101" s="132"/>
      <c r="K101" s="115"/>
      <c r="L101" s="115"/>
      <c r="M101" s="8"/>
      <c r="N101" s="8" t="str">
        <f t="shared" si="5"/>
        <v>-</v>
      </c>
      <c r="O101" s="127"/>
      <c r="P101" s="127"/>
      <c r="Q101" s="127"/>
      <c r="R101" s="127"/>
      <c r="S101" s="127"/>
      <c r="T101" s="139"/>
      <c r="U101" s="168"/>
      <c r="V101" s="7" t="s">
        <v>647</v>
      </c>
      <c r="W101" s="161" t="s">
        <v>691</v>
      </c>
      <c r="X101" s="146"/>
      <c r="Y101" s="7" t="s">
        <v>662</v>
      </c>
      <c r="Z101" s="7"/>
      <c r="AA101" s="7" t="str">
        <f>IFERROR((VLOOKUP(F101,#REF!,2,FALSE)),"-")</f>
        <v>-</v>
      </c>
      <c r="AB101" s="119" t="e">
        <f>CONCATENATE(F101," - ",I101," - ",#REF!,)</f>
        <v>#REF!</v>
      </c>
    </row>
    <row r="102" spans="1:28" s="116" customFormat="1" ht="15">
      <c r="A102" s="114"/>
      <c r="B102" s="120"/>
      <c r="C102" s="129" t="str">
        <f t="shared" si="3"/>
        <v>week-0</v>
      </c>
      <c r="D102" s="120" t="str">
        <f t="shared" si="4"/>
        <v>Jan</v>
      </c>
      <c r="E102" s="7"/>
      <c r="F102" s="7"/>
      <c r="G102" s="120"/>
      <c r="H102" s="120"/>
      <c r="I102" s="171"/>
      <c r="J102" s="132"/>
      <c r="K102" s="115"/>
      <c r="L102" s="115"/>
      <c r="M102" s="8"/>
      <c r="N102" s="8" t="str">
        <f t="shared" si="5"/>
        <v>-</v>
      </c>
      <c r="O102" s="127"/>
      <c r="P102" s="127"/>
      <c r="Q102" s="127"/>
      <c r="R102" s="127"/>
      <c r="S102" s="127"/>
      <c r="T102" s="139"/>
      <c r="U102" s="168"/>
      <c r="V102" s="7" t="s">
        <v>647</v>
      </c>
      <c r="W102" s="161" t="s">
        <v>725</v>
      </c>
      <c r="X102" s="146"/>
      <c r="Y102" s="7" t="s">
        <v>662</v>
      </c>
      <c r="Z102" s="7"/>
      <c r="AA102" s="7" t="str">
        <f>IFERROR((VLOOKUP(F102,#REF!,2,FALSE)),"-")</f>
        <v>-</v>
      </c>
      <c r="AB102" s="119" t="e">
        <f>CONCATENATE(F102," - ",I102," - ",#REF!,)</f>
        <v>#REF!</v>
      </c>
    </row>
    <row r="103" spans="1:28" s="116" customFormat="1" ht="44.25" customHeight="1">
      <c r="A103" s="114"/>
      <c r="B103" s="120"/>
      <c r="C103" s="129" t="str">
        <f t="shared" si="3"/>
        <v>week-0</v>
      </c>
      <c r="D103" s="120" t="str">
        <f t="shared" si="4"/>
        <v>Jan</v>
      </c>
      <c r="E103" s="7"/>
      <c r="F103" s="7"/>
      <c r="G103" s="120"/>
      <c r="H103" s="120"/>
      <c r="I103" s="171"/>
      <c r="J103" s="132"/>
      <c r="K103" s="115"/>
      <c r="L103" s="115"/>
      <c r="M103" s="8"/>
      <c r="N103" s="8" t="str">
        <f t="shared" si="5"/>
        <v>-</v>
      </c>
      <c r="O103" s="127"/>
      <c r="P103" s="127"/>
      <c r="Q103" s="127"/>
      <c r="R103" s="127"/>
      <c r="S103" s="127"/>
      <c r="T103" s="139"/>
      <c r="U103" s="168"/>
      <c r="V103" s="7" t="s">
        <v>647</v>
      </c>
      <c r="W103" s="161" t="s">
        <v>663</v>
      </c>
      <c r="X103" s="146"/>
      <c r="Y103" s="7" t="s">
        <v>662</v>
      </c>
      <c r="Z103" s="7"/>
      <c r="AA103" s="7" t="str">
        <f>IFERROR((VLOOKUP(F103,#REF!,2,FALSE)),"-")</f>
        <v>-</v>
      </c>
      <c r="AB103" s="119" t="e">
        <f>CONCATENATE(F103," - ",I103," - ",#REF!,)</f>
        <v>#REF!</v>
      </c>
    </row>
    <row r="104" spans="1:28" s="116" customFormat="1" ht="15">
      <c r="A104" s="114"/>
      <c r="B104" s="120"/>
      <c r="C104" s="129" t="str">
        <f t="shared" si="3"/>
        <v>week-0</v>
      </c>
      <c r="D104" s="120" t="str">
        <f t="shared" si="4"/>
        <v>Jan</v>
      </c>
      <c r="E104" s="7"/>
      <c r="F104" s="7"/>
      <c r="G104" s="120"/>
      <c r="H104" s="120"/>
      <c r="I104" s="171"/>
      <c r="J104" s="132"/>
      <c r="K104" s="115"/>
      <c r="L104" s="115"/>
      <c r="M104" s="8"/>
      <c r="N104" s="8" t="str">
        <f t="shared" si="5"/>
        <v>-</v>
      </c>
      <c r="O104" s="127"/>
      <c r="P104" s="127"/>
      <c r="Q104" s="127"/>
      <c r="R104" s="127"/>
      <c r="S104" s="127"/>
      <c r="T104" s="139"/>
      <c r="U104" s="168"/>
      <c r="V104" s="7" t="s">
        <v>651</v>
      </c>
      <c r="W104" s="161" t="s">
        <v>663</v>
      </c>
      <c r="X104" s="159"/>
      <c r="Y104" s="7" t="s">
        <v>662</v>
      </c>
      <c r="Z104" s="7"/>
      <c r="AA104" s="7" t="str">
        <f>IFERROR((VLOOKUP(F104,#REF!,2,FALSE)),"-")</f>
        <v>-</v>
      </c>
      <c r="AB104" s="119" t="e">
        <f>CONCATENATE(F104," - ",I104," - ",#REF!,)</f>
        <v>#REF!</v>
      </c>
    </row>
    <row r="105" spans="1:28" s="116" customFormat="1" ht="15">
      <c r="A105" s="114"/>
      <c r="B105" s="120"/>
      <c r="C105" s="129" t="str">
        <f t="shared" si="3"/>
        <v>week-0</v>
      </c>
      <c r="D105" s="120" t="str">
        <f t="shared" si="4"/>
        <v>Jan</v>
      </c>
      <c r="E105" s="7"/>
      <c r="F105" s="7"/>
      <c r="G105" s="120"/>
      <c r="H105" s="120"/>
      <c r="I105" s="171"/>
      <c r="J105" s="132"/>
      <c r="K105" s="115"/>
      <c r="L105" s="115"/>
      <c r="M105" s="8"/>
      <c r="N105" s="8" t="str">
        <f t="shared" si="5"/>
        <v>-</v>
      </c>
      <c r="O105" s="127"/>
      <c r="P105" s="127"/>
      <c r="Q105" s="127"/>
      <c r="R105" s="127"/>
      <c r="S105" s="127"/>
      <c r="T105" s="139"/>
      <c r="U105" s="168"/>
      <c r="V105" s="7" t="s">
        <v>647</v>
      </c>
      <c r="W105" s="161" t="s">
        <v>726</v>
      </c>
      <c r="X105" s="146"/>
      <c r="Y105" s="7" t="s">
        <v>727</v>
      </c>
      <c r="Z105" s="7"/>
      <c r="AA105" s="7" t="str">
        <f>IFERROR((VLOOKUP(F105,#REF!,2,FALSE)),"-")</f>
        <v>-</v>
      </c>
      <c r="AB105" s="119" t="e">
        <f>CONCATENATE(F105," - ",I105," - ",#REF!,)</f>
        <v>#REF!</v>
      </c>
    </row>
    <row r="106" spans="1:28" s="116" customFormat="1" ht="15">
      <c r="A106" s="114"/>
      <c r="B106" s="120"/>
      <c r="C106" s="129" t="str">
        <f t="shared" si="3"/>
        <v>week-0</v>
      </c>
      <c r="D106" s="120" t="str">
        <f t="shared" si="4"/>
        <v>Jan</v>
      </c>
      <c r="E106" s="7"/>
      <c r="F106" s="7"/>
      <c r="G106" s="120"/>
      <c r="H106" s="120"/>
      <c r="I106" s="171"/>
      <c r="J106" s="132"/>
      <c r="K106" s="115"/>
      <c r="L106" s="115"/>
      <c r="M106" s="8"/>
      <c r="N106" s="8" t="str">
        <f t="shared" si="5"/>
        <v>-</v>
      </c>
      <c r="O106" s="127"/>
      <c r="P106" s="127"/>
      <c r="Q106" s="127"/>
      <c r="R106" s="127"/>
      <c r="S106" s="127"/>
      <c r="T106" s="139"/>
      <c r="U106" s="168"/>
      <c r="V106" s="7" t="s">
        <v>647</v>
      </c>
      <c r="W106" s="161" t="s">
        <v>691</v>
      </c>
      <c r="X106" s="146"/>
      <c r="Y106" s="7" t="s">
        <v>727</v>
      </c>
      <c r="Z106" s="7"/>
      <c r="AA106" s="7" t="str">
        <f>IFERROR((VLOOKUP(F106,#REF!,2,FALSE)),"-")</f>
        <v>-</v>
      </c>
      <c r="AB106" s="119" t="e">
        <f>CONCATENATE(F106," - ",I106," - ",#REF!,)</f>
        <v>#REF!</v>
      </c>
    </row>
    <row r="107" spans="1:28" s="116" customFormat="1" ht="15">
      <c r="A107" s="114"/>
      <c r="B107" s="120"/>
      <c r="C107" s="129" t="str">
        <f t="shared" si="3"/>
        <v>week-0</v>
      </c>
      <c r="D107" s="120" t="str">
        <f t="shared" si="4"/>
        <v>Jan</v>
      </c>
      <c r="E107" s="7"/>
      <c r="F107" s="7"/>
      <c r="G107" s="120"/>
      <c r="H107" s="120"/>
      <c r="I107" s="171"/>
      <c r="J107" s="132"/>
      <c r="K107" s="115"/>
      <c r="L107" s="115"/>
      <c r="M107" s="8"/>
      <c r="N107" s="8" t="str">
        <f t="shared" si="5"/>
        <v>-</v>
      </c>
      <c r="O107" s="127"/>
      <c r="P107" s="127"/>
      <c r="Q107" s="127"/>
      <c r="R107" s="127"/>
      <c r="S107" s="127"/>
      <c r="T107" s="139"/>
      <c r="U107" s="168"/>
      <c r="V107" s="7" t="s">
        <v>647</v>
      </c>
      <c r="W107" s="7" t="s">
        <v>728</v>
      </c>
      <c r="X107" s="7" t="s">
        <v>721</v>
      </c>
      <c r="Y107" s="7" t="s">
        <v>727</v>
      </c>
      <c r="Z107" s="7"/>
      <c r="AA107" s="7" t="str">
        <f>IFERROR((VLOOKUP(F107,#REF!,2,FALSE)),"-")</f>
        <v>-</v>
      </c>
      <c r="AB107" s="119" t="e">
        <f>CONCATENATE(F107," - ",I107," - ",#REF!,)</f>
        <v>#REF!</v>
      </c>
    </row>
    <row r="108" spans="1:28" s="116" customFormat="1" ht="15">
      <c r="A108" s="114"/>
      <c r="B108" s="120"/>
      <c r="C108" s="129" t="str">
        <f t="shared" si="3"/>
        <v>week-0</v>
      </c>
      <c r="D108" s="120" t="str">
        <f t="shared" si="4"/>
        <v>Jan</v>
      </c>
      <c r="E108" s="7"/>
      <c r="F108" s="7"/>
      <c r="G108" s="120"/>
      <c r="H108" s="120"/>
      <c r="I108" s="171"/>
      <c r="J108" s="132"/>
      <c r="K108" s="115"/>
      <c r="L108" s="115"/>
      <c r="M108" s="8"/>
      <c r="N108" s="8" t="str">
        <f t="shared" si="5"/>
        <v>-</v>
      </c>
      <c r="O108" s="127"/>
      <c r="P108" s="127"/>
      <c r="Q108" s="127"/>
      <c r="R108" s="127"/>
      <c r="S108" s="127"/>
      <c r="T108" s="139"/>
      <c r="U108" s="168"/>
      <c r="V108" s="7" t="s">
        <v>647</v>
      </c>
      <c r="W108" s="161" t="s">
        <v>673</v>
      </c>
      <c r="X108" s="160" t="s">
        <v>673</v>
      </c>
      <c r="Y108" s="7" t="s">
        <v>727</v>
      </c>
      <c r="Z108" s="7"/>
      <c r="AA108" s="7" t="str">
        <f>IFERROR((VLOOKUP(F108,#REF!,2,FALSE)),"-")</f>
        <v>-</v>
      </c>
      <c r="AB108" s="119" t="e">
        <f>CONCATENATE(F108," - ",I108," - ",#REF!,)</f>
        <v>#REF!</v>
      </c>
    </row>
    <row r="109" spans="1:28" s="116" customFormat="1" ht="15">
      <c r="A109" s="114"/>
      <c r="B109" s="120"/>
      <c r="C109" s="129" t="str">
        <f t="shared" si="3"/>
        <v>week-0</v>
      </c>
      <c r="D109" s="120" t="str">
        <f t="shared" si="4"/>
        <v>Jan</v>
      </c>
      <c r="E109" s="7"/>
      <c r="F109" s="7"/>
      <c r="G109" s="120"/>
      <c r="H109" s="120"/>
      <c r="I109" s="171"/>
      <c r="J109" s="132"/>
      <c r="K109" s="115"/>
      <c r="L109" s="115"/>
      <c r="M109" s="8"/>
      <c r="N109" s="8" t="str">
        <f t="shared" si="5"/>
        <v>-</v>
      </c>
      <c r="O109" s="127"/>
      <c r="P109" s="127"/>
      <c r="Q109" s="127"/>
      <c r="R109" s="127"/>
      <c r="S109" s="127"/>
      <c r="T109" s="139"/>
      <c r="U109" s="168"/>
      <c r="V109" s="7" t="s">
        <v>647</v>
      </c>
      <c r="W109" s="161" t="s">
        <v>663</v>
      </c>
      <c r="X109" s="7" t="s">
        <v>721</v>
      </c>
      <c r="Y109" s="7" t="s">
        <v>727</v>
      </c>
      <c r="Z109" s="7"/>
      <c r="AA109" s="7" t="str">
        <f>IFERROR((VLOOKUP(F109,#REF!,2,FALSE)),"-")</f>
        <v>-</v>
      </c>
      <c r="AB109" s="119" t="e">
        <f>CONCATENATE(F109," - ",I109," - ",#REF!,)</f>
        <v>#REF!</v>
      </c>
    </row>
    <row r="110" spans="1:28" s="116" customFormat="1" ht="15">
      <c r="A110" s="114"/>
      <c r="B110" s="120"/>
      <c r="C110" s="129" t="str">
        <f t="shared" si="3"/>
        <v>week-0</v>
      </c>
      <c r="D110" s="120" t="str">
        <f t="shared" si="4"/>
        <v>Jan</v>
      </c>
      <c r="E110" s="7"/>
      <c r="F110" s="7"/>
      <c r="G110" s="120"/>
      <c r="H110" s="120"/>
      <c r="I110" s="171"/>
      <c r="J110" s="132"/>
      <c r="K110" s="115"/>
      <c r="L110" s="115"/>
      <c r="M110" s="166"/>
      <c r="N110" s="8" t="str">
        <f t="shared" si="5"/>
        <v>-</v>
      </c>
      <c r="O110" s="127"/>
      <c r="P110" s="127"/>
      <c r="Q110" s="127"/>
      <c r="R110" s="127"/>
      <c r="S110" s="127"/>
      <c r="T110" s="139"/>
      <c r="U110" s="168"/>
      <c r="V110" s="7" t="s">
        <v>647</v>
      </c>
      <c r="W110" s="161" t="s">
        <v>691</v>
      </c>
      <c r="X110" s="7" t="s">
        <v>721</v>
      </c>
      <c r="Y110" s="7" t="s">
        <v>727</v>
      </c>
      <c r="Z110" s="7"/>
      <c r="AA110" s="7" t="str">
        <f>IFERROR((VLOOKUP(F110,#REF!,2,FALSE)),"-")</f>
        <v>-</v>
      </c>
      <c r="AB110" s="119" t="e">
        <f>CONCATENATE(F110," - ",I110," - ",#REF!,)</f>
        <v>#REF!</v>
      </c>
    </row>
    <row r="111" spans="1:28" s="116" customFormat="1" ht="28.5" customHeight="1">
      <c r="A111" s="114"/>
      <c r="B111" s="120"/>
      <c r="C111" s="129" t="str">
        <f t="shared" si="3"/>
        <v>week-0</v>
      </c>
      <c r="D111" s="120" t="str">
        <f t="shared" si="4"/>
        <v>Jan</v>
      </c>
      <c r="E111" s="7"/>
      <c r="F111" s="7"/>
      <c r="G111" s="120"/>
      <c r="H111" s="120"/>
      <c r="I111" s="171"/>
      <c r="J111" s="132"/>
      <c r="K111" s="115"/>
      <c r="L111" s="115"/>
      <c r="M111" s="8"/>
      <c r="N111" s="8" t="str">
        <f t="shared" si="5"/>
        <v>-</v>
      </c>
      <c r="O111" s="127"/>
      <c r="P111" s="127"/>
      <c r="Q111" s="127"/>
      <c r="R111" s="127"/>
      <c r="S111" s="127"/>
      <c r="T111" s="139"/>
      <c r="U111" s="168"/>
      <c r="V111" s="7" t="s">
        <v>647</v>
      </c>
      <c r="W111" s="161" t="s">
        <v>711</v>
      </c>
      <c r="X111" s="146" t="s">
        <v>722</v>
      </c>
      <c r="Y111" s="7" t="s">
        <v>727</v>
      </c>
      <c r="Z111" s="7"/>
      <c r="AA111" s="7" t="str">
        <f>IFERROR((VLOOKUP(F111,#REF!,2,FALSE)),"-")</f>
        <v>-</v>
      </c>
      <c r="AB111" s="119" t="e">
        <f>CONCATENATE(F111," - ",I111," - ",#REF!,)</f>
        <v>#REF!</v>
      </c>
    </row>
    <row r="112" spans="1:28" s="116" customFormat="1" ht="15">
      <c r="A112" s="114"/>
      <c r="B112" s="120"/>
      <c r="C112" s="129" t="str">
        <f t="shared" si="3"/>
        <v>week-0</v>
      </c>
      <c r="D112" s="120" t="str">
        <f t="shared" si="4"/>
        <v>Jan</v>
      </c>
      <c r="E112" s="7"/>
      <c r="F112" s="7"/>
      <c r="G112" s="120"/>
      <c r="H112" s="120"/>
      <c r="I112" s="171"/>
      <c r="J112" s="132"/>
      <c r="K112" s="115"/>
      <c r="L112" s="115"/>
      <c r="M112" s="8"/>
      <c r="N112" s="8" t="str">
        <f t="shared" si="5"/>
        <v>-</v>
      </c>
      <c r="O112" s="127"/>
      <c r="P112" s="127"/>
      <c r="Q112" s="127"/>
      <c r="R112" s="127"/>
      <c r="S112" s="127"/>
      <c r="T112" s="139"/>
      <c r="U112" s="168"/>
      <c r="V112" s="7" t="s">
        <v>647</v>
      </c>
      <c r="W112" s="7" t="s">
        <v>663</v>
      </c>
      <c r="X112" s="146" t="s">
        <v>694</v>
      </c>
      <c r="Y112" s="7" t="s">
        <v>727</v>
      </c>
      <c r="Z112" s="7"/>
      <c r="AA112" s="7" t="str">
        <f>IFERROR((VLOOKUP(F112,#REF!,2,FALSE)),"-")</f>
        <v>-</v>
      </c>
      <c r="AB112" s="119" t="e">
        <f>CONCATENATE(F112," - ",I112," - ",#REF!,)</f>
        <v>#REF!</v>
      </c>
    </row>
    <row r="113" spans="1:28" s="116" customFormat="1" ht="15">
      <c r="A113" s="114"/>
      <c r="B113" s="120"/>
      <c r="C113" s="129" t="str">
        <f t="shared" si="3"/>
        <v>week-0</v>
      </c>
      <c r="D113" s="120" t="str">
        <f t="shared" si="4"/>
        <v>Jan</v>
      </c>
      <c r="E113" s="7"/>
      <c r="F113" s="7"/>
      <c r="G113" s="120"/>
      <c r="H113" s="120"/>
      <c r="I113" s="171"/>
      <c r="J113" s="132"/>
      <c r="K113" s="115"/>
      <c r="L113" s="115"/>
      <c r="M113" s="8"/>
      <c r="N113" s="8" t="str">
        <f t="shared" si="5"/>
        <v>-</v>
      </c>
      <c r="O113" s="127"/>
      <c r="P113" s="127"/>
      <c r="Q113" s="127"/>
      <c r="R113" s="127"/>
      <c r="S113" s="127"/>
      <c r="T113" s="139"/>
      <c r="U113" s="168"/>
      <c r="V113" s="7" t="s">
        <v>647</v>
      </c>
      <c r="W113" s="7" t="s">
        <v>728</v>
      </c>
      <c r="X113" s="146" t="s">
        <v>724</v>
      </c>
      <c r="Y113" s="7" t="s">
        <v>727</v>
      </c>
      <c r="Z113" s="7"/>
      <c r="AA113" s="7" t="str">
        <f>IFERROR((VLOOKUP(F113,#REF!,2,FALSE)),"-")</f>
        <v>-</v>
      </c>
      <c r="AB113" s="119" t="e">
        <f>CONCATENATE(F113," - ",I113," - ",#REF!,)</f>
        <v>#REF!</v>
      </c>
    </row>
    <row r="114" spans="1:28" s="116" customFormat="1" ht="15">
      <c r="A114" s="114"/>
      <c r="B114" s="120"/>
      <c r="C114" s="129" t="str">
        <f t="shared" si="3"/>
        <v>week-0</v>
      </c>
      <c r="D114" s="120" t="str">
        <f t="shared" si="4"/>
        <v>Jan</v>
      </c>
      <c r="E114" s="7"/>
      <c r="F114" s="7"/>
      <c r="G114" s="120"/>
      <c r="H114" s="120"/>
      <c r="I114" s="171"/>
      <c r="J114" s="132"/>
      <c r="K114" s="115"/>
      <c r="L114" s="115"/>
      <c r="M114" s="166"/>
      <c r="N114" s="8" t="str">
        <f t="shared" si="5"/>
        <v>-</v>
      </c>
      <c r="O114" s="127"/>
      <c r="P114" s="127"/>
      <c r="Q114" s="127"/>
      <c r="R114" s="139"/>
      <c r="S114" s="127"/>
      <c r="T114" s="139"/>
      <c r="U114" s="168"/>
      <c r="V114" s="7" t="s">
        <v>647</v>
      </c>
      <c r="W114" s="7" t="s">
        <v>703</v>
      </c>
      <c r="X114" s="146" t="s">
        <v>694</v>
      </c>
      <c r="Y114" s="7" t="s">
        <v>727</v>
      </c>
      <c r="Z114" s="7"/>
      <c r="AA114" s="7" t="str">
        <f>IFERROR((VLOOKUP(F114,#REF!,2,FALSE)),"-")</f>
        <v>-</v>
      </c>
      <c r="AB114" s="119" t="e">
        <f>CONCATENATE(F114," - ",I114," - ",#REF!,)</f>
        <v>#REF!</v>
      </c>
    </row>
    <row r="115" spans="1:28" s="116" customFormat="1" ht="15">
      <c r="A115" s="114"/>
      <c r="B115" s="120"/>
      <c r="C115" s="129" t="str">
        <f t="shared" si="3"/>
        <v>week-0</v>
      </c>
      <c r="D115" s="120" t="str">
        <f t="shared" si="4"/>
        <v>Jan</v>
      </c>
      <c r="E115" s="7"/>
      <c r="F115" s="7"/>
      <c r="G115" s="120"/>
      <c r="H115" s="120"/>
      <c r="I115" s="171"/>
      <c r="J115" s="132"/>
      <c r="K115" s="115"/>
      <c r="L115" s="115"/>
      <c r="M115" s="166"/>
      <c r="N115" s="8" t="str">
        <f t="shared" si="5"/>
        <v>-</v>
      </c>
      <c r="O115" s="127"/>
      <c r="P115" s="127"/>
      <c r="Q115" s="127"/>
      <c r="R115" s="127"/>
      <c r="S115" s="127"/>
      <c r="T115" s="139"/>
      <c r="U115" s="163"/>
      <c r="V115" s="7" t="s">
        <v>647</v>
      </c>
      <c r="W115" s="7"/>
      <c r="X115" s="162" t="s">
        <v>694</v>
      </c>
      <c r="Y115" s="7" t="s">
        <v>727</v>
      </c>
      <c r="Z115" s="7"/>
      <c r="AA115" s="7" t="str">
        <f>IFERROR((VLOOKUP(F115,#REF!,2,FALSE)),"-")</f>
        <v>-</v>
      </c>
      <c r="AB115" s="119" t="e">
        <f>CONCATENATE(F115," - ",I115," - ",#REF!,)</f>
        <v>#REF!</v>
      </c>
    </row>
    <row r="116" spans="1:28" s="116" customFormat="1" ht="15">
      <c r="A116" s="114"/>
      <c r="B116" s="120"/>
      <c r="C116" s="129" t="str">
        <f t="shared" si="3"/>
        <v>week-0</v>
      </c>
      <c r="D116" s="120" t="str">
        <f t="shared" si="4"/>
        <v>Jan</v>
      </c>
      <c r="E116" s="7"/>
      <c r="F116" s="7"/>
      <c r="G116" s="120"/>
      <c r="H116" s="120"/>
      <c r="I116" s="171"/>
      <c r="J116" s="132"/>
      <c r="K116" s="115"/>
      <c r="L116" s="115"/>
      <c r="M116" s="8"/>
      <c r="N116" s="8" t="str">
        <f t="shared" si="5"/>
        <v>-</v>
      </c>
      <c r="O116" s="127"/>
      <c r="P116" s="127"/>
      <c r="Q116" s="127"/>
      <c r="R116" s="127"/>
      <c r="S116" s="127"/>
      <c r="T116" s="139"/>
      <c r="U116" s="168"/>
      <c r="V116" s="7"/>
      <c r="W116" s="7"/>
      <c r="X116" s="146" t="s">
        <v>729</v>
      </c>
      <c r="Y116" s="7" t="s">
        <v>727</v>
      </c>
      <c r="Z116" s="7"/>
      <c r="AA116" s="7" t="str">
        <f>IFERROR((VLOOKUP(F116,#REF!,2,FALSE)),"-")</f>
        <v>-</v>
      </c>
      <c r="AB116" s="119" t="e">
        <f>CONCATENATE(F116," - ",I116," - ",#REF!,)</f>
        <v>#REF!</v>
      </c>
    </row>
    <row r="117" spans="1:28" s="116" customFormat="1" ht="15">
      <c r="A117" s="114"/>
      <c r="B117" s="120"/>
      <c r="C117" s="129" t="str">
        <f t="shared" si="3"/>
        <v>week-0</v>
      </c>
      <c r="D117" s="120" t="str">
        <f t="shared" si="4"/>
        <v>Jan</v>
      </c>
      <c r="E117" s="7"/>
      <c r="F117" s="7"/>
      <c r="G117" s="120"/>
      <c r="H117" s="120"/>
      <c r="I117" s="171"/>
      <c r="J117" s="132"/>
      <c r="K117" s="115"/>
      <c r="L117" s="115"/>
      <c r="M117" s="8"/>
      <c r="N117" s="8" t="str">
        <f t="shared" si="5"/>
        <v>-</v>
      </c>
      <c r="O117" s="127"/>
      <c r="P117" s="127"/>
      <c r="Q117" s="127"/>
      <c r="R117" s="127"/>
      <c r="S117" s="127"/>
      <c r="T117" s="139"/>
      <c r="U117" s="168"/>
      <c r="V117" s="7" t="s">
        <v>647</v>
      </c>
      <c r="W117" s="7"/>
      <c r="X117" s="146" t="s">
        <v>737</v>
      </c>
      <c r="Y117" s="7" t="s">
        <v>727</v>
      </c>
      <c r="Z117" s="7"/>
      <c r="AA117" s="7" t="str">
        <f>IFERROR((VLOOKUP(F117,#REF!,2,FALSE)),"-")</f>
        <v>-</v>
      </c>
      <c r="AB117" s="119" t="e">
        <f>CONCATENATE(F117," - ",I117," - ",#REF!,)</f>
        <v>#REF!</v>
      </c>
    </row>
    <row r="118" spans="1:28" s="116" customFormat="1" ht="15">
      <c r="A118" s="114"/>
      <c r="B118" s="120"/>
      <c r="C118" s="129" t="str">
        <f t="shared" si="3"/>
        <v>week-0</v>
      </c>
      <c r="D118" s="120" t="str">
        <f t="shared" si="4"/>
        <v>Jan</v>
      </c>
      <c r="E118" s="7"/>
      <c r="F118" s="7"/>
      <c r="G118" s="120"/>
      <c r="H118" s="120"/>
      <c r="I118" s="171"/>
      <c r="J118" s="132"/>
      <c r="K118" s="115"/>
      <c r="L118" s="115"/>
      <c r="M118" s="8"/>
      <c r="N118" s="8" t="str">
        <f t="shared" si="5"/>
        <v>-</v>
      </c>
      <c r="O118" s="127"/>
      <c r="P118" s="127"/>
      <c r="Q118" s="127"/>
      <c r="R118" s="127"/>
      <c r="S118" s="127"/>
      <c r="T118" s="139"/>
      <c r="U118" s="168"/>
      <c r="V118" s="7" t="s">
        <v>647</v>
      </c>
      <c r="W118" s="7"/>
      <c r="X118" s="146" t="s">
        <v>703</v>
      </c>
      <c r="Y118" s="7" t="s">
        <v>727</v>
      </c>
      <c r="Z118" s="7"/>
      <c r="AA118" s="7" t="str">
        <f>IFERROR((VLOOKUP(F118,#REF!,2,FALSE)),"-")</f>
        <v>-</v>
      </c>
      <c r="AB118" s="119" t="e">
        <f>CONCATENATE(F118," - ",I118," - ",#REF!,)</f>
        <v>#REF!</v>
      </c>
    </row>
    <row r="119" spans="1:28" s="116" customFormat="1" ht="15">
      <c r="A119" s="114"/>
      <c r="B119" s="120"/>
      <c r="C119" s="129" t="str">
        <f t="shared" si="3"/>
        <v>week-0</v>
      </c>
      <c r="D119" s="120" t="str">
        <f t="shared" si="4"/>
        <v>Jan</v>
      </c>
      <c r="E119" s="7"/>
      <c r="F119" s="7"/>
      <c r="G119" s="120"/>
      <c r="H119" s="120"/>
      <c r="I119" s="171"/>
      <c r="J119" s="132"/>
      <c r="K119" s="115"/>
      <c r="L119" s="115"/>
      <c r="M119" s="8"/>
      <c r="N119" s="8" t="str">
        <f t="shared" si="5"/>
        <v>-</v>
      </c>
      <c r="O119" s="127"/>
      <c r="P119" s="127"/>
      <c r="Q119" s="127"/>
      <c r="R119" s="127"/>
      <c r="S119" s="127"/>
      <c r="T119" s="139"/>
      <c r="U119" s="168"/>
      <c r="V119" s="7" t="s">
        <v>651</v>
      </c>
      <c r="W119" s="7"/>
      <c r="X119" s="165" t="s">
        <v>703</v>
      </c>
      <c r="Y119" s="7" t="s">
        <v>701</v>
      </c>
      <c r="Z119" s="7"/>
      <c r="AA119" s="7" t="str">
        <f>IFERROR((VLOOKUP(F119,#REF!,2,FALSE)),"-")</f>
        <v>-</v>
      </c>
      <c r="AB119" s="119" t="e">
        <f>CONCATENATE(F119," - ",I119," - ",#REF!,)</f>
        <v>#REF!</v>
      </c>
    </row>
    <row r="120" spans="1:28" s="116" customFormat="1" ht="15">
      <c r="A120" s="114"/>
      <c r="B120" s="120"/>
      <c r="C120" s="129" t="str">
        <f t="shared" si="3"/>
        <v>week-0</v>
      </c>
      <c r="D120" s="120" t="str">
        <f t="shared" si="4"/>
        <v>Jan</v>
      </c>
      <c r="E120" s="7"/>
      <c r="F120" s="7"/>
      <c r="G120" s="120"/>
      <c r="H120" s="120"/>
      <c r="I120" s="117"/>
      <c r="J120" s="132"/>
      <c r="K120" s="115"/>
      <c r="L120" s="115"/>
      <c r="M120" s="8"/>
      <c r="N120" s="8" t="str">
        <f t="shared" si="5"/>
        <v>-</v>
      </c>
      <c r="O120" s="126"/>
      <c r="P120" s="127"/>
      <c r="Q120" s="127"/>
      <c r="R120" s="127"/>
      <c r="S120" s="127"/>
      <c r="T120" s="139"/>
      <c r="U120" s="169"/>
      <c r="V120" s="7"/>
      <c r="W120" s="7"/>
      <c r="X120" s="146"/>
      <c r="Y120" s="7"/>
      <c r="Z120" s="7"/>
      <c r="AA120" s="7" t="str">
        <f>IFERROR((VLOOKUP(F120,#REF!,2,FALSE)),"-")</f>
        <v>-</v>
      </c>
      <c r="AB120" s="119" t="e">
        <f>CONCATENATE(F120," - ",I120," - ",#REF!,)</f>
        <v>#REF!</v>
      </c>
    </row>
    <row r="121" spans="1:28" s="116" customFormat="1" ht="15">
      <c r="A121" s="114"/>
      <c r="B121" s="120"/>
      <c r="C121" s="129" t="str">
        <f t="shared" si="3"/>
        <v>week-0</v>
      </c>
      <c r="D121" s="120" t="str">
        <f t="shared" si="4"/>
        <v>Jan</v>
      </c>
      <c r="E121" s="7"/>
      <c r="F121" s="7"/>
      <c r="G121" s="120"/>
      <c r="H121" s="120"/>
      <c r="I121" s="117"/>
      <c r="J121" s="132"/>
      <c r="K121" s="115"/>
      <c r="L121" s="115"/>
      <c r="M121" s="8"/>
      <c r="N121" s="8" t="str">
        <f t="shared" si="5"/>
        <v>-</v>
      </c>
      <c r="O121" s="126"/>
      <c r="P121" s="127"/>
      <c r="Q121" s="127"/>
      <c r="R121" s="126"/>
      <c r="S121" s="127"/>
      <c r="T121" s="8"/>
      <c r="U121" s="158"/>
      <c r="V121" s="7"/>
      <c r="W121" s="7"/>
      <c r="X121" s="146"/>
      <c r="Y121" s="7"/>
      <c r="Z121" s="7"/>
      <c r="AA121" s="7" t="str">
        <f>IFERROR((VLOOKUP(F121,#REF!,2,FALSE)),"-")</f>
        <v>-</v>
      </c>
      <c r="AB121" s="119" t="e">
        <f>CONCATENATE(F121," - ",I121," - ",#REF!,)</f>
        <v>#REF!</v>
      </c>
    </row>
    <row r="122" spans="1:28" s="116" customFormat="1" ht="15">
      <c r="A122" s="114"/>
      <c r="B122" s="120"/>
      <c r="C122" s="129" t="str">
        <f t="shared" si="3"/>
        <v>week-0</v>
      </c>
      <c r="D122" s="120" t="str">
        <f t="shared" si="4"/>
        <v>Jan</v>
      </c>
      <c r="E122" s="7"/>
      <c r="F122" s="7"/>
      <c r="G122" s="120"/>
      <c r="H122" s="120"/>
      <c r="I122" s="132"/>
      <c r="J122" s="132"/>
      <c r="K122" s="115"/>
      <c r="L122" s="115"/>
      <c r="M122" s="8"/>
      <c r="N122" s="8" t="str">
        <f t="shared" si="5"/>
        <v>-</v>
      </c>
      <c r="O122" s="127"/>
      <c r="P122" s="127"/>
      <c r="Q122" s="127"/>
      <c r="R122" s="127"/>
      <c r="S122" s="127"/>
      <c r="T122" s="139"/>
      <c r="U122" s="158"/>
      <c r="V122" s="7"/>
      <c r="W122" s="7"/>
      <c r="X122" s="146"/>
      <c r="Y122" s="7"/>
      <c r="Z122" s="7"/>
      <c r="AA122" s="7" t="str">
        <f>IFERROR((VLOOKUP(F122,#REF!,2,FALSE)),"-")</f>
        <v>-</v>
      </c>
      <c r="AB122" s="119" t="e">
        <f>CONCATENATE(F122," - ",I122," - ",#REF!,)</f>
        <v>#REF!</v>
      </c>
    </row>
    <row r="123" spans="1:28" s="116" customFormat="1" ht="15">
      <c r="A123" s="114"/>
      <c r="B123" s="120"/>
      <c r="C123" s="129" t="str">
        <f t="shared" si="3"/>
        <v>week-0</v>
      </c>
      <c r="D123" s="120" t="str">
        <f t="shared" si="4"/>
        <v>Jan</v>
      </c>
      <c r="E123" s="7"/>
      <c r="F123" s="7"/>
      <c r="G123" s="120"/>
      <c r="H123" s="120"/>
      <c r="I123" s="132"/>
      <c r="J123" s="132"/>
      <c r="K123" s="115"/>
      <c r="L123" s="115"/>
      <c r="M123" s="8"/>
      <c r="N123" s="8" t="str">
        <f t="shared" si="5"/>
        <v>-</v>
      </c>
      <c r="O123" s="127"/>
      <c r="P123" s="127"/>
      <c r="Q123" s="127"/>
      <c r="R123" s="126"/>
      <c r="S123" s="127"/>
      <c r="T123" s="139"/>
      <c r="U123" s="158"/>
      <c r="V123" s="7"/>
      <c r="W123" s="7"/>
      <c r="X123" s="146"/>
      <c r="Y123" s="7"/>
      <c r="Z123" s="7"/>
      <c r="AA123" s="7" t="str">
        <f>IFERROR((VLOOKUP(F123,#REF!,2,FALSE)),"-")</f>
        <v>-</v>
      </c>
      <c r="AB123" s="119" t="e">
        <f>CONCATENATE(F123," - ",I123," - ",#REF!,)</f>
        <v>#REF!</v>
      </c>
    </row>
    <row r="124" spans="1:28" s="116" customFormat="1" ht="15">
      <c r="A124" s="114"/>
      <c r="B124" s="120"/>
      <c r="C124" s="129" t="str">
        <f t="shared" si="3"/>
        <v>week-0</v>
      </c>
      <c r="D124" s="120" t="str">
        <f t="shared" si="4"/>
        <v>Jan</v>
      </c>
      <c r="E124" s="7"/>
      <c r="F124" s="7"/>
      <c r="G124" s="120"/>
      <c r="H124" s="120"/>
      <c r="I124" s="117"/>
      <c r="J124" s="132"/>
      <c r="K124" s="115"/>
      <c r="L124" s="115"/>
      <c r="M124" s="8"/>
      <c r="N124" s="8" t="str">
        <f t="shared" si="5"/>
        <v>-</v>
      </c>
      <c r="O124" s="126"/>
      <c r="P124" s="127"/>
      <c r="Q124" s="127"/>
      <c r="R124" s="126"/>
      <c r="S124" s="127"/>
      <c r="T124" s="8"/>
      <c r="U124" s="158"/>
      <c r="V124" s="7"/>
      <c r="W124" s="7"/>
      <c r="X124" s="146"/>
      <c r="Y124" s="7"/>
      <c r="Z124" s="7"/>
      <c r="AA124" s="7" t="str">
        <f>IFERROR((VLOOKUP(F124,#REF!,2,FALSE)),"-")</f>
        <v>-</v>
      </c>
      <c r="AB124" s="119" t="e">
        <f>CONCATENATE(F124," - ",I124," - ",#REF!,)</f>
        <v>#REF!</v>
      </c>
    </row>
    <row r="125" spans="1:28" s="116" customFormat="1" ht="15">
      <c r="A125" s="114"/>
      <c r="B125" s="120"/>
      <c r="C125" s="129" t="str">
        <f t="shared" si="3"/>
        <v>week-0</v>
      </c>
      <c r="D125" s="120" t="str">
        <f t="shared" si="4"/>
        <v>Jan</v>
      </c>
      <c r="E125" s="7"/>
      <c r="F125" s="7"/>
      <c r="G125" s="120"/>
      <c r="H125" s="120"/>
      <c r="I125" s="132"/>
      <c r="J125" s="132"/>
      <c r="K125" s="115"/>
      <c r="L125" s="115"/>
      <c r="M125" s="8"/>
      <c r="N125" s="8" t="str">
        <f t="shared" si="5"/>
        <v>-</v>
      </c>
      <c r="O125" s="127"/>
      <c r="P125" s="139"/>
      <c r="Q125" s="127"/>
      <c r="R125" s="126"/>
      <c r="S125" s="127"/>
      <c r="T125" s="8"/>
      <c r="U125" s="158"/>
      <c r="V125" s="7"/>
      <c r="W125" s="7"/>
      <c r="X125" s="146"/>
      <c r="Y125" s="7"/>
      <c r="Z125" s="7"/>
      <c r="AA125" s="7" t="str">
        <f>IFERROR((VLOOKUP(F125,#REF!,2,FALSE)),"-")</f>
        <v>-</v>
      </c>
      <c r="AB125" s="119" t="e">
        <f>CONCATENATE(F125," - ",I125," - ",#REF!,)</f>
        <v>#REF!</v>
      </c>
    </row>
    <row r="126" spans="1:28" s="116" customFormat="1" ht="15">
      <c r="A126" s="114"/>
      <c r="B126" s="120"/>
      <c r="C126" s="129" t="str">
        <f t="shared" si="3"/>
        <v>week-0</v>
      </c>
      <c r="D126" s="120" t="str">
        <f t="shared" si="4"/>
        <v>Jan</v>
      </c>
      <c r="E126" s="7"/>
      <c r="F126" s="7"/>
      <c r="G126" s="120"/>
      <c r="H126" s="120"/>
      <c r="I126" s="132"/>
      <c r="J126" s="132"/>
      <c r="K126" s="115"/>
      <c r="L126" s="115"/>
      <c r="M126" s="8"/>
      <c r="N126" s="8" t="str">
        <f t="shared" si="5"/>
        <v>-</v>
      </c>
      <c r="O126" s="126"/>
      <c r="P126" s="127"/>
      <c r="Q126" s="127"/>
      <c r="R126" s="127"/>
      <c r="S126" s="127"/>
      <c r="T126" s="8"/>
      <c r="U126" s="158"/>
      <c r="V126" s="7"/>
      <c r="W126" s="7"/>
      <c r="X126" s="146"/>
      <c r="Y126" s="7"/>
      <c r="Z126" s="7"/>
      <c r="AA126" s="7" t="str">
        <f>IFERROR((VLOOKUP(F126,#REF!,2,FALSE)),"-")</f>
        <v>-</v>
      </c>
      <c r="AB126" s="119" t="e">
        <f>CONCATENATE(F126," - ",I126," - ",#REF!,)</f>
        <v>#REF!</v>
      </c>
    </row>
    <row r="127" spans="1:28" s="116" customFormat="1" ht="15">
      <c r="A127" s="114"/>
      <c r="B127" s="120"/>
      <c r="C127" s="129" t="str">
        <f t="shared" si="3"/>
        <v>week-0</v>
      </c>
      <c r="D127" s="120" t="str">
        <f t="shared" si="4"/>
        <v>Jan</v>
      </c>
      <c r="E127" s="84"/>
      <c r="F127" s="7"/>
      <c r="G127" s="120"/>
      <c r="H127" s="120"/>
      <c r="I127" s="117"/>
      <c r="J127" s="118"/>
      <c r="K127" s="115"/>
      <c r="L127" s="115"/>
      <c r="M127" s="8"/>
      <c r="N127" s="8" t="str">
        <f t="shared" si="5"/>
        <v>-</v>
      </c>
      <c r="O127" s="127"/>
      <c r="P127" s="127"/>
      <c r="Q127" s="127"/>
      <c r="R127" s="127"/>
      <c r="S127" s="127"/>
      <c r="T127" s="139"/>
      <c r="U127" s="158"/>
      <c r="V127" s="7"/>
      <c r="W127" s="7"/>
      <c r="X127" s="146"/>
      <c r="Y127" s="7"/>
      <c r="Z127" s="7"/>
      <c r="AA127" s="7" t="str">
        <f>IFERROR((VLOOKUP(F127,#REF!,2,FALSE)),"-")</f>
        <v>-</v>
      </c>
      <c r="AB127" s="119" t="e">
        <f>CONCATENATE(F127," - ",I127," - ",#REF!,)</f>
        <v>#REF!</v>
      </c>
    </row>
    <row r="128" spans="1:28" s="116" customFormat="1" ht="15">
      <c r="A128" s="114"/>
      <c r="B128" s="120"/>
      <c r="C128" s="129" t="str">
        <f t="shared" si="3"/>
        <v>week-0</v>
      </c>
      <c r="D128" s="120" t="str">
        <f t="shared" si="4"/>
        <v>Jan</v>
      </c>
      <c r="E128" s="7"/>
      <c r="F128" s="7"/>
      <c r="G128" s="120"/>
      <c r="H128" s="120"/>
      <c r="I128" s="132"/>
      <c r="J128" s="118"/>
      <c r="K128" s="115"/>
      <c r="L128" s="115"/>
      <c r="M128" s="8"/>
      <c r="N128" s="8" t="str">
        <f t="shared" si="5"/>
        <v>-</v>
      </c>
      <c r="O128" s="127"/>
      <c r="P128" s="127"/>
      <c r="Q128" s="127"/>
      <c r="R128" s="127"/>
      <c r="S128" s="127"/>
      <c r="T128" s="139"/>
      <c r="U128" s="158"/>
      <c r="V128" s="7"/>
      <c r="W128" s="7"/>
      <c r="X128" s="146"/>
      <c r="Y128" s="7"/>
      <c r="Z128" s="7"/>
      <c r="AA128" s="7" t="str">
        <f>IFERROR((VLOOKUP(F128,#REF!,2,FALSE)),"-")</f>
        <v>-</v>
      </c>
      <c r="AB128" s="119" t="e">
        <f>CONCATENATE(F128," - ",I128," - ",#REF!,)</f>
        <v>#REF!</v>
      </c>
    </row>
    <row r="129" spans="1:28" s="116" customFormat="1" ht="15">
      <c r="A129" s="114"/>
      <c r="B129" s="120"/>
      <c r="C129" s="129" t="str">
        <f t="shared" si="3"/>
        <v>week-0</v>
      </c>
      <c r="D129" s="120" t="str">
        <f t="shared" si="4"/>
        <v>Jan</v>
      </c>
      <c r="E129" s="84"/>
      <c r="F129" s="7"/>
      <c r="G129" s="120"/>
      <c r="H129" s="120"/>
      <c r="I129" s="117"/>
      <c r="J129" s="118"/>
      <c r="K129" s="115"/>
      <c r="L129" s="115"/>
      <c r="M129" s="8"/>
      <c r="N129" s="8" t="str">
        <f t="shared" si="5"/>
        <v>-</v>
      </c>
      <c r="O129" s="127"/>
      <c r="P129" s="127"/>
      <c r="Q129" s="127"/>
      <c r="R129" s="127"/>
      <c r="S129" s="127"/>
      <c r="T129" s="8"/>
      <c r="U129" s="176"/>
      <c r="V129" s="7"/>
      <c r="W129" s="7"/>
      <c r="X129" s="146"/>
      <c r="Y129" s="7"/>
      <c r="Z129" s="7"/>
      <c r="AA129" s="7" t="str">
        <f>IFERROR((VLOOKUP(F129,#REF!,2,FALSE)),"-")</f>
        <v>-</v>
      </c>
      <c r="AB129" s="119" t="e">
        <f>CONCATENATE(F129," - ",I129," - ",#REF!,)</f>
        <v>#REF!</v>
      </c>
    </row>
    <row r="130" spans="1:28" s="116" customFormat="1" ht="15">
      <c r="A130" s="114"/>
      <c r="B130" s="120"/>
      <c r="C130" s="129" t="str">
        <f t="shared" si="3"/>
        <v>week-0</v>
      </c>
      <c r="D130" s="120" t="str">
        <f t="shared" si="4"/>
        <v>Jan</v>
      </c>
      <c r="E130" s="7"/>
      <c r="F130" s="7"/>
      <c r="G130" s="120"/>
      <c r="H130" s="120"/>
      <c r="I130" s="118"/>
      <c r="J130" s="118"/>
      <c r="K130" s="115"/>
      <c r="L130" s="115"/>
      <c r="M130" s="8"/>
      <c r="N130" s="8" t="str">
        <f t="shared" si="5"/>
        <v>-</v>
      </c>
      <c r="O130" s="126"/>
      <c r="P130" s="127"/>
      <c r="Q130" s="127"/>
      <c r="R130" s="127"/>
      <c r="S130" s="127"/>
      <c r="T130" s="8"/>
      <c r="U130" s="158"/>
      <c r="V130" s="7"/>
      <c r="W130" s="7"/>
      <c r="X130" s="146"/>
      <c r="Y130" s="7"/>
      <c r="Z130" s="7"/>
      <c r="AA130" s="7" t="str">
        <f>IFERROR((VLOOKUP(F130,#REF!,2,FALSE)),"-")</f>
        <v>-</v>
      </c>
      <c r="AB130" s="119" t="e">
        <f>CONCATENATE(F130," - ",I130," - ",#REF!,)</f>
        <v>#REF!</v>
      </c>
    </row>
    <row r="131" spans="1:28" s="116" customFormat="1" ht="15">
      <c r="A131" s="114"/>
      <c r="B131" s="120"/>
      <c r="C131" s="129" t="str">
        <f t="shared" si="3"/>
        <v>week-0</v>
      </c>
      <c r="D131" s="120" t="str">
        <f t="shared" si="4"/>
        <v>Jan</v>
      </c>
      <c r="E131" s="7"/>
      <c r="F131" s="7"/>
      <c r="G131" s="120"/>
      <c r="H131" s="120"/>
      <c r="I131" s="171"/>
      <c r="J131" s="118"/>
      <c r="K131" s="115"/>
      <c r="L131" s="115"/>
      <c r="M131" s="8"/>
      <c r="N131" s="8" t="str">
        <f t="shared" si="5"/>
        <v>-</v>
      </c>
      <c r="O131" s="126"/>
      <c r="P131" s="127"/>
      <c r="Q131" s="127"/>
      <c r="R131" s="127"/>
      <c r="S131" s="127"/>
      <c r="T131" s="8"/>
      <c r="U131" s="158"/>
      <c r="V131" s="7"/>
      <c r="W131" s="7"/>
      <c r="X131" s="146"/>
      <c r="Y131" s="7"/>
      <c r="Z131" s="7"/>
      <c r="AA131" s="7" t="str">
        <f>IFERROR((VLOOKUP(F131,#REF!,2,FALSE)),"-")</f>
        <v>-</v>
      </c>
      <c r="AB131" s="119" t="e">
        <f>CONCATENATE(F131," - ",I131," - ",#REF!,)</f>
        <v>#REF!</v>
      </c>
    </row>
    <row r="132" spans="1:28" s="116" customFormat="1" ht="15">
      <c r="A132" s="114"/>
      <c r="B132" s="120"/>
      <c r="C132" s="129" t="str">
        <f t="shared" ref="C132:C195" si="6">"week-"&amp;WEEKNUM(B132)</f>
        <v>week-0</v>
      </c>
      <c r="D132" s="120" t="str">
        <f t="shared" ref="D132:D195" si="7">TEXT(B132,"mmm")</f>
        <v>Jan</v>
      </c>
      <c r="E132" s="7"/>
      <c r="F132" s="7"/>
      <c r="G132" s="120"/>
      <c r="H132" s="120"/>
      <c r="I132" s="171"/>
      <c r="J132" s="118"/>
      <c r="K132" s="115"/>
      <c r="L132" s="115"/>
      <c r="M132" s="8"/>
      <c r="N132" s="8" t="str">
        <f t="shared" ref="N132:N195" si="8">IF(ISBLANK(M132),"-",(M132/60))</f>
        <v>-</v>
      </c>
      <c r="O132" s="127"/>
      <c r="P132" s="127"/>
      <c r="Q132" s="127"/>
      <c r="R132" s="127"/>
      <c r="S132" s="127"/>
      <c r="T132" s="139"/>
      <c r="U132" s="158"/>
      <c r="V132" s="7"/>
      <c r="W132" s="7"/>
      <c r="X132" s="146"/>
      <c r="Y132" s="7"/>
      <c r="Z132" s="7"/>
      <c r="AA132" s="7" t="str">
        <f>IFERROR((VLOOKUP(F132,#REF!,2,FALSE)),"-")</f>
        <v>-</v>
      </c>
      <c r="AB132" s="119" t="e">
        <f>CONCATENATE(F132," - ",I132," - ",#REF!,)</f>
        <v>#REF!</v>
      </c>
    </row>
    <row r="133" spans="1:28" s="116" customFormat="1" ht="15">
      <c r="A133" s="114"/>
      <c r="B133" s="120"/>
      <c r="C133" s="129" t="str">
        <f t="shared" si="6"/>
        <v>week-0</v>
      </c>
      <c r="D133" s="120" t="str">
        <f t="shared" si="7"/>
        <v>Jan</v>
      </c>
      <c r="E133" s="7"/>
      <c r="F133" s="7"/>
      <c r="G133" s="120"/>
      <c r="H133" s="120"/>
      <c r="I133" s="171"/>
      <c r="J133" s="118"/>
      <c r="K133" s="115"/>
      <c r="L133" s="115"/>
      <c r="M133" s="8"/>
      <c r="N133" s="8" t="str">
        <f t="shared" si="8"/>
        <v>-</v>
      </c>
      <c r="O133" s="127"/>
      <c r="P133" s="127"/>
      <c r="Q133" s="127"/>
      <c r="R133" s="127"/>
      <c r="S133" s="127"/>
      <c r="T133" s="8"/>
      <c r="U133" s="158"/>
      <c r="V133" s="7"/>
      <c r="W133" s="7"/>
      <c r="X133" s="146"/>
      <c r="Y133" s="7"/>
      <c r="Z133" s="7"/>
      <c r="AA133" s="7"/>
      <c r="AB133" s="119" t="e">
        <f>CONCATENATE(F133," - ",I133," - ",#REF!,)</f>
        <v>#REF!</v>
      </c>
    </row>
    <row r="134" spans="1:28" s="116" customFormat="1" ht="15">
      <c r="A134" s="114"/>
      <c r="B134" s="120"/>
      <c r="C134" s="129" t="str">
        <f t="shared" si="6"/>
        <v>week-0</v>
      </c>
      <c r="D134" s="120" t="str">
        <f t="shared" si="7"/>
        <v>Jan</v>
      </c>
      <c r="E134" s="7"/>
      <c r="F134" s="7"/>
      <c r="G134" s="120"/>
      <c r="H134" s="120"/>
      <c r="I134" s="171"/>
      <c r="J134" s="124"/>
      <c r="K134" s="115"/>
      <c r="L134" s="115"/>
      <c r="M134" s="8"/>
      <c r="N134" s="8" t="str">
        <f t="shared" si="8"/>
        <v>-</v>
      </c>
      <c r="O134" s="127"/>
      <c r="P134" s="127"/>
      <c r="Q134" s="127"/>
      <c r="R134" s="127"/>
      <c r="S134" s="127"/>
      <c r="T134" s="139"/>
      <c r="U134" s="177"/>
      <c r="V134" s="7"/>
      <c r="W134" s="7"/>
      <c r="X134" s="146"/>
      <c r="Y134" s="7"/>
      <c r="Z134" s="7"/>
      <c r="AA134" s="7"/>
      <c r="AB134" s="119"/>
    </row>
    <row r="135" spans="1:28" s="116" customFormat="1" ht="15">
      <c r="A135" s="114"/>
      <c r="B135" s="120"/>
      <c r="C135" s="129" t="str">
        <f t="shared" si="6"/>
        <v>week-0</v>
      </c>
      <c r="D135" s="120" t="str">
        <f t="shared" si="7"/>
        <v>Jan</v>
      </c>
      <c r="E135" s="7"/>
      <c r="F135" s="7"/>
      <c r="G135" s="120"/>
      <c r="H135" s="120"/>
      <c r="I135" s="171"/>
      <c r="J135" s="124"/>
      <c r="K135" s="115"/>
      <c r="L135" s="115"/>
      <c r="M135" s="8"/>
      <c r="N135" s="8" t="str">
        <f t="shared" si="8"/>
        <v>-</v>
      </c>
      <c r="O135" s="127"/>
      <c r="P135" s="127"/>
      <c r="Q135" s="127"/>
      <c r="R135" s="127"/>
      <c r="S135" s="127"/>
      <c r="T135" s="139"/>
      <c r="U135" s="158"/>
      <c r="V135" s="7"/>
      <c r="W135" s="7"/>
      <c r="X135" s="146"/>
      <c r="Y135" s="7"/>
      <c r="Z135" s="7"/>
      <c r="AA135" s="7"/>
      <c r="AB135" s="119"/>
    </row>
    <row r="136" spans="1:28" s="116" customFormat="1" ht="15">
      <c r="A136" s="114"/>
      <c r="B136" s="120"/>
      <c r="C136" s="129" t="str">
        <f t="shared" si="6"/>
        <v>week-0</v>
      </c>
      <c r="D136" s="120" t="str">
        <f t="shared" si="7"/>
        <v>Jan</v>
      </c>
      <c r="E136" s="7"/>
      <c r="F136" s="7"/>
      <c r="G136" s="120"/>
      <c r="H136" s="120"/>
      <c r="I136" s="117"/>
      <c r="J136" s="118"/>
      <c r="K136" s="115"/>
      <c r="L136" s="115"/>
      <c r="M136" s="8"/>
      <c r="N136" s="8" t="str">
        <f t="shared" si="8"/>
        <v>-</v>
      </c>
      <c r="O136" s="127"/>
      <c r="P136" s="127"/>
      <c r="Q136" s="127"/>
      <c r="R136" s="127"/>
      <c r="S136" s="127"/>
      <c r="T136" s="139"/>
      <c r="U136" s="158"/>
      <c r="V136" s="7"/>
      <c r="W136" s="7"/>
      <c r="X136" s="146"/>
      <c r="Y136" s="7"/>
      <c r="Z136" s="7"/>
      <c r="AA136" s="7"/>
      <c r="AB136" s="119"/>
    </row>
    <row r="137" spans="1:28" s="116" customFormat="1" ht="15">
      <c r="A137" s="114"/>
      <c r="B137" s="120"/>
      <c r="C137" s="129" t="str">
        <f t="shared" si="6"/>
        <v>week-0</v>
      </c>
      <c r="D137" s="120" t="str">
        <f t="shared" si="7"/>
        <v>Jan</v>
      </c>
      <c r="E137" s="7"/>
      <c r="F137" s="7"/>
      <c r="G137" s="120"/>
      <c r="H137" s="120"/>
      <c r="I137" s="132"/>
      <c r="J137" s="118"/>
      <c r="K137" s="115"/>
      <c r="L137" s="115"/>
      <c r="M137" s="8"/>
      <c r="N137" s="8" t="str">
        <f t="shared" si="8"/>
        <v>-</v>
      </c>
      <c r="O137" s="127"/>
      <c r="P137" s="127"/>
      <c r="Q137" s="127"/>
      <c r="R137" s="127"/>
      <c r="S137" s="127"/>
      <c r="T137" s="8"/>
      <c r="U137" s="158"/>
      <c r="V137" s="7"/>
      <c r="W137" s="7"/>
      <c r="X137" s="146"/>
      <c r="Y137" s="7"/>
      <c r="Z137" s="7"/>
      <c r="AA137" s="7"/>
      <c r="AB137" s="119"/>
    </row>
    <row r="138" spans="1:28" s="116" customFormat="1" ht="15">
      <c r="A138" s="114"/>
      <c r="B138" s="120"/>
      <c r="C138" s="129" t="str">
        <f t="shared" si="6"/>
        <v>week-0</v>
      </c>
      <c r="D138" s="120" t="str">
        <f t="shared" si="7"/>
        <v>Jan</v>
      </c>
      <c r="E138" s="7"/>
      <c r="F138" s="7"/>
      <c r="G138" s="120"/>
      <c r="H138" s="120"/>
      <c r="I138" s="132"/>
      <c r="J138" s="124"/>
      <c r="K138" s="115"/>
      <c r="L138" s="115"/>
      <c r="M138" s="8"/>
      <c r="N138" s="8" t="str">
        <f t="shared" si="8"/>
        <v>-</v>
      </c>
      <c r="O138" s="126"/>
      <c r="P138" s="127"/>
      <c r="Q138" s="127"/>
      <c r="R138" s="127"/>
      <c r="S138" s="127"/>
      <c r="T138" s="8"/>
      <c r="U138" s="158"/>
      <c r="V138" s="7"/>
      <c r="W138" s="7"/>
      <c r="X138" s="146"/>
      <c r="Y138" s="7"/>
      <c r="Z138" s="7"/>
      <c r="AA138" s="7" t="str">
        <f>IFERROR((VLOOKUP(F138,#REF!,2,FALSE)),"-")</f>
        <v>-</v>
      </c>
      <c r="AB138" s="119" t="e">
        <f>CONCATENATE(F138," - ",I138," - ",#REF!,)</f>
        <v>#REF!</v>
      </c>
    </row>
    <row r="139" spans="1:28" s="116" customFormat="1" ht="15">
      <c r="A139" s="114"/>
      <c r="B139" s="120"/>
      <c r="C139" s="129" t="str">
        <f t="shared" si="6"/>
        <v>week-0</v>
      </c>
      <c r="D139" s="120" t="str">
        <f t="shared" si="7"/>
        <v>Jan</v>
      </c>
      <c r="E139" s="7"/>
      <c r="F139" s="7"/>
      <c r="G139" s="120"/>
      <c r="H139" s="120"/>
      <c r="I139" s="132"/>
      <c r="J139" s="118"/>
      <c r="K139" s="115"/>
      <c r="L139" s="115"/>
      <c r="M139" s="8"/>
      <c r="N139" s="8" t="str">
        <f t="shared" si="8"/>
        <v>-</v>
      </c>
      <c r="O139" s="127"/>
      <c r="P139" s="127"/>
      <c r="Q139" s="127"/>
      <c r="R139" s="126"/>
      <c r="S139" s="127"/>
      <c r="T139" s="8"/>
      <c r="U139" s="158"/>
      <c r="V139" s="7"/>
      <c r="W139" s="7"/>
      <c r="X139" s="146"/>
      <c r="Y139" s="7"/>
      <c r="Z139" s="7"/>
      <c r="AA139" s="7" t="str">
        <f>IFERROR((VLOOKUP(F139,#REF!,2,FALSE)),"-")</f>
        <v>-</v>
      </c>
      <c r="AB139" s="119" t="e">
        <f>CONCATENATE(F139," - ",I139," - ",#REF!,)</f>
        <v>#REF!</v>
      </c>
    </row>
    <row r="140" spans="1:28" s="116" customFormat="1" ht="15">
      <c r="A140" s="114"/>
      <c r="B140" s="120"/>
      <c r="C140" s="129" t="str">
        <f t="shared" si="6"/>
        <v>week-0</v>
      </c>
      <c r="D140" s="120" t="str">
        <f t="shared" si="7"/>
        <v>Jan</v>
      </c>
      <c r="E140" s="7"/>
      <c r="F140" s="7"/>
      <c r="G140" s="120"/>
      <c r="H140" s="120"/>
      <c r="I140" s="132"/>
      <c r="J140" s="124"/>
      <c r="K140" s="115"/>
      <c r="L140" s="115"/>
      <c r="M140" s="8"/>
      <c r="N140" s="8" t="str">
        <f t="shared" si="8"/>
        <v>-</v>
      </c>
      <c r="O140" s="127"/>
      <c r="P140" s="127"/>
      <c r="Q140" s="127"/>
      <c r="R140" s="126"/>
      <c r="S140" s="127"/>
      <c r="T140" s="8"/>
      <c r="U140" s="178"/>
      <c r="V140" s="7"/>
      <c r="W140" s="7"/>
      <c r="X140" s="178"/>
      <c r="Y140" s="7"/>
      <c r="Z140" s="7"/>
      <c r="AA140" s="7"/>
      <c r="AB140" s="119"/>
    </row>
    <row r="141" spans="1:28" s="116" customFormat="1" ht="15">
      <c r="A141" s="114"/>
      <c r="B141" s="120"/>
      <c r="C141" s="129" t="str">
        <f t="shared" si="6"/>
        <v>week-0</v>
      </c>
      <c r="D141" s="120" t="str">
        <f t="shared" si="7"/>
        <v>Jan</v>
      </c>
      <c r="E141" s="7"/>
      <c r="F141" s="7"/>
      <c r="G141" s="120"/>
      <c r="H141" s="120"/>
      <c r="I141" s="132"/>
      <c r="J141" s="118"/>
      <c r="K141" s="115"/>
      <c r="L141" s="115"/>
      <c r="M141" s="8"/>
      <c r="N141" s="8" t="str">
        <f t="shared" si="8"/>
        <v>-</v>
      </c>
      <c r="O141" s="126"/>
      <c r="P141" s="127"/>
      <c r="Q141" s="127"/>
      <c r="R141" s="126"/>
      <c r="S141" s="127"/>
      <c r="T141" s="8"/>
      <c r="U141" s="158"/>
      <c r="V141" s="7"/>
      <c r="W141" s="7"/>
      <c r="X141" s="146"/>
      <c r="Y141" s="7"/>
      <c r="Z141" s="7"/>
      <c r="AA141" s="7" t="str">
        <f>IFERROR((VLOOKUP(F141,#REF!,2,FALSE)),"-")</f>
        <v>-</v>
      </c>
      <c r="AB141" s="119" t="e">
        <f>CONCATENATE(F141," - ",I141," - ",#REF!,)</f>
        <v>#REF!</v>
      </c>
    </row>
    <row r="142" spans="1:28" s="116" customFormat="1" ht="15">
      <c r="A142" s="114"/>
      <c r="B142" s="120"/>
      <c r="C142" s="129" t="str">
        <f t="shared" si="6"/>
        <v>week-0</v>
      </c>
      <c r="D142" s="120" t="str">
        <f t="shared" si="7"/>
        <v>Jan</v>
      </c>
      <c r="E142" s="7"/>
      <c r="F142" s="7"/>
      <c r="G142" s="120"/>
      <c r="H142" s="120"/>
      <c r="I142" s="132"/>
      <c r="J142" s="118"/>
      <c r="K142" s="115"/>
      <c r="L142" s="115"/>
      <c r="M142" s="8"/>
      <c r="N142" s="8" t="str">
        <f t="shared" si="8"/>
        <v>-</v>
      </c>
      <c r="O142" s="127"/>
      <c r="P142" s="127"/>
      <c r="Q142" s="127"/>
      <c r="R142" s="126"/>
      <c r="S142" s="127"/>
      <c r="T142" s="8"/>
      <c r="U142" s="178"/>
      <c r="V142" s="7"/>
      <c r="W142" s="7"/>
      <c r="X142" s="146"/>
      <c r="Y142" s="7"/>
      <c r="Z142" s="7"/>
      <c r="AA142" s="7" t="str">
        <f>IFERROR((VLOOKUP(F142,#REF!,2,FALSE)),"-")</f>
        <v>-</v>
      </c>
      <c r="AB142" s="119" t="e">
        <f>CONCATENATE(F142," - ",I142," - ",#REF!,)</f>
        <v>#REF!</v>
      </c>
    </row>
    <row r="143" spans="1:28" s="116" customFormat="1" ht="15">
      <c r="A143" s="114"/>
      <c r="B143" s="120"/>
      <c r="C143" s="129" t="str">
        <f t="shared" si="6"/>
        <v>week-0</v>
      </c>
      <c r="D143" s="120" t="str">
        <f t="shared" si="7"/>
        <v>Jan</v>
      </c>
      <c r="E143" s="7"/>
      <c r="F143" s="7"/>
      <c r="G143" s="120"/>
      <c r="H143" s="120"/>
      <c r="I143" s="132"/>
      <c r="J143" s="118"/>
      <c r="K143" s="115"/>
      <c r="L143" s="115"/>
      <c r="M143" s="8"/>
      <c r="N143" s="8" t="str">
        <f t="shared" si="8"/>
        <v>-</v>
      </c>
      <c r="O143" s="126"/>
      <c r="P143" s="127"/>
      <c r="Q143" s="127"/>
      <c r="R143" s="126"/>
      <c r="S143" s="127"/>
      <c r="T143" s="8"/>
      <c r="U143" s="178"/>
      <c r="V143" s="7"/>
      <c r="W143" s="7"/>
      <c r="X143" s="146"/>
      <c r="Y143" s="7"/>
      <c r="Z143" s="7"/>
      <c r="AA143" s="7" t="str">
        <f>IFERROR((VLOOKUP(F143,#REF!,2,FALSE)),"-")</f>
        <v>-</v>
      </c>
      <c r="AB143" s="119" t="e">
        <f>CONCATENATE(F143," - ",I143," - ",#REF!,)</f>
        <v>#REF!</v>
      </c>
    </row>
    <row r="144" spans="1:28" s="116" customFormat="1" ht="15">
      <c r="A144" s="114"/>
      <c r="B144" s="120"/>
      <c r="C144" s="129" t="str">
        <f t="shared" si="6"/>
        <v>week-0</v>
      </c>
      <c r="D144" s="120" t="str">
        <f t="shared" si="7"/>
        <v>Jan</v>
      </c>
      <c r="E144" s="7"/>
      <c r="F144" s="7"/>
      <c r="G144" s="120"/>
      <c r="H144" s="120"/>
      <c r="I144" s="132"/>
      <c r="J144" s="124"/>
      <c r="K144" s="115"/>
      <c r="L144" s="115"/>
      <c r="M144" s="8"/>
      <c r="N144" s="8" t="str">
        <f t="shared" si="8"/>
        <v>-</v>
      </c>
      <c r="O144" s="126"/>
      <c r="P144" s="127"/>
      <c r="Q144" s="127"/>
      <c r="R144" s="126"/>
      <c r="S144" s="127"/>
      <c r="T144" s="8"/>
      <c r="U144" s="158"/>
      <c r="V144" s="7"/>
      <c r="W144" s="7"/>
      <c r="X144" s="146"/>
      <c r="Y144" s="7"/>
      <c r="Z144" s="7"/>
      <c r="AA144" s="7" t="str">
        <f>IFERROR((VLOOKUP(F144,#REF!,2,FALSE)),"-")</f>
        <v>-</v>
      </c>
      <c r="AB144" s="119" t="e">
        <f>CONCATENATE(F144," - ",I144," - ",#REF!,)</f>
        <v>#REF!</v>
      </c>
    </row>
    <row r="145" spans="1:28" s="116" customFormat="1" ht="15">
      <c r="A145" s="114"/>
      <c r="B145" s="120"/>
      <c r="C145" s="129" t="str">
        <f t="shared" si="6"/>
        <v>week-0</v>
      </c>
      <c r="D145" s="120" t="str">
        <f t="shared" si="7"/>
        <v>Jan</v>
      </c>
      <c r="E145" s="7"/>
      <c r="F145" s="7"/>
      <c r="G145" s="120"/>
      <c r="H145" s="120"/>
      <c r="I145" s="132"/>
      <c r="J145" s="124"/>
      <c r="K145" s="115"/>
      <c r="L145" s="115"/>
      <c r="M145" s="8"/>
      <c r="N145" s="8" t="str">
        <f t="shared" si="8"/>
        <v>-</v>
      </c>
      <c r="O145" s="126"/>
      <c r="P145" s="127"/>
      <c r="Q145" s="127"/>
      <c r="R145" s="126"/>
      <c r="S145" s="127"/>
      <c r="T145" s="8"/>
      <c r="U145" s="158"/>
      <c r="V145" s="7"/>
      <c r="W145" s="7"/>
      <c r="X145" s="146"/>
      <c r="Y145" s="7"/>
      <c r="Z145" s="7"/>
      <c r="AA145" s="7" t="str">
        <f>IFERROR((VLOOKUP(F145,#REF!,2,FALSE)),"-")</f>
        <v>-</v>
      </c>
      <c r="AB145" s="119" t="e">
        <f>CONCATENATE(F145," - ",I145," - ",#REF!,)</f>
        <v>#REF!</v>
      </c>
    </row>
    <row r="146" spans="1:28" s="116" customFormat="1" ht="84.75" customHeight="1">
      <c r="A146" s="114"/>
      <c r="B146" s="120"/>
      <c r="C146" s="129" t="str">
        <f t="shared" si="6"/>
        <v>week-0</v>
      </c>
      <c r="D146" s="120" t="str">
        <f t="shared" si="7"/>
        <v>Jan</v>
      </c>
      <c r="E146" s="7"/>
      <c r="F146" s="7"/>
      <c r="G146" s="120"/>
      <c r="H146" s="120"/>
      <c r="I146" s="132"/>
      <c r="J146" s="118"/>
      <c r="K146" s="115"/>
      <c r="L146" s="115"/>
      <c r="M146" s="8"/>
      <c r="N146" s="8" t="str">
        <f t="shared" si="8"/>
        <v>-</v>
      </c>
      <c r="O146" s="127"/>
      <c r="P146" s="127"/>
      <c r="Q146" s="127"/>
      <c r="R146" s="126"/>
      <c r="S146" s="127"/>
      <c r="T146" s="8"/>
      <c r="U146" s="158"/>
      <c r="V146" s="7"/>
      <c r="W146" s="7"/>
      <c r="X146" s="146"/>
      <c r="Y146" s="7"/>
      <c r="Z146" s="7"/>
      <c r="AA146" s="7" t="str">
        <f>IFERROR((VLOOKUP(F146,#REF!,2,FALSE)),"-")</f>
        <v>-</v>
      </c>
      <c r="AB146" s="119" t="e">
        <f>CONCATENATE(F146," - ",I146," - ",#REF!,)</f>
        <v>#REF!</v>
      </c>
    </row>
    <row r="147" spans="1:28" s="116" customFormat="1" ht="28.5" customHeight="1">
      <c r="A147" s="114"/>
      <c r="B147" s="120"/>
      <c r="C147" s="129" t="str">
        <f t="shared" si="6"/>
        <v>week-0</v>
      </c>
      <c r="D147" s="120" t="str">
        <f t="shared" si="7"/>
        <v>Jan</v>
      </c>
      <c r="E147" s="125"/>
      <c r="F147" s="7"/>
      <c r="G147" s="120"/>
      <c r="H147" s="120"/>
      <c r="I147" s="132"/>
      <c r="J147" s="118"/>
      <c r="K147" s="115"/>
      <c r="L147" s="115"/>
      <c r="M147" s="8"/>
      <c r="N147" s="8" t="str">
        <f t="shared" si="8"/>
        <v>-</v>
      </c>
      <c r="O147" s="139"/>
      <c r="P147" s="127"/>
      <c r="Q147" s="127"/>
      <c r="R147" s="126"/>
      <c r="S147" s="127"/>
      <c r="T147" s="139"/>
      <c r="U147" s="158"/>
      <c r="V147" s="7"/>
      <c r="W147" s="7"/>
      <c r="X147" s="146"/>
      <c r="Y147" s="7"/>
      <c r="Z147" s="7"/>
      <c r="AA147" s="7"/>
      <c r="AB147" s="119" t="e">
        <f>CONCATENATE(F147," - ",I147," - ",#REF!,)</f>
        <v>#REF!</v>
      </c>
    </row>
    <row r="148" spans="1:28" s="116" customFormat="1" ht="15">
      <c r="A148" s="114"/>
      <c r="B148" s="120"/>
      <c r="C148" s="129" t="str">
        <f t="shared" si="6"/>
        <v>week-0</v>
      </c>
      <c r="D148" s="120" t="str">
        <f t="shared" si="7"/>
        <v>Jan</v>
      </c>
      <c r="E148" s="125"/>
      <c r="F148" s="7"/>
      <c r="G148" s="120"/>
      <c r="H148" s="120"/>
      <c r="I148" s="132"/>
      <c r="J148" s="118"/>
      <c r="K148" s="115"/>
      <c r="L148" s="115"/>
      <c r="M148" s="8"/>
      <c r="N148" s="8" t="str">
        <f t="shared" si="8"/>
        <v>-</v>
      </c>
      <c r="O148" s="126"/>
      <c r="P148" s="127"/>
      <c r="Q148" s="127"/>
      <c r="R148" s="126"/>
      <c r="S148" s="127"/>
      <c r="T148" s="8"/>
      <c r="U148" s="158"/>
      <c r="V148" s="7"/>
      <c r="W148" s="7"/>
      <c r="X148" s="146"/>
      <c r="Y148" s="7"/>
      <c r="Z148" s="7"/>
      <c r="AA148" s="7" t="str">
        <f>IFERROR((VLOOKUP(F148,#REF!,2,FALSE)),"-")</f>
        <v>-</v>
      </c>
      <c r="AB148" s="119" t="e">
        <f>CONCATENATE(F148," - ",I148," - ",#REF!,)</f>
        <v>#REF!</v>
      </c>
    </row>
    <row r="149" spans="1:28" s="116" customFormat="1" ht="34.5" customHeight="1">
      <c r="A149" s="114"/>
      <c r="B149" s="120"/>
      <c r="C149" s="129" t="str">
        <f t="shared" si="6"/>
        <v>week-0</v>
      </c>
      <c r="D149" s="120" t="str">
        <f t="shared" si="7"/>
        <v>Jan</v>
      </c>
      <c r="E149" s="125"/>
      <c r="F149" s="7"/>
      <c r="G149" s="120"/>
      <c r="H149" s="120"/>
      <c r="I149" s="171"/>
      <c r="J149" s="118"/>
      <c r="K149" s="115"/>
      <c r="L149" s="115"/>
      <c r="M149" s="8"/>
      <c r="N149" s="8" t="str">
        <f t="shared" si="8"/>
        <v>-</v>
      </c>
      <c r="O149" s="127"/>
      <c r="P149" s="127"/>
      <c r="Q149" s="127"/>
      <c r="R149" s="126"/>
      <c r="S149" s="127"/>
      <c r="T149" s="139"/>
      <c r="U149" s="158"/>
      <c r="V149" s="7"/>
      <c r="W149" s="7"/>
      <c r="X149" s="146"/>
      <c r="Y149" s="7"/>
      <c r="Z149" s="7"/>
      <c r="AA149" s="7" t="str">
        <f>IFERROR((VLOOKUP(F149,#REF!,2,FALSE)),"-")</f>
        <v>-</v>
      </c>
      <c r="AB149" s="119" t="e">
        <f>CONCATENATE(F149," - ",I149," - ",#REF!,)</f>
        <v>#REF!</v>
      </c>
    </row>
    <row r="150" spans="1:28" s="116" customFormat="1" ht="15">
      <c r="A150" s="114"/>
      <c r="B150" s="120"/>
      <c r="C150" s="129" t="str">
        <f t="shared" si="6"/>
        <v>week-0</v>
      </c>
      <c r="D150" s="120" t="str">
        <f t="shared" si="7"/>
        <v>Jan</v>
      </c>
      <c r="E150" s="7"/>
      <c r="F150" s="7"/>
      <c r="G150" s="120"/>
      <c r="H150" s="120"/>
      <c r="I150" s="171"/>
      <c r="J150" s="124"/>
      <c r="K150" s="115"/>
      <c r="L150" s="115"/>
      <c r="M150" s="8"/>
      <c r="N150" s="8" t="str">
        <f t="shared" si="8"/>
        <v>-</v>
      </c>
      <c r="O150" s="127"/>
      <c r="P150" s="127"/>
      <c r="Q150" s="127"/>
      <c r="R150" s="127"/>
      <c r="S150" s="127"/>
      <c r="T150" s="139"/>
      <c r="U150" s="158"/>
      <c r="V150" s="7"/>
      <c r="W150" s="7"/>
      <c r="X150" s="146"/>
      <c r="Y150" s="7"/>
      <c r="Z150" s="7"/>
      <c r="AA150" s="7"/>
      <c r="AB150" s="119" t="e">
        <f>CONCATENATE(F150," - ",I150," - ",#REF!,)</f>
        <v>#REF!</v>
      </c>
    </row>
    <row r="151" spans="1:28" s="116" customFormat="1" ht="15">
      <c r="A151" s="114"/>
      <c r="B151" s="120"/>
      <c r="C151" s="129" t="str">
        <f t="shared" si="6"/>
        <v>week-0</v>
      </c>
      <c r="D151" s="120" t="str">
        <f t="shared" si="7"/>
        <v>Jan</v>
      </c>
      <c r="E151" s="7"/>
      <c r="F151" s="7"/>
      <c r="G151" s="120"/>
      <c r="H151" s="120"/>
      <c r="I151" s="171"/>
      <c r="J151" s="124"/>
      <c r="K151" s="115"/>
      <c r="L151" s="115"/>
      <c r="M151" s="8"/>
      <c r="N151" s="8" t="str">
        <f t="shared" si="8"/>
        <v>-</v>
      </c>
      <c r="O151" s="127"/>
      <c r="P151" s="127"/>
      <c r="Q151" s="127"/>
      <c r="R151" s="127"/>
      <c r="S151" s="127"/>
      <c r="T151" s="139"/>
      <c r="U151" s="158"/>
      <c r="V151" s="7"/>
      <c r="W151" s="7"/>
      <c r="X151" s="146"/>
      <c r="Y151" s="7"/>
      <c r="Z151" s="7"/>
      <c r="AA151" s="7"/>
      <c r="AB151" s="119" t="e">
        <f>CONCATENATE(F151," - ",I151," - ",#REF!,)</f>
        <v>#REF!</v>
      </c>
    </row>
    <row r="152" spans="1:28" s="116" customFormat="1" ht="15">
      <c r="A152" s="114"/>
      <c r="B152" s="120"/>
      <c r="C152" s="129" t="str">
        <f t="shared" si="6"/>
        <v>week-0</v>
      </c>
      <c r="D152" s="120" t="str">
        <f t="shared" si="7"/>
        <v>Jan</v>
      </c>
      <c r="E152" s="7"/>
      <c r="F152" s="7"/>
      <c r="G152" s="120"/>
      <c r="H152" s="120"/>
      <c r="I152" s="132"/>
      <c r="J152" s="118"/>
      <c r="K152" s="115"/>
      <c r="L152" s="115"/>
      <c r="M152" s="8"/>
      <c r="N152" s="8" t="str">
        <f t="shared" si="8"/>
        <v>-</v>
      </c>
      <c r="O152" s="127"/>
      <c r="P152" s="127"/>
      <c r="Q152" s="127"/>
      <c r="R152" s="126"/>
      <c r="S152" s="127"/>
      <c r="T152" s="8"/>
      <c r="U152" s="158"/>
      <c r="V152" s="7"/>
      <c r="W152" s="7"/>
      <c r="X152" s="146"/>
      <c r="Y152" s="7"/>
      <c r="Z152" s="7"/>
      <c r="AA152" s="7" t="str">
        <f>IFERROR((VLOOKUP(F152,#REF!,2,FALSE)),"-")</f>
        <v>-</v>
      </c>
      <c r="AB152" s="119" t="e">
        <f>CONCATENATE(F152," - ",I152," - ",#REF!,)</f>
        <v>#REF!</v>
      </c>
    </row>
    <row r="153" spans="1:28" s="116" customFormat="1" ht="15">
      <c r="A153" s="114"/>
      <c r="B153" s="120"/>
      <c r="C153" s="129" t="str">
        <f t="shared" si="6"/>
        <v>week-0</v>
      </c>
      <c r="D153" s="120" t="str">
        <f t="shared" si="7"/>
        <v>Jan</v>
      </c>
      <c r="E153" s="7"/>
      <c r="F153" s="7"/>
      <c r="G153" s="120"/>
      <c r="H153" s="120"/>
      <c r="I153" s="132"/>
      <c r="J153" s="124"/>
      <c r="K153" s="115"/>
      <c r="L153" s="115"/>
      <c r="M153" s="8"/>
      <c r="N153" s="8" t="str">
        <f t="shared" si="8"/>
        <v>-</v>
      </c>
      <c r="O153" s="127"/>
      <c r="P153" s="127"/>
      <c r="Q153" s="127"/>
      <c r="R153" s="126"/>
      <c r="S153" s="127"/>
      <c r="T153" s="8"/>
      <c r="U153" s="158"/>
      <c r="V153" s="7"/>
      <c r="W153" s="7"/>
      <c r="X153" s="146"/>
      <c r="Y153" s="7"/>
      <c r="Z153" s="7"/>
      <c r="AA153" s="7" t="str">
        <f>IFERROR((VLOOKUP(F153,#REF!,2,FALSE)),"-")</f>
        <v>-</v>
      </c>
      <c r="AB153" s="119" t="e">
        <f>CONCATENATE(F153," - ",I153," - ",#REF!,)</f>
        <v>#REF!</v>
      </c>
    </row>
    <row r="154" spans="1:28" s="116" customFormat="1" ht="15">
      <c r="A154" s="114"/>
      <c r="B154" s="120"/>
      <c r="C154" s="129" t="str">
        <f t="shared" si="6"/>
        <v>week-0</v>
      </c>
      <c r="D154" s="120" t="str">
        <f t="shared" si="7"/>
        <v>Jan</v>
      </c>
      <c r="E154" s="7"/>
      <c r="F154" s="7"/>
      <c r="G154" s="120"/>
      <c r="H154" s="120"/>
      <c r="I154" s="132"/>
      <c r="J154" s="118"/>
      <c r="K154" s="115"/>
      <c r="L154" s="115"/>
      <c r="M154" s="8"/>
      <c r="N154" s="8" t="str">
        <f t="shared" si="8"/>
        <v>-</v>
      </c>
      <c r="O154" s="127"/>
      <c r="P154" s="127"/>
      <c r="Q154" s="127"/>
      <c r="R154" s="126"/>
      <c r="S154" s="127"/>
      <c r="T154" s="8"/>
      <c r="U154" s="158"/>
      <c r="V154" s="7"/>
      <c r="W154" s="7"/>
      <c r="X154" s="146"/>
      <c r="Y154" s="7"/>
      <c r="Z154" s="7"/>
      <c r="AA154" s="7" t="str">
        <f>IFERROR((VLOOKUP(F154,#REF!,2,FALSE)),"-")</f>
        <v>-</v>
      </c>
      <c r="AB154" s="119" t="e">
        <f>CONCATENATE(F154," - ",I154," - ",#REF!,)</f>
        <v>#REF!</v>
      </c>
    </row>
    <row r="155" spans="1:28" s="116" customFormat="1" ht="15">
      <c r="A155" s="114"/>
      <c r="B155" s="120"/>
      <c r="C155" s="129" t="str">
        <f t="shared" si="6"/>
        <v>week-0</v>
      </c>
      <c r="D155" s="120" t="str">
        <f t="shared" si="7"/>
        <v>Jan</v>
      </c>
      <c r="E155" s="7"/>
      <c r="F155" s="7"/>
      <c r="G155" s="120"/>
      <c r="H155" s="120"/>
      <c r="I155" s="132"/>
      <c r="J155" s="118"/>
      <c r="K155" s="115"/>
      <c r="L155" s="115"/>
      <c r="M155" s="8"/>
      <c r="N155" s="8" t="str">
        <f t="shared" si="8"/>
        <v>-</v>
      </c>
      <c r="O155" s="126"/>
      <c r="P155" s="127"/>
      <c r="Q155" s="127"/>
      <c r="R155" s="126"/>
      <c r="S155" s="127"/>
      <c r="T155" s="8"/>
      <c r="U155" s="158"/>
      <c r="V155" s="7"/>
      <c r="W155" s="7"/>
      <c r="X155" s="146"/>
      <c r="Y155" s="7"/>
      <c r="Z155" s="7"/>
      <c r="AA155" s="7" t="str">
        <f>IFERROR((VLOOKUP(F155,#REF!,2,FALSE)),"-")</f>
        <v>-</v>
      </c>
      <c r="AB155" s="119" t="e">
        <f>CONCATENATE(F155," - ",I155," - ",#REF!,)</f>
        <v>#REF!</v>
      </c>
    </row>
    <row r="156" spans="1:28" s="116" customFormat="1" ht="15">
      <c r="A156" s="114"/>
      <c r="B156" s="120"/>
      <c r="C156" s="129" t="str">
        <f t="shared" si="6"/>
        <v>week-0</v>
      </c>
      <c r="D156" s="120" t="str">
        <f t="shared" si="7"/>
        <v>Jan</v>
      </c>
      <c r="E156" s="7"/>
      <c r="F156" s="7"/>
      <c r="G156" s="120"/>
      <c r="H156" s="120"/>
      <c r="I156" s="132"/>
      <c r="J156" s="118"/>
      <c r="K156" s="115"/>
      <c r="L156" s="115"/>
      <c r="M156" s="8"/>
      <c r="N156" s="8" t="str">
        <f t="shared" si="8"/>
        <v>-</v>
      </c>
      <c r="O156" s="127"/>
      <c r="P156" s="127"/>
      <c r="Q156" s="127"/>
      <c r="R156" s="126"/>
      <c r="S156" s="127"/>
      <c r="T156" s="139"/>
      <c r="U156" s="158"/>
      <c r="V156" s="7"/>
      <c r="W156" s="7"/>
      <c r="X156" s="146"/>
      <c r="Y156" s="7"/>
      <c r="Z156" s="7"/>
      <c r="AA156" s="7" t="str">
        <f>IFERROR((VLOOKUP(F156,#REF!,2,FALSE)),"-")</f>
        <v>-</v>
      </c>
      <c r="AB156" s="119" t="e">
        <f>CONCATENATE(F156," - ",I156," - ",#REF!,)</f>
        <v>#REF!</v>
      </c>
    </row>
    <row r="157" spans="1:28" s="116" customFormat="1" ht="15">
      <c r="A157" s="114"/>
      <c r="B157" s="120"/>
      <c r="C157" s="129" t="str">
        <f t="shared" si="6"/>
        <v>week-0</v>
      </c>
      <c r="D157" s="120" t="str">
        <f t="shared" si="7"/>
        <v>Jan</v>
      </c>
      <c r="E157" s="7"/>
      <c r="F157" s="7"/>
      <c r="G157" s="120"/>
      <c r="H157" s="120"/>
      <c r="I157" s="132"/>
      <c r="J157" s="118"/>
      <c r="K157" s="115"/>
      <c r="L157" s="115"/>
      <c r="M157" s="8"/>
      <c r="N157" s="8" t="str">
        <f t="shared" si="8"/>
        <v>-</v>
      </c>
      <c r="O157" s="126"/>
      <c r="P157" s="127"/>
      <c r="Q157" s="127"/>
      <c r="R157" s="126"/>
      <c r="S157" s="127"/>
      <c r="T157" s="139"/>
      <c r="U157" s="158"/>
      <c r="V157" s="7"/>
      <c r="W157" s="7"/>
      <c r="X157" s="146"/>
      <c r="Y157" s="7"/>
      <c r="Z157" s="7"/>
      <c r="AA157" s="7" t="str">
        <f>IFERROR((VLOOKUP(F157,#REF!,2,FALSE)),"-")</f>
        <v>-</v>
      </c>
      <c r="AB157" s="119" t="e">
        <f>CONCATENATE(F157," - ",I157," - ",#REF!,)</f>
        <v>#REF!</v>
      </c>
    </row>
    <row r="158" spans="1:28" s="116" customFormat="1" ht="15">
      <c r="A158" s="114"/>
      <c r="B158" s="120"/>
      <c r="C158" s="129" t="str">
        <f t="shared" si="6"/>
        <v>week-0</v>
      </c>
      <c r="D158" s="120" t="str">
        <f t="shared" si="7"/>
        <v>Jan</v>
      </c>
      <c r="E158" s="7"/>
      <c r="F158" s="7"/>
      <c r="G158" s="120"/>
      <c r="H158" s="120"/>
      <c r="I158" s="132"/>
      <c r="J158" s="118"/>
      <c r="K158" s="115"/>
      <c r="L158" s="115"/>
      <c r="M158" s="8"/>
      <c r="N158" s="8" t="str">
        <f t="shared" si="8"/>
        <v>-</v>
      </c>
      <c r="O158" s="126"/>
      <c r="P158" s="127"/>
      <c r="Q158" s="127"/>
      <c r="R158" s="126"/>
      <c r="S158" s="127"/>
      <c r="T158" s="8"/>
      <c r="U158" s="158"/>
      <c r="V158" s="7"/>
      <c r="W158" s="7"/>
      <c r="X158" s="146"/>
      <c r="Y158" s="7"/>
      <c r="Z158" s="7"/>
      <c r="AA158" s="7" t="str">
        <f>IFERROR((VLOOKUP(F158,#REF!,2,FALSE)),"-")</f>
        <v>-</v>
      </c>
      <c r="AB158" s="119" t="e">
        <f>CONCATENATE(F158," - ",I158," - ",#REF!,)</f>
        <v>#REF!</v>
      </c>
    </row>
    <row r="159" spans="1:28" s="116" customFormat="1" ht="15">
      <c r="A159" s="114"/>
      <c r="B159" s="120"/>
      <c r="C159" s="129" t="str">
        <f t="shared" si="6"/>
        <v>week-0</v>
      </c>
      <c r="D159" s="120" t="str">
        <f t="shared" si="7"/>
        <v>Jan</v>
      </c>
      <c r="E159" s="7"/>
      <c r="F159" s="7"/>
      <c r="G159" s="120"/>
      <c r="H159" s="120"/>
      <c r="I159" s="132"/>
      <c r="J159" s="118"/>
      <c r="K159" s="115"/>
      <c r="L159" s="115"/>
      <c r="M159" s="8"/>
      <c r="N159" s="8" t="str">
        <f t="shared" si="8"/>
        <v>-</v>
      </c>
      <c r="O159" s="127"/>
      <c r="P159" s="127"/>
      <c r="Q159" s="127"/>
      <c r="R159" s="126"/>
      <c r="S159" s="127"/>
      <c r="T159" s="8"/>
      <c r="U159" s="158"/>
      <c r="V159" s="7"/>
      <c r="W159" s="7"/>
      <c r="X159" s="146"/>
      <c r="Y159" s="7"/>
      <c r="Z159" s="7"/>
      <c r="AA159" s="7" t="str">
        <f>IFERROR((VLOOKUP(F159,#REF!,2,FALSE)),"-")</f>
        <v>-</v>
      </c>
      <c r="AB159" s="119" t="e">
        <f>CONCATENATE(F159," - ",I159," - ",#REF!,)</f>
        <v>#REF!</v>
      </c>
    </row>
    <row r="160" spans="1:28" s="116" customFormat="1" ht="15">
      <c r="A160" s="114"/>
      <c r="B160" s="120"/>
      <c r="C160" s="129" t="str">
        <f t="shared" si="6"/>
        <v>week-0</v>
      </c>
      <c r="D160" s="120" t="str">
        <f t="shared" si="7"/>
        <v>Jan</v>
      </c>
      <c r="E160" s="7"/>
      <c r="F160" s="7"/>
      <c r="G160" s="120"/>
      <c r="H160" s="120"/>
      <c r="I160" s="171"/>
      <c r="J160" s="118"/>
      <c r="K160" s="115"/>
      <c r="L160" s="115"/>
      <c r="M160" s="8"/>
      <c r="N160" s="8" t="str">
        <f t="shared" si="8"/>
        <v>-</v>
      </c>
      <c r="O160" s="127"/>
      <c r="P160" s="127"/>
      <c r="Q160" s="127"/>
      <c r="R160" s="126"/>
      <c r="S160" s="127"/>
      <c r="T160" s="8"/>
      <c r="U160" s="158"/>
      <c r="V160" s="7"/>
      <c r="W160" s="7"/>
      <c r="X160" s="146"/>
      <c r="Y160" s="7"/>
      <c r="Z160" s="7"/>
      <c r="AA160" s="7" t="str">
        <f>IFERROR((VLOOKUP(F160,#REF!,2,FALSE)),"-")</f>
        <v>-</v>
      </c>
      <c r="AB160" s="119" t="e">
        <f>CONCATENATE(F160," - ",I160," - ",#REF!,)</f>
        <v>#REF!</v>
      </c>
    </row>
    <row r="161" spans="1:28" s="116" customFormat="1" ht="15">
      <c r="A161" s="114"/>
      <c r="B161" s="120"/>
      <c r="C161" s="129" t="str">
        <f t="shared" si="6"/>
        <v>week-0</v>
      </c>
      <c r="D161" s="120" t="str">
        <f t="shared" si="7"/>
        <v>Jan</v>
      </c>
      <c r="E161" s="7"/>
      <c r="F161" s="7"/>
      <c r="G161" s="120"/>
      <c r="H161" s="120"/>
      <c r="I161" s="132"/>
      <c r="J161" s="118"/>
      <c r="K161" s="115"/>
      <c r="L161" s="115"/>
      <c r="M161" s="8"/>
      <c r="N161" s="8" t="str">
        <f t="shared" si="8"/>
        <v>-</v>
      </c>
      <c r="O161" s="127"/>
      <c r="P161" s="127"/>
      <c r="Q161" s="127"/>
      <c r="R161" s="126"/>
      <c r="S161" s="127"/>
      <c r="T161" s="8"/>
      <c r="U161" s="158"/>
      <c r="V161" s="7"/>
      <c r="W161" s="7"/>
      <c r="X161" s="146"/>
      <c r="Y161" s="7"/>
      <c r="Z161" s="7"/>
      <c r="AA161" s="7" t="str">
        <f>IFERROR((VLOOKUP(F161,#REF!,2,FALSE)),"-")</f>
        <v>-</v>
      </c>
      <c r="AB161" s="119" t="e">
        <f>CONCATENATE(F161," - ",I161," - ",#REF!,)</f>
        <v>#REF!</v>
      </c>
    </row>
    <row r="162" spans="1:28" s="116" customFormat="1" ht="15">
      <c r="A162" s="114"/>
      <c r="B162" s="120"/>
      <c r="C162" s="129" t="str">
        <f t="shared" si="6"/>
        <v>week-0</v>
      </c>
      <c r="D162" s="120" t="str">
        <f t="shared" si="7"/>
        <v>Jan</v>
      </c>
      <c r="E162" s="7"/>
      <c r="F162" s="7"/>
      <c r="G162" s="120"/>
      <c r="H162" s="120"/>
      <c r="I162" s="132"/>
      <c r="J162" s="118"/>
      <c r="K162" s="115"/>
      <c r="L162" s="115"/>
      <c r="M162" s="8"/>
      <c r="N162" s="8" t="str">
        <f t="shared" si="8"/>
        <v>-</v>
      </c>
      <c r="O162" s="126"/>
      <c r="P162" s="127"/>
      <c r="Q162" s="127"/>
      <c r="R162" s="126"/>
      <c r="S162" s="127"/>
      <c r="T162" s="8"/>
      <c r="U162" s="158"/>
      <c r="V162" s="7"/>
      <c r="W162" s="7"/>
      <c r="X162" s="146"/>
      <c r="Y162" s="7"/>
      <c r="Z162" s="7"/>
      <c r="AA162" s="7" t="str">
        <f>IFERROR((VLOOKUP(F162,#REF!,2,FALSE)),"-")</f>
        <v>-</v>
      </c>
      <c r="AB162" s="119" t="e">
        <f>CONCATENATE(F162," - ",I162," - ",#REF!,)</f>
        <v>#REF!</v>
      </c>
    </row>
    <row r="163" spans="1:28" s="116" customFormat="1" ht="15">
      <c r="A163" s="114"/>
      <c r="B163" s="120"/>
      <c r="C163" s="129" t="str">
        <f t="shared" si="6"/>
        <v>week-0</v>
      </c>
      <c r="D163" s="120" t="str">
        <f t="shared" si="7"/>
        <v>Jan</v>
      </c>
      <c r="E163" s="7"/>
      <c r="F163" s="7"/>
      <c r="G163" s="120"/>
      <c r="H163" s="120"/>
      <c r="I163" s="132"/>
      <c r="J163" s="118"/>
      <c r="K163" s="115"/>
      <c r="L163" s="115"/>
      <c r="M163" s="8"/>
      <c r="N163" s="8" t="str">
        <f t="shared" si="8"/>
        <v>-</v>
      </c>
      <c r="O163" s="126"/>
      <c r="P163" s="127"/>
      <c r="Q163" s="127"/>
      <c r="R163" s="126"/>
      <c r="S163" s="127"/>
      <c r="T163" s="8"/>
      <c r="U163" s="158"/>
      <c r="V163" s="7"/>
      <c r="W163" s="7"/>
      <c r="X163" s="146"/>
      <c r="Y163" s="7"/>
      <c r="Z163" s="7"/>
      <c r="AA163" s="7" t="str">
        <f>IFERROR((VLOOKUP(F163,#REF!,2,FALSE)),"-")</f>
        <v>-</v>
      </c>
      <c r="AB163" s="119" t="e">
        <f>CONCATENATE(F163," - ",I163," - ",#REF!,)</f>
        <v>#REF!</v>
      </c>
    </row>
    <row r="164" spans="1:28" s="116" customFormat="1" ht="26.25" customHeight="1">
      <c r="A164" s="114"/>
      <c r="B164" s="120"/>
      <c r="C164" s="129" t="str">
        <f t="shared" si="6"/>
        <v>week-0</v>
      </c>
      <c r="D164" s="120" t="str">
        <f t="shared" si="7"/>
        <v>Jan</v>
      </c>
      <c r="E164" s="7"/>
      <c r="F164" s="7"/>
      <c r="G164" s="120"/>
      <c r="H164" s="120"/>
      <c r="I164" s="179"/>
      <c r="J164" s="118"/>
      <c r="K164" s="115"/>
      <c r="L164" s="115"/>
      <c r="M164" s="8"/>
      <c r="N164" s="8" t="str">
        <f t="shared" si="8"/>
        <v>-</v>
      </c>
      <c r="O164" s="126"/>
      <c r="P164" s="127"/>
      <c r="Q164" s="127"/>
      <c r="R164" s="126"/>
      <c r="S164" s="127"/>
      <c r="T164" s="8"/>
      <c r="U164" s="158"/>
      <c r="V164" s="7"/>
      <c r="W164" s="7"/>
      <c r="X164" s="146"/>
      <c r="Y164" s="7"/>
      <c r="Z164" s="7"/>
      <c r="AA164" s="7" t="str">
        <f>IFERROR((VLOOKUP(F164,#REF!,2,FALSE)),"-")</f>
        <v>-</v>
      </c>
      <c r="AB164" s="119" t="e">
        <f>CONCATENATE(F164," - ",I164," - ",#REF!,)</f>
        <v>#REF!</v>
      </c>
    </row>
    <row r="165" spans="1:28" s="116" customFormat="1" ht="15">
      <c r="A165" s="114"/>
      <c r="B165" s="120"/>
      <c r="C165" s="129" t="str">
        <f t="shared" si="6"/>
        <v>week-0</v>
      </c>
      <c r="D165" s="120" t="str">
        <f t="shared" si="7"/>
        <v>Jan</v>
      </c>
      <c r="E165" s="7"/>
      <c r="F165" s="7"/>
      <c r="G165" s="120"/>
      <c r="H165" s="120"/>
      <c r="I165" s="179"/>
      <c r="J165" s="118"/>
      <c r="K165" s="115"/>
      <c r="L165" s="115"/>
      <c r="M165" s="8"/>
      <c r="N165" s="8" t="str">
        <f t="shared" si="8"/>
        <v>-</v>
      </c>
      <c r="O165" s="127"/>
      <c r="P165" s="127"/>
      <c r="Q165" s="127"/>
      <c r="R165" s="126"/>
      <c r="S165" s="127"/>
      <c r="T165" s="8"/>
      <c r="U165" s="158"/>
      <c r="V165" s="7"/>
      <c r="W165" s="7"/>
      <c r="X165" s="146"/>
      <c r="Y165" s="7"/>
      <c r="Z165" s="7"/>
      <c r="AA165" s="7" t="str">
        <f>IFERROR((VLOOKUP(F165,#REF!,2,FALSE)),"-")</f>
        <v>-</v>
      </c>
      <c r="AB165" s="119" t="e">
        <f>CONCATENATE(F165," - ",I165," - ",#REF!,)</f>
        <v>#REF!</v>
      </c>
    </row>
    <row r="166" spans="1:28" s="116" customFormat="1" ht="15">
      <c r="A166" s="84"/>
      <c r="B166" s="120"/>
      <c r="C166" s="129" t="str">
        <f t="shared" si="6"/>
        <v>week-0</v>
      </c>
      <c r="D166" s="120" t="str">
        <f t="shared" si="7"/>
        <v>Jan</v>
      </c>
      <c r="E166" s="7"/>
      <c r="F166" s="7"/>
      <c r="G166" s="120"/>
      <c r="H166" s="120"/>
      <c r="I166" s="132"/>
      <c r="J166" s="118"/>
      <c r="K166" s="115"/>
      <c r="L166" s="115"/>
      <c r="M166" s="8"/>
      <c r="N166" s="8" t="str">
        <f t="shared" si="8"/>
        <v>-</v>
      </c>
      <c r="O166" s="126"/>
      <c r="P166" s="127"/>
      <c r="Q166" s="127"/>
      <c r="R166" s="126"/>
      <c r="S166" s="127"/>
      <c r="T166" s="8"/>
      <c r="U166" s="181"/>
      <c r="V166" s="7"/>
      <c r="W166" s="7"/>
      <c r="X166" s="146"/>
      <c r="Y166" s="7"/>
      <c r="Z166" s="7"/>
      <c r="AA166" s="7" t="str">
        <f>IFERROR((VLOOKUP(F166,#REF!,2,FALSE)),"-")</f>
        <v>-</v>
      </c>
      <c r="AB166" s="119" t="e">
        <f>CONCATENATE(F166," - ",I166," - ",#REF!,)</f>
        <v>#REF!</v>
      </c>
    </row>
    <row r="167" spans="1:28" s="116" customFormat="1" ht="15">
      <c r="A167" s="114"/>
      <c r="B167" s="120"/>
      <c r="C167" s="129" t="str">
        <f t="shared" si="6"/>
        <v>week-0</v>
      </c>
      <c r="D167" s="120" t="str">
        <f t="shared" si="7"/>
        <v>Jan</v>
      </c>
      <c r="E167" s="7"/>
      <c r="F167" s="7"/>
      <c r="G167" s="120"/>
      <c r="H167" s="120"/>
      <c r="I167" s="132"/>
      <c r="J167" s="118"/>
      <c r="K167" s="115"/>
      <c r="L167" s="115"/>
      <c r="M167" s="8"/>
      <c r="N167" s="8" t="str">
        <f t="shared" si="8"/>
        <v>-</v>
      </c>
      <c r="O167" s="127"/>
      <c r="P167" s="127"/>
      <c r="Q167" s="127"/>
      <c r="R167" s="126"/>
      <c r="S167" s="127"/>
      <c r="T167" s="8"/>
      <c r="U167" s="158"/>
      <c r="V167" s="7"/>
      <c r="W167" s="7"/>
      <c r="X167" s="146"/>
      <c r="Y167" s="7"/>
      <c r="Z167" s="7"/>
      <c r="AA167" s="7" t="str">
        <f>IFERROR((VLOOKUP(F167,#REF!,2,FALSE)),"-")</f>
        <v>-</v>
      </c>
      <c r="AB167" s="119" t="e">
        <f>CONCATENATE(F167," - ",I167," - ",#REF!,)</f>
        <v>#REF!</v>
      </c>
    </row>
    <row r="168" spans="1:28" s="116" customFormat="1" ht="32.25" customHeight="1">
      <c r="A168" s="114"/>
      <c r="B168" s="120"/>
      <c r="C168" s="129" t="str">
        <f t="shared" si="6"/>
        <v>week-0</v>
      </c>
      <c r="D168" s="120" t="str">
        <f t="shared" si="7"/>
        <v>Jan</v>
      </c>
      <c r="E168" s="7"/>
      <c r="F168" s="7"/>
      <c r="G168" s="120"/>
      <c r="H168" s="120"/>
      <c r="I168" s="179"/>
      <c r="J168" s="118"/>
      <c r="K168" s="115"/>
      <c r="L168" s="115"/>
      <c r="M168" s="8"/>
      <c r="N168" s="8" t="str">
        <f t="shared" si="8"/>
        <v>-</v>
      </c>
      <c r="O168" s="126"/>
      <c r="P168" s="127"/>
      <c r="Q168" s="127"/>
      <c r="R168" s="126"/>
      <c r="S168" s="127"/>
      <c r="T168" s="8"/>
      <c r="U168" s="158"/>
      <c r="V168" s="7"/>
      <c r="W168" s="7"/>
      <c r="X168" s="146"/>
      <c r="Y168" s="7"/>
      <c r="Z168" s="7"/>
      <c r="AA168" s="7" t="str">
        <f>IFERROR((VLOOKUP(F168,#REF!,2,FALSE)),"-")</f>
        <v>-</v>
      </c>
      <c r="AB168" s="119" t="e">
        <f>CONCATENATE(F168," - ",I168," - ",#REF!,)</f>
        <v>#REF!</v>
      </c>
    </row>
    <row r="169" spans="1:28" s="116" customFormat="1" ht="15">
      <c r="A169" s="114"/>
      <c r="B169" s="120"/>
      <c r="C169" s="129" t="str">
        <f t="shared" si="6"/>
        <v>week-0</v>
      </c>
      <c r="D169" s="120" t="str">
        <f t="shared" si="7"/>
        <v>Jan</v>
      </c>
      <c r="E169" s="7"/>
      <c r="F169" s="7"/>
      <c r="G169" s="120"/>
      <c r="H169" s="120"/>
      <c r="I169" s="132"/>
      <c r="J169" s="124"/>
      <c r="K169" s="115"/>
      <c r="L169" s="115"/>
      <c r="M169" s="8"/>
      <c r="N169" s="8" t="str">
        <f t="shared" si="8"/>
        <v>-</v>
      </c>
      <c r="O169" s="126"/>
      <c r="P169" s="127"/>
      <c r="Q169" s="127"/>
      <c r="R169" s="126"/>
      <c r="S169" s="127"/>
      <c r="T169" s="8"/>
      <c r="U169" s="158"/>
      <c r="V169" s="7"/>
      <c r="W169" s="7"/>
      <c r="X169" s="146"/>
      <c r="Y169" s="7"/>
      <c r="Z169" s="7"/>
      <c r="AA169" s="7" t="str">
        <f>IFERROR((VLOOKUP(F169,#REF!,2,FALSE)),"-")</f>
        <v>-</v>
      </c>
      <c r="AB169" s="119" t="e">
        <f>CONCATENATE(F169," - ",I169," - ",#REF!,)</f>
        <v>#REF!</v>
      </c>
    </row>
    <row r="170" spans="1:28" s="116" customFormat="1" ht="15">
      <c r="A170" s="114"/>
      <c r="B170" s="120"/>
      <c r="C170" s="129" t="str">
        <f t="shared" si="6"/>
        <v>week-0</v>
      </c>
      <c r="D170" s="120" t="str">
        <f t="shared" si="7"/>
        <v>Jan</v>
      </c>
      <c r="E170" s="7"/>
      <c r="F170" s="7"/>
      <c r="G170" s="120"/>
      <c r="H170" s="120"/>
      <c r="I170" s="132"/>
      <c r="J170" s="118"/>
      <c r="K170" s="115"/>
      <c r="L170" s="115"/>
      <c r="M170" s="8"/>
      <c r="N170" s="8" t="str">
        <f t="shared" si="8"/>
        <v>-</v>
      </c>
      <c r="O170" s="126"/>
      <c r="P170" s="127"/>
      <c r="Q170" s="127"/>
      <c r="R170" s="126"/>
      <c r="S170" s="127"/>
      <c r="T170" s="8"/>
      <c r="U170" s="158"/>
      <c r="V170" s="7"/>
      <c r="W170" s="7"/>
      <c r="X170" s="146"/>
      <c r="Y170" s="7"/>
      <c r="Z170" s="7"/>
      <c r="AA170" s="7" t="str">
        <f>IFERROR((VLOOKUP(F170,#REF!,2,FALSE)),"-")</f>
        <v>-</v>
      </c>
      <c r="AB170" s="119" t="e">
        <f>CONCATENATE(F170," - ",I170," - ",#REF!,)</f>
        <v>#REF!</v>
      </c>
    </row>
    <row r="171" spans="1:28" s="116" customFormat="1" ht="15">
      <c r="A171" s="114"/>
      <c r="B171" s="120"/>
      <c r="C171" s="129" t="str">
        <f t="shared" si="6"/>
        <v>week-0</v>
      </c>
      <c r="D171" s="120" t="str">
        <f t="shared" si="7"/>
        <v>Jan</v>
      </c>
      <c r="E171" s="7"/>
      <c r="F171" s="7"/>
      <c r="G171" s="120"/>
      <c r="H171" s="120"/>
      <c r="I171" s="132"/>
      <c r="J171" s="118"/>
      <c r="K171" s="115"/>
      <c r="L171" s="115"/>
      <c r="M171" s="8"/>
      <c r="N171" s="8" t="str">
        <f t="shared" si="8"/>
        <v>-</v>
      </c>
      <c r="O171" s="126"/>
      <c r="P171" s="127"/>
      <c r="Q171" s="127"/>
      <c r="R171" s="126"/>
      <c r="S171" s="127"/>
      <c r="T171" s="139"/>
      <c r="U171" s="158"/>
      <c r="V171" s="7"/>
      <c r="W171" s="7"/>
      <c r="X171" s="146"/>
      <c r="Y171" s="7"/>
      <c r="Z171" s="7"/>
      <c r="AA171" s="7" t="str">
        <f>IFERROR((VLOOKUP(F171,#REF!,2,FALSE)),"-")</f>
        <v>-</v>
      </c>
      <c r="AB171" s="119" t="e">
        <f>CONCATENATE(F171," - ",I171," - ",#REF!,)</f>
        <v>#REF!</v>
      </c>
    </row>
    <row r="172" spans="1:28" s="116" customFormat="1" ht="15">
      <c r="A172" s="114"/>
      <c r="B172" s="120"/>
      <c r="C172" s="129" t="str">
        <f t="shared" si="6"/>
        <v>week-0</v>
      </c>
      <c r="D172" s="120" t="str">
        <f t="shared" si="7"/>
        <v>Jan</v>
      </c>
      <c r="E172" s="7"/>
      <c r="F172" s="7"/>
      <c r="G172" s="120"/>
      <c r="H172" s="120"/>
      <c r="I172" s="117"/>
      <c r="J172" s="118"/>
      <c r="K172" s="115"/>
      <c r="L172" s="115"/>
      <c r="M172" s="8"/>
      <c r="N172" s="8" t="str">
        <f t="shared" si="8"/>
        <v>-</v>
      </c>
      <c r="O172" s="126"/>
      <c r="P172" s="127"/>
      <c r="Q172" s="127"/>
      <c r="R172" s="126"/>
      <c r="S172" s="127"/>
      <c r="T172" s="8"/>
      <c r="U172" s="158"/>
      <c r="V172" s="7"/>
      <c r="W172" s="7"/>
      <c r="X172" s="146"/>
      <c r="Y172" s="7"/>
      <c r="Z172" s="7"/>
      <c r="AA172" s="7" t="str">
        <f>IFERROR((VLOOKUP(F172,#REF!,2,FALSE)),"-")</f>
        <v>-</v>
      </c>
      <c r="AB172" s="119" t="e">
        <f>CONCATENATE(F172," - ",I172," - ",#REF!,)</f>
        <v>#REF!</v>
      </c>
    </row>
    <row r="173" spans="1:28" s="116" customFormat="1" ht="15">
      <c r="A173" s="114"/>
      <c r="B173" s="120"/>
      <c r="C173" s="129" t="str">
        <f t="shared" si="6"/>
        <v>week-0</v>
      </c>
      <c r="D173" s="120" t="str">
        <f t="shared" si="7"/>
        <v>Jan</v>
      </c>
      <c r="E173" s="7"/>
      <c r="F173" s="7"/>
      <c r="G173" s="120"/>
      <c r="H173" s="120"/>
      <c r="I173" s="117"/>
      <c r="J173" s="118"/>
      <c r="K173" s="115"/>
      <c r="L173" s="115"/>
      <c r="M173" s="8"/>
      <c r="N173" s="8" t="str">
        <f t="shared" si="8"/>
        <v>-</v>
      </c>
      <c r="O173" s="126"/>
      <c r="P173" s="127"/>
      <c r="Q173" s="127"/>
      <c r="R173" s="126"/>
      <c r="S173" s="127"/>
      <c r="T173" s="139"/>
      <c r="U173" s="158"/>
      <c r="V173" s="7"/>
      <c r="W173" s="7"/>
      <c r="X173" s="146"/>
      <c r="Y173" s="7"/>
      <c r="Z173" s="7"/>
      <c r="AA173" s="7" t="str">
        <f>IFERROR((VLOOKUP(F173,#REF!,2,FALSE)),"-")</f>
        <v>-</v>
      </c>
      <c r="AB173" s="119" t="e">
        <f>CONCATENATE(F173," - ",I173," - ",#REF!,)</f>
        <v>#REF!</v>
      </c>
    </row>
    <row r="174" spans="1:28" s="116" customFormat="1" ht="15">
      <c r="A174" s="114"/>
      <c r="B174" s="120"/>
      <c r="C174" s="129" t="str">
        <f t="shared" si="6"/>
        <v>week-0</v>
      </c>
      <c r="D174" s="120" t="str">
        <f t="shared" si="7"/>
        <v>Jan</v>
      </c>
      <c r="E174" s="7"/>
      <c r="F174" s="7"/>
      <c r="G174" s="120"/>
      <c r="H174" s="120"/>
      <c r="I174" s="117"/>
      <c r="J174" s="118"/>
      <c r="K174" s="115"/>
      <c r="L174" s="115"/>
      <c r="M174" s="8"/>
      <c r="N174" s="8" t="str">
        <f t="shared" si="8"/>
        <v>-</v>
      </c>
      <c r="O174" s="126"/>
      <c r="P174" s="127"/>
      <c r="Q174" s="127"/>
      <c r="R174" s="126"/>
      <c r="S174" s="127"/>
      <c r="T174" s="8"/>
      <c r="U174" s="158"/>
      <c r="V174" s="7"/>
      <c r="W174" s="7"/>
      <c r="X174" s="146"/>
      <c r="Y174" s="7"/>
      <c r="Z174" s="7"/>
      <c r="AA174" s="7" t="str">
        <f>IFERROR((VLOOKUP(F174,#REF!,2,FALSE)),"-")</f>
        <v>-</v>
      </c>
      <c r="AB174" s="119" t="e">
        <f>CONCATENATE(F174," - ",I174," - ",#REF!,)</f>
        <v>#REF!</v>
      </c>
    </row>
    <row r="175" spans="1:28" s="116" customFormat="1" ht="15">
      <c r="A175" s="114"/>
      <c r="B175" s="120"/>
      <c r="C175" s="129" t="str">
        <f t="shared" si="6"/>
        <v>week-0</v>
      </c>
      <c r="D175" s="120" t="str">
        <f t="shared" si="7"/>
        <v>Jan</v>
      </c>
      <c r="E175" s="7"/>
      <c r="F175" s="7"/>
      <c r="G175" s="120"/>
      <c r="H175" s="120"/>
      <c r="I175" s="179"/>
      <c r="J175" s="118"/>
      <c r="K175" s="115"/>
      <c r="L175" s="115"/>
      <c r="M175" s="8"/>
      <c r="N175" s="8" t="str">
        <f t="shared" si="8"/>
        <v>-</v>
      </c>
      <c r="O175" s="127"/>
      <c r="P175" s="127"/>
      <c r="Q175" s="127"/>
      <c r="R175" s="126"/>
      <c r="S175" s="127"/>
      <c r="T175" s="139"/>
      <c r="U175" s="158"/>
      <c r="V175" s="7"/>
      <c r="W175" s="7"/>
      <c r="X175" s="146"/>
      <c r="Y175" s="7"/>
      <c r="Z175" s="7"/>
      <c r="AA175" s="7" t="str">
        <f>IFERROR((VLOOKUP(F175,#REF!,2,FALSE)),"-")</f>
        <v>-</v>
      </c>
      <c r="AB175" s="119" t="e">
        <f>CONCATENATE(F175," - ",I175," - ",#REF!,)</f>
        <v>#REF!</v>
      </c>
    </row>
    <row r="176" spans="1:28" s="116" customFormat="1" ht="15">
      <c r="A176" s="114"/>
      <c r="B176" s="120"/>
      <c r="C176" s="129" t="str">
        <f t="shared" si="6"/>
        <v>week-0</v>
      </c>
      <c r="D176" s="120" t="str">
        <f t="shared" si="7"/>
        <v>Jan</v>
      </c>
      <c r="E176" s="7"/>
      <c r="F176" s="7"/>
      <c r="G176" s="120"/>
      <c r="H176" s="120"/>
      <c r="I176" s="132"/>
      <c r="J176" s="118"/>
      <c r="K176" s="115"/>
      <c r="L176" s="115"/>
      <c r="M176" s="8"/>
      <c r="N176" s="8" t="str">
        <f t="shared" si="8"/>
        <v>-</v>
      </c>
      <c r="O176" s="126"/>
      <c r="P176" s="127"/>
      <c r="Q176" s="127"/>
      <c r="R176" s="126"/>
      <c r="S176" s="127"/>
      <c r="T176" s="139"/>
      <c r="U176" s="180"/>
      <c r="V176" s="7"/>
      <c r="W176" s="7"/>
      <c r="X176" s="180"/>
      <c r="Y176" s="7"/>
      <c r="Z176" s="7"/>
      <c r="AA176" s="7"/>
      <c r="AB176" s="119"/>
    </row>
    <row r="177" spans="1:28" s="116" customFormat="1" ht="15">
      <c r="A177" s="114"/>
      <c r="B177" s="120"/>
      <c r="C177" s="129" t="str">
        <f t="shared" si="6"/>
        <v>week-0</v>
      </c>
      <c r="D177" s="120" t="str">
        <f t="shared" si="7"/>
        <v>Jan</v>
      </c>
      <c r="E177" s="7"/>
      <c r="F177" s="7"/>
      <c r="G177" s="120"/>
      <c r="H177" s="120"/>
      <c r="I177" s="132"/>
      <c r="J177" s="118"/>
      <c r="K177" s="115"/>
      <c r="L177" s="115"/>
      <c r="M177" s="8"/>
      <c r="N177" s="8" t="str">
        <f t="shared" si="8"/>
        <v>-</v>
      </c>
      <c r="O177" s="127"/>
      <c r="P177" s="127"/>
      <c r="Q177" s="127"/>
      <c r="R177" s="126"/>
      <c r="S177" s="127"/>
      <c r="T177" s="139"/>
      <c r="U177" s="158"/>
      <c r="V177" s="7"/>
      <c r="W177" s="7"/>
      <c r="X177" s="146"/>
      <c r="Y177" s="7"/>
      <c r="Z177" s="7"/>
      <c r="AA177" s="7" t="str">
        <f>IFERROR((VLOOKUP(F177,#REF!,2,FALSE)),"-")</f>
        <v>-</v>
      </c>
      <c r="AB177" s="119" t="e">
        <f>CONCATENATE(F177," - ",I177," - ",#REF!,)</f>
        <v>#REF!</v>
      </c>
    </row>
    <row r="178" spans="1:28" s="116" customFormat="1" ht="15">
      <c r="A178" s="114"/>
      <c r="B178" s="120"/>
      <c r="C178" s="129" t="str">
        <f t="shared" si="6"/>
        <v>week-0</v>
      </c>
      <c r="D178" s="120" t="str">
        <f t="shared" si="7"/>
        <v>Jan</v>
      </c>
      <c r="E178" s="7"/>
      <c r="F178" s="7"/>
      <c r="G178" s="120"/>
      <c r="H178" s="120"/>
      <c r="I178" s="117"/>
      <c r="J178" s="118"/>
      <c r="K178" s="115"/>
      <c r="L178" s="115"/>
      <c r="M178" s="8"/>
      <c r="N178" s="8" t="str">
        <f t="shared" si="8"/>
        <v>-</v>
      </c>
      <c r="O178" s="126"/>
      <c r="P178" s="127"/>
      <c r="Q178" s="127"/>
      <c r="R178" s="126"/>
      <c r="S178" s="127"/>
      <c r="T178" s="8"/>
      <c r="U178" s="180"/>
      <c r="V178" s="7"/>
      <c r="W178" s="7"/>
      <c r="X178" s="180"/>
      <c r="Y178" s="7"/>
      <c r="Z178" s="7"/>
      <c r="AA178" s="7" t="str">
        <f>IFERROR((VLOOKUP(F178,#REF!,2,FALSE)),"-")</f>
        <v>-</v>
      </c>
      <c r="AB178" s="119" t="e">
        <f>CONCATENATE(F178," - ",I178," - ",#REF!,)</f>
        <v>#REF!</v>
      </c>
    </row>
    <row r="179" spans="1:28" s="116" customFormat="1" ht="15">
      <c r="A179" s="114"/>
      <c r="B179" s="120"/>
      <c r="C179" s="129" t="str">
        <f t="shared" si="6"/>
        <v>week-0</v>
      </c>
      <c r="D179" s="120" t="str">
        <f t="shared" si="7"/>
        <v>Jan</v>
      </c>
      <c r="E179" s="7"/>
      <c r="F179" s="7"/>
      <c r="G179" s="120"/>
      <c r="H179" s="120"/>
      <c r="I179" s="132"/>
      <c r="J179" s="118"/>
      <c r="K179" s="115"/>
      <c r="L179" s="115"/>
      <c r="M179" s="8"/>
      <c r="N179" s="8" t="str">
        <f t="shared" si="8"/>
        <v>-</v>
      </c>
      <c r="O179" s="126"/>
      <c r="P179" s="127"/>
      <c r="Q179" s="127"/>
      <c r="R179" s="126"/>
      <c r="S179" s="127"/>
      <c r="T179" s="139"/>
      <c r="U179" s="180"/>
      <c r="V179" s="7"/>
      <c r="W179" s="7"/>
      <c r="X179" s="180"/>
      <c r="Y179" s="7"/>
      <c r="Z179" s="7"/>
      <c r="AA179" s="7" t="str">
        <f>IFERROR((VLOOKUP(F179,#REF!,2,FALSE)),"-")</f>
        <v>-</v>
      </c>
      <c r="AB179" s="119" t="e">
        <f>CONCATENATE(F179," - ",I179," - ",#REF!,)</f>
        <v>#REF!</v>
      </c>
    </row>
    <row r="180" spans="1:28" s="116" customFormat="1" ht="15">
      <c r="A180" s="114"/>
      <c r="B180" s="120"/>
      <c r="C180" s="129" t="str">
        <f t="shared" si="6"/>
        <v>week-0</v>
      </c>
      <c r="D180" s="120" t="str">
        <f t="shared" si="7"/>
        <v>Jan</v>
      </c>
      <c r="E180" s="7"/>
      <c r="F180" s="7"/>
      <c r="G180" s="120"/>
      <c r="H180" s="120"/>
      <c r="I180" s="132"/>
      <c r="J180" s="118"/>
      <c r="K180" s="115"/>
      <c r="L180" s="115"/>
      <c r="M180" s="8"/>
      <c r="N180" s="8" t="str">
        <f t="shared" si="8"/>
        <v>-</v>
      </c>
      <c r="O180" s="127"/>
      <c r="P180" s="127"/>
      <c r="Q180" s="127"/>
      <c r="R180" s="126"/>
      <c r="S180" s="127"/>
      <c r="T180" s="139"/>
      <c r="U180" s="180"/>
      <c r="V180" s="7"/>
      <c r="W180" s="7"/>
      <c r="X180" s="180"/>
      <c r="Y180" s="7"/>
      <c r="Z180" s="7"/>
      <c r="AA180" s="7" t="str">
        <f>IFERROR((VLOOKUP(F180,#REF!,2,FALSE)),"-")</f>
        <v>-</v>
      </c>
      <c r="AB180" s="119" t="e">
        <f>CONCATENATE(F180," - ",I180," - ",#REF!,)</f>
        <v>#REF!</v>
      </c>
    </row>
    <row r="181" spans="1:28" s="116" customFormat="1" ht="15">
      <c r="A181" s="114"/>
      <c r="B181" s="120"/>
      <c r="C181" s="129" t="str">
        <f t="shared" si="6"/>
        <v>week-0</v>
      </c>
      <c r="D181" s="120" t="str">
        <f t="shared" si="7"/>
        <v>Jan</v>
      </c>
      <c r="E181" s="7"/>
      <c r="F181" s="7"/>
      <c r="G181" s="120"/>
      <c r="H181" s="120"/>
      <c r="I181" s="132"/>
      <c r="J181" s="118"/>
      <c r="K181" s="115"/>
      <c r="L181" s="115"/>
      <c r="M181" s="8"/>
      <c r="N181" s="8" t="str">
        <f t="shared" si="8"/>
        <v>-</v>
      </c>
      <c r="O181" s="126"/>
      <c r="P181" s="127"/>
      <c r="Q181" s="127"/>
      <c r="R181" s="126"/>
      <c r="S181" s="127"/>
      <c r="T181" s="8"/>
      <c r="U181" s="158"/>
      <c r="V181" s="7"/>
      <c r="W181" s="7"/>
      <c r="X181" s="146"/>
      <c r="Y181" s="7"/>
      <c r="Z181" s="7"/>
      <c r="AA181" s="7" t="str">
        <f>IFERROR((VLOOKUP(F181,#REF!,2,FALSE)),"-")</f>
        <v>-</v>
      </c>
      <c r="AB181" s="119" t="e">
        <f>CONCATENATE(F181," - ",I181," - ",#REF!,)</f>
        <v>#REF!</v>
      </c>
    </row>
    <row r="182" spans="1:28" s="116" customFormat="1" ht="15">
      <c r="A182" s="114"/>
      <c r="B182" s="120"/>
      <c r="C182" s="129" t="str">
        <f t="shared" si="6"/>
        <v>week-0</v>
      </c>
      <c r="D182" s="120" t="str">
        <f t="shared" si="7"/>
        <v>Jan</v>
      </c>
      <c r="E182" s="7"/>
      <c r="F182" s="7"/>
      <c r="G182" s="120"/>
      <c r="H182" s="120"/>
      <c r="I182" s="179"/>
      <c r="J182" s="118"/>
      <c r="K182" s="115"/>
      <c r="L182" s="115"/>
      <c r="M182" s="8"/>
      <c r="N182" s="8" t="str">
        <f t="shared" si="8"/>
        <v>-</v>
      </c>
      <c r="O182" s="127"/>
      <c r="P182" s="127"/>
      <c r="Q182" s="127"/>
      <c r="R182" s="126"/>
      <c r="S182" s="127"/>
      <c r="T182" s="139"/>
      <c r="U182" s="158"/>
      <c r="V182" s="7"/>
      <c r="W182" s="7"/>
      <c r="X182" s="146"/>
      <c r="Y182" s="7"/>
      <c r="Z182" s="7"/>
      <c r="AA182" s="7" t="str">
        <f>IFERROR((VLOOKUP(F182,#REF!,2,FALSE)),"-")</f>
        <v>-</v>
      </c>
      <c r="AB182" s="119" t="e">
        <f>CONCATENATE(F182," - ",I182," - ",#REF!,)</f>
        <v>#REF!</v>
      </c>
    </row>
    <row r="183" spans="1:28" s="116" customFormat="1" ht="15">
      <c r="A183" s="114"/>
      <c r="B183" s="120"/>
      <c r="C183" s="129" t="str">
        <f t="shared" si="6"/>
        <v>week-0</v>
      </c>
      <c r="D183" s="120" t="str">
        <f t="shared" si="7"/>
        <v>Jan</v>
      </c>
      <c r="E183" s="7"/>
      <c r="F183" s="7"/>
      <c r="G183" s="120"/>
      <c r="H183" s="120"/>
      <c r="I183" s="132"/>
      <c r="J183" s="118"/>
      <c r="K183" s="115"/>
      <c r="L183" s="115"/>
      <c r="M183" s="8"/>
      <c r="N183" s="8" t="str">
        <f t="shared" si="8"/>
        <v>-</v>
      </c>
      <c r="O183" s="127"/>
      <c r="P183" s="127"/>
      <c r="Q183" s="127"/>
      <c r="R183" s="126"/>
      <c r="S183" s="127"/>
      <c r="T183" s="8"/>
      <c r="U183" s="158"/>
      <c r="V183" s="7"/>
      <c r="W183" s="7"/>
      <c r="X183" s="146"/>
      <c r="Y183" s="7"/>
      <c r="Z183" s="7"/>
      <c r="AA183" s="7" t="str">
        <f>IFERROR((VLOOKUP(F183,#REF!,2,FALSE)),"-")</f>
        <v>-</v>
      </c>
      <c r="AB183" s="119" t="e">
        <f>CONCATENATE(F183," - ",I183," - ",#REF!,)</f>
        <v>#REF!</v>
      </c>
    </row>
    <row r="184" spans="1:28" s="116" customFormat="1" ht="15">
      <c r="A184" s="114"/>
      <c r="B184" s="120"/>
      <c r="C184" s="129" t="str">
        <f t="shared" si="6"/>
        <v>week-0</v>
      </c>
      <c r="D184" s="120" t="str">
        <f t="shared" si="7"/>
        <v>Jan</v>
      </c>
      <c r="E184" s="7"/>
      <c r="F184" s="7"/>
      <c r="G184" s="120"/>
      <c r="H184" s="120"/>
      <c r="I184" s="132"/>
      <c r="J184" s="118"/>
      <c r="K184" s="115"/>
      <c r="L184" s="115"/>
      <c r="M184" s="8"/>
      <c r="N184" s="8" t="str">
        <f t="shared" si="8"/>
        <v>-</v>
      </c>
      <c r="O184" s="126"/>
      <c r="P184" s="127"/>
      <c r="Q184" s="127"/>
      <c r="R184" s="126"/>
      <c r="S184" s="127"/>
      <c r="T184" s="8"/>
      <c r="U184" s="158"/>
      <c r="V184" s="7"/>
      <c r="W184" s="7"/>
      <c r="X184" s="146"/>
      <c r="Y184" s="7"/>
      <c r="Z184" s="7"/>
      <c r="AA184" s="7" t="str">
        <f>IFERROR((VLOOKUP(F184,#REF!,2,FALSE)),"-")</f>
        <v>-</v>
      </c>
      <c r="AB184" s="119" t="e">
        <f>CONCATENATE(F184," - ",I184," - ",#REF!,)</f>
        <v>#REF!</v>
      </c>
    </row>
    <row r="185" spans="1:28" s="116" customFormat="1" ht="15">
      <c r="A185" s="114"/>
      <c r="B185" s="120"/>
      <c r="C185" s="129" t="str">
        <f t="shared" si="6"/>
        <v>week-0</v>
      </c>
      <c r="D185" s="120" t="str">
        <f t="shared" si="7"/>
        <v>Jan</v>
      </c>
      <c r="E185" s="7"/>
      <c r="F185" s="7"/>
      <c r="G185" s="120"/>
      <c r="H185" s="120"/>
      <c r="I185" s="132"/>
      <c r="J185" s="118"/>
      <c r="K185" s="115"/>
      <c r="L185" s="115"/>
      <c r="M185" s="8"/>
      <c r="N185" s="8" t="str">
        <f t="shared" si="8"/>
        <v>-</v>
      </c>
      <c r="O185" s="127"/>
      <c r="P185" s="127"/>
      <c r="Q185" s="127"/>
      <c r="R185" s="126"/>
      <c r="S185" s="127"/>
      <c r="T185" s="8"/>
      <c r="U185" s="158"/>
      <c r="V185" s="7"/>
      <c r="W185" s="7"/>
      <c r="X185" s="146"/>
      <c r="Y185" s="7"/>
      <c r="Z185" s="7"/>
      <c r="AA185" s="7" t="str">
        <f>IFERROR((VLOOKUP(F185,#REF!,2,FALSE)),"-")</f>
        <v>-</v>
      </c>
      <c r="AB185" s="119" t="e">
        <f>CONCATENATE(F185," - ",I185," - ",#REF!,)</f>
        <v>#REF!</v>
      </c>
    </row>
    <row r="186" spans="1:28" s="116" customFormat="1" ht="15">
      <c r="A186" s="114"/>
      <c r="B186" s="120"/>
      <c r="C186" s="129" t="str">
        <f t="shared" si="6"/>
        <v>week-0</v>
      </c>
      <c r="D186" s="120" t="str">
        <f t="shared" si="7"/>
        <v>Jan</v>
      </c>
      <c r="E186" s="7"/>
      <c r="F186" s="7"/>
      <c r="G186" s="120"/>
      <c r="H186" s="120"/>
      <c r="I186" s="132"/>
      <c r="J186" s="118"/>
      <c r="K186" s="115"/>
      <c r="L186" s="115"/>
      <c r="M186" s="8"/>
      <c r="N186" s="8" t="str">
        <f t="shared" si="8"/>
        <v>-</v>
      </c>
      <c r="O186" s="126"/>
      <c r="P186" s="127"/>
      <c r="Q186" s="127"/>
      <c r="R186" s="126"/>
      <c r="S186" s="127"/>
      <c r="T186" s="8"/>
      <c r="U186" s="158"/>
      <c r="V186" s="7"/>
      <c r="W186" s="7"/>
      <c r="X186" s="146"/>
      <c r="Y186" s="7"/>
      <c r="Z186" s="7"/>
      <c r="AA186" s="7" t="str">
        <f>IFERROR((VLOOKUP(F186,#REF!,2,FALSE)),"-")</f>
        <v>-</v>
      </c>
      <c r="AB186" s="119" t="e">
        <f>CONCATENATE(F186," - ",I186," - ",#REF!,)</f>
        <v>#REF!</v>
      </c>
    </row>
    <row r="187" spans="1:28" s="116" customFormat="1" ht="15">
      <c r="A187" s="114"/>
      <c r="B187" s="120"/>
      <c r="C187" s="129" t="str">
        <f t="shared" si="6"/>
        <v>week-0</v>
      </c>
      <c r="D187" s="120" t="str">
        <f t="shared" si="7"/>
        <v>Jan</v>
      </c>
      <c r="E187" s="7"/>
      <c r="F187" s="7"/>
      <c r="G187" s="120"/>
      <c r="H187" s="120"/>
      <c r="I187" s="132"/>
      <c r="J187" s="118"/>
      <c r="K187" s="115"/>
      <c r="L187" s="115"/>
      <c r="M187" s="8"/>
      <c r="N187" s="8" t="str">
        <f t="shared" si="8"/>
        <v>-</v>
      </c>
      <c r="O187" s="126"/>
      <c r="P187" s="127"/>
      <c r="Q187" s="127"/>
      <c r="R187" s="126"/>
      <c r="S187" s="127"/>
      <c r="T187" s="8"/>
      <c r="U187" s="158"/>
      <c r="V187" s="7"/>
      <c r="W187" s="7"/>
      <c r="X187" s="146"/>
      <c r="Y187" s="7"/>
      <c r="Z187" s="7"/>
      <c r="AA187" s="7" t="str">
        <f>IFERROR((VLOOKUP(F187,#REF!,2,FALSE)),"-")</f>
        <v>-</v>
      </c>
      <c r="AB187" s="119" t="e">
        <f>CONCATENATE(F187," - ",I187," - ",#REF!,)</f>
        <v>#REF!</v>
      </c>
    </row>
    <row r="188" spans="1:28" s="116" customFormat="1" ht="15">
      <c r="A188" s="114"/>
      <c r="B188" s="120"/>
      <c r="C188" s="129" t="str">
        <f t="shared" si="6"/>
        <v>week-0</v>
      </c>
      <c r="D188" s="120" t="str">
        <f t="shared" si="7"/>
        <v>Jan</v>
      </c>
      <c r="E188" s="7"/>
      <c r="F188" s="7"/>
      <c r="G188" s="120"/>
      <c r="H188" s="120"/>
      <c r="I188" s="132"/>
      <c r="J188" s="118"/>
      <c r="K188" s="115"/>
      <c r="L188" s="115"/>
      <c r="M188" s="8"/>
      <c r="N188" s="8" t="str">
        <f t="shared" si="8"/>
        <v>-</v>
      </c>
      <c r="O188" s="126"/>
      <c r="P188" s="127"/>
      <c r="Q188" s="127"/>
      <c r="R188" s="126"/>
      <c r="S188" s="127"/>
      <c r="T188" s="8"/>
      <c r="U188" s="158"/>
      <c r="V188" s="7"/>
      <c r="W188" s="7"/>
      <c r="X188" s="146"/>
      <c r="Y188" s="7"/>
      <c r="Z188" s="7"/>
      <c r="AA188" s="7" t="str">
        <f>IFERROR((VLOOKUP(F188,#REF!,2,FALSE)),"-")</f>
        <v>-</v>
      </c>
      <c r="AB188" s="119" t="e">
        <f>CONCATENATE(F188," - ",I188," - ",#REF!,)</f>
        <v>#REF!</v>
      </c>
    </row>
    <row r="189" spans="1:28" s="116" customFormat="1" ht="15">
      <c r="A189" s="114"/>
      <c r="B189" s="120"/>
      <c r="C189" s="129" t="str">
        <f t="shared" si="6"/>
        <v>week-0</v>
      </c>
      <c r="D189" s="120" t="str">
        <f t="shared" si="7"/>
        <v>Jan</v>
      </c>
      <c r="E189" s="7"/>
      <c r="F189" s="7"/>
      <c r="G189" s="120"/>
      <c r="H189" s="120"/>
      <c r="I189" s="132"/>
      <c r="J189" s="118"/>
      <c r="K189" s="115"/>
      <c r="L189" s="115"/>
      <c r="M189" s="8"/>
      <c r="N189" s="8" t="str">
        <f t="shared" si="8"/>
        <v>-</v>
      </c>
      <c r="O189" s="126"/>
      <c r="P189" s="127"/>
      <c r="Q189" s="127"/>
      <c r="R189" s="126"/>
      <c r="S189" s="127"/>
      <c r="T189" s="8"/>
      <c r="U189" s="158"/>
      <c r="V189" s="7"/>
      <c r="W189" s="7"/>
      <c r="X189" s="146"/>
      <c r="Y189" s="7"/>
      <c r="Z189" s="7"/>
      <c r="AA189" s="7" t="str">
        <f>IFERROR((VLOOKUP(F189,#REF!,2,FALSE)),"-")</f>
        <v>-</v>
      </c>
      <c r="AB189" s="119" t="e">
        <f>CONCATENATE(F189," - ",I189," - ",#REF!,)</f>
        <v>#REF!</v>
      </c>
    </row>
    <row r="190" spans="1:28" s="116" customFormat="1" ht="15">
      <c r="A190" s="114"/>
      <c r="B190" s="120"/>
      <c r="C190" s="129" t="str">
        <f t="shared" si="6"/>
        <v>week-0</v>
      </c>
      <c r="D190" s="120" t="str">
        <f t="shared" si="7"/>
        <v>Jan</v>
      </c>
      <c r="E190" s="7"/>
      <c r="F190" s="7"/>
      <c r="G190" s="120"/>
      <c r="H190" s="120"/>
      <c r="I190" s="132"/>
      <c r="J190" s="118"/>
      <c r="K190" s="115"/>
      <c r="L190" s="115"/>
      <c r="M190" s="8"/>
      <c r="N190" s="8" t="str">
        <f t="shared" si="8"/>
        <v>-</v>
      </c>
      <c r="O190" s="126"/>
      <c r="P190" s="127"/>
      <c r="Q190" s="127"/>
      <c r="R190" s="126"/>
      <c r="S190" s="127"/>
      <c r="T190" s="8"/>
      <c r="U190" s="158"/>
      <c r="V190" s="7"/>
      <c r="W190" s="7"/>
      <c r="X190" s="146"/>
      <c r="Y190" s="7"/>
      <c r="Z190" s="7"/>
      <c r="AA190" s="7" t="str">
        <f>IFERROR((VLOOKUP(F190,#REF!,2,FALSE)),"-")</f>
        <v>-</v>
      </c>
      <c r="AB190" s="119" t="e">
        <f>CONCATENATE(F190," - ",I190," - ",#REF!,)</f>
        <v>#REF!</v>
      </c>
    </row>
    <row r="191" spans="1:28" s="116" customFormat="1" ht="15">
      <c r="A191" s="114"/>
      <c r="B191" s="120"/>
      <c r="C191" s="129" t="str">
        <f t="shared" si="6"/>
        <v>week-0</v>
      </c>
      <c r="D191" s="120" t="str">
        <f t="shared" si="7"/>
        <v>Jan</v>
      </c>
      <c r="E191" s="7"/>
      <c r="F191" s="7"/>
      <c r="G191" s="120"/>
      <c r="H191" s="120"/>
      <c r="I191" s="132"/>
      <c r="J191" s="118"/>
      <c r="K191" s="115"/>
      <c r="L191" s="115"/>
      <c r="M191" s="8"/>
      <c r="N191" s="8" t="str">
        <f t="shared" si="8"/>
        <v>-</v>
      </c>
      <c r="O191" s="126"/>
      <c r="P191" s="127"/>
      <c r="Q191" s="127"/>
      <c r="R191" s="126"/>
      <c r="S191" s="127"/>
      <c r="T191" s="8"/>
      <c r="U191" s="158"/>
      <c r="V191" s="7"/>
      <c r="W191" s="7"/>
      <c r="X191" s="146"/>
      <c r="Y191" s="7"/>
      <c r="Z191" s="7"/>
      <c r="AA191" s="7" t="str">
        <f>IFERROR((VLOOKUP(F191,#REF!,2,FALSE)),"-")</f>
        <v>-</v>
      </c>
      <c r="AB191" s="119" t="e">
        <f>CONCATENATE(F191," - ",I191," - ",#REF!,)</f>
        <v>#REF!</v>
      </c>
    </row>
    <row r="192" spans="1:28" s="116" customFormat="1" ht="15">
      <c r="A192" s="114"/>
      <c r="B192" s="120"/>
      <c r="C192" s="129" t="str">
        <f t="shared" si="6"/>
        <v>week-0</v>
      </c>
      <c r="D192" s="120" t="str">
        <f t="shared" si="7"/>
        <v>Jan</v>
      </c>
      <c r="E192" s="7"/>
      <c r="F192" s="7"/>
      <c r="G192" s="120"/>
      <c r="H192" s="120"/>
      <c r="I192" s="132"/>
      <c r="J192" s="118"/>
      <c r="K192" s="115"/>
      <c r="L192" s="115"/>
      <c r="M192" s="8"/>
      <c r="N192" s="8" t="str">
        <f t="shared" si="8"/>
        <v>-</v>
      </c>
      <c r="O192" s="126"/>
      <c r="P192" s="127"/>
      <c r="Q192" s="127"/>
      <c r="R192" s="126"/>
      <c r="S192" s="127"/>
      <c r="T192" s="8"/>
      <c r="U192" s="158"/>
      <c r="V192" s="7"/>
      <c r="W192" s="7"/>
      <c r="X192" s="146"/>
      <c r="Y192" s="7"/>
      <c r="Z192" s="7"/>
      <c r="AA192" s="7" t="str">
        <f>IFERROR((VLOOKUP(F192,#REF!,2,FALSE)),"-")</f>
        <v>-</v>
      </c>
      <c r="AB192" s="119" t="e">
        <f>CONCATENATE(F192," - ",I192," - ",#REF!,)</f>
        <v>#REF!</v>
      </c>
    </row>
    <row r="193" spans="1:28" s="116" customFormat="1" ht="15">
      <c r="A193" s="114"/>
      <c r="B193" s="120"/>
      <c r="C193" s="129" t="str">
        <f t="shared" si="6"/>
        <v>week-0</v>
      </c>
      <c r="D193" s="120" t="str">
        <f t="shared" si="7"/>
        <v>Jan</v>
      </c>
      <c r="E193" s="7"/>
      <c r="F193" s="7"/>
      <c r="G193" s="120"/>
      <c r="H193" s="120"/>
      <c r="I193" s="132"/>
      <c r="J193" s="118"/>
      <c r="K193" s="115"/>
      <c r="L193" s="115"/>
      <c r="M193" s="8"/>
      <c r="N193" s="8" t="str">
        <f t="shared" si="8"/>
        <v>-</v>
      </c>
      <c r="O193" s="126"/>
      <c r="P193" s="127"/>
      <c r="Q193" s="127"/>
      <c r="R193" s="126"/>
      <c r="S193" s="127"/>
      <c r="T193" s="8"/>
      <c r="U193" s="158"/>
      <c r="V193" s="7"/>
      <c r="W193" s="7"/>
      <c r="X193" s="146"/>
      <c r="Y193" s="7"/>
      <c r="Z193" s="7"/>
      <c r="AA193" s="7" t="str">
        <f>IFERROR((VLOOKUP(F193,#REF!,2,FALSE)),"-")</f>
        <v>-</v>
      </c>
      <c r="AB193" s="119" t="e">
        <f>CONCATENATE(F193," - ",I193," - ",#REF!,)</f>
        <v>#REF!</v>
      </c>
    </row>
    <row r="194" spans="1:28" s="116" customFormat="1" ht="15">
      <c r="A194" s="114"/>
      <c r="B194" s="120"/>
      <c r="C194" s="129" t="str">
        <f t="shared" si="6"/>
        <v>week-0</v>
      </c>
      <c r="D194" s="120" t="str">
        <f t="shared" si="7"/>
        <v>Jan</v>
      </c>
      <c r="E194" s="7"/>
      <c r="F194" s="7"/>
      <c r="G194" s="120"/>
      <c r="H194" s="120"/>
      <c r="I194" s="132"/>
      <c r="J194" s="118"/>
      <c r="K194" s="115"/>
      <c r="L194" s="115"/>
      <c r="M194" s="8"/>
      <c r="N194" s="8" t="str">
        <f t="shared" si="8"/>
        <v>-</v>
      </c>
      <c r="O194" s="126"/>
      <c r="P194" s="127"/>
      <c r="Q194" s="127"/>
      <c r="R194" s="126"/>
      <c r="S194" s="127"/>
      <c r="T194" s="139"/>
      <c r="U194" s="182"/>
      <c r="V194" s="7"/>
      <c r="W194" s="7"/>
      <c r="X194" s="146"/>
      <c r="Y194" s="7"/>
      <c r="Z194" s="7"/>
      <c r="AA194" s="7" t="str">
        <f>IFERROR((VLOOKUP(F194,#REF!,2,FALSE)),"-")</f>
        <v>-</v>
      </c>
      <c r="AB194" s="119" t="e">
        <f>CONCATENATE(F194," - ",I194," - ",#REF!,)</f>
        <v>#REF!</v>
      </c>
    </row>
    <row r="195" spans="1:28" s="116" customFormat="1" ht="15">
      <c r="A195" s="114"/>
      <c r="B195" s="120"/>
      <c r="C195" s="129" t="str">
        <f t="shared" si="6"/>
        <v>week-0</v>
      </c>
      <c r="D195" s="120" t="str">
        <f t="shared" si="7"/>
        <v>Jan</v>
      </c>
      <c r="E195" s="7"/>
      <c r="F195" s="7"/>
      <c r="G195" s="120"/>
      <c r="H195" s="120"/>
      <c r="I195" s="132"/>
      <c r="J195" s="118"/>
      <c r="K195" s="115"/>
      <c r="L195" s="115"/>
      <c r="M195" s="8"/>
      <c r="N195" s="8" t="str">
        <f t="shared" si="8"/>
        <v>-</v>
      </c>
      <c r="O195" s="127"/>
      <c r="P195" s="127"/>
      <c r="Q195" s="127"/>
      <c r="R195" s="126"/>
      <c r="S195" s="127"/>
      <c r="T195" s="139"/>
      <c r="U195" s="158"/>
      <c r="V195" s="7"/>
      <c r="W195" s="7"/>
      <c r="X195" s="146"/>
      <c r="Y195" s="7"/>
      <c r="Z195" s="7"/>
      <c r="AA195" s="7" t="str">
        <f>IFERROR((VLOOKUP(F195,#REF!,2,FALSE)),"-")</f>
        <v>-</v>
      </c>
      <c r="AB195" s="119" t="e">
        <f>CONCATENATE(F195," - ",I195," - ",#REF!,)</f>
        <v>#REF!</v>
      </c>
    </row>
    <row r="196" spans="1:28" s="116" customFormat="1" ht="15">
      <c r="A196" s="114"/>
      <c r="B196" s="120"/>
      <c r="C196" s="129" t="str">
        <f t="shared" ref="C196:C259" si="9">"week-"&amp;WEEKNUM(B196)</f>
        <v>week-0</v>
      </c>
      <c r="D196" s="120" t="str">
        <f t="shared" ref="D196:D259" si="10">TEXT(B196,"mmm")</f>
        <v>Jan</v>
      </c>
      <c r="E196" s="7"/>
      <c r="F196" s="7"/>
      <c r="G196" s="120"/>
      <c r="H196" s="120"/>
      <c r="I196" s="132"/>
      <c r="J196" s="124"/>
      <c r="K196" s="115"/>
      <c r="L196" s="115"/>
      <c r="M196" s="8"/>
      <c r="N196" s="8" t="str">
        <f t="shared" ref="N196:N259" si="11">IF(ISBLANK(M196),"-",(M196/60))</f>
        <v>-</v>
      </c>
      <c r="O196" s="127"/>
      <c r="P196" s="127"/>
      <c r="Q196" s="127"/>
      <c r="R196" s="126"/>
      <c r="S196" s="127"/>
      <c r="T196" s="8"/>
      <c r="U196" s="158"/>
      <c r="V196" s="7"/>
      <c r="W196" s="7"/>
      <c r="X196" s="146"/>
      <c r="Y196" s="7"/>
      <c r="Z196" s="7"/>
      <c r="AA196" s="7" t="str">
        <f>IFERROR((VLOOKUP(F196,#REF!,2,FALSE)),"-")</f>
        <v>-</v>
      </c>
      <c r="AB196" s="119" t="e">
        <f>CONCATENATE(F196," - ",I196," - ",#REF!,)</f>
        <v>#REF!</v>
      </c>
    </row>
    <row r="197" spans="1:28" s="116" customFormat="1" ht="15">
      <c r="A197" s="114"/>
      <c r="B197" s="120"/>
      <c r="C197" s="129" t="str">
        <f t="shared" si="9"/>
        <v>week-0</v>
      </c>
      <c r="D197" s="120" t="str">
        <f t="shared" si="10"/>
        <v>Jan</v>
      </c>
      <c r="E197" s="7"/>
      <c r="F197" s="7"/>
      <c r="G197" s="120"/>
      <c r="H197" s="120"/>
      <c r="I197" s="132"/>
      <c r="J197" s="124"/>
      <c r="K197" s="115"/>
      <c r="L197" s="115"/>
      <c r="M197" s="8"/>
      <c r="N197" s="8" t="str">
        <f t="shared" si="11"/>
        <v>-</v>
      </c>
      <c r="O197" s="127"/>
      <c r="P197" s="127"/>
      <c r="Q197" s="127"/>
      <c r="R197" s="126"/>
      <c r="S197" s="127"/>
      <c r="T197" s="8"/>
      <c r="U197" s="158"/>
      <c r="V197" s="7"/>
      <c r="W197" s="7"/>
      <c r="X197" s="146"/>
      <c r="Y197" s="7"/>
      <c r="Z197" s="7"/>
      <c r="AA197" s="7" t="str">
        <f>IFERROR((VLOOKUP(F197,#REF!,2,FALSE)),"-")</f>
        <v>-</v>
      </c>
      <c r="AB197" s="119" t="e">
        <f>CONCATENATE(F197," - ",I197," - ",#REF!,)</f>
        <v>#REF!</v>
      </c>
    </row>
    <row r="198" spans="1:28" s="116" customFormat="1" ht="15">
      <c r="A198" s="114"/>
      <c r="B198" s="120"/>
      <c r="C198" s="129" t="str">
        <f t="shared" si="9"/>
        <v>week-0</v>
      </c>
      <c r="D198" s="120" t="str">
        <f t="shared" si="10"/>
        <v>Jan</v>
      </c>
      <c r="E198" s="7"/>
      <c r="F198" s="7"/>
      <c r="G198" s="120"/>
      <c r="H198" s="120"/>
      <c r="I198" s="171"/>
      <c r="J198" s="118"/>
      <c r="K198" s="115"/>
      <c r="L198" s="115"/>
      <c r="M198" s="8"/>
      <c r="N198" s="8" t="str">
        <f t="shared" si="11"/>
        <v>-</v>
      </c>
      <c r="O198" s="126"/>
      <c r="P198" s="127"/>
      <c r="Q198" s="127"/>
      <c r="R198" s="126"/>
      <c r="S198" s="127"/>
      <c r="T198" s="8"/>
      <c r="U198" s="183"/>
      <c r="V198" s="7"/>
      <c r="W198" s="7"/>
      <c r="X198" s="146"/>
      <c r="Y198" s="7"/>
      <c r="Z198" s="7"/>
      <c r="AA198" s="7" t="str">
        <f>IFERROR((VLOOKUP(F198,#REF!,2,FALSE)),"-")</f>
        <v>-</v>
      </c>
      <c r="AB198" s="119" t="e">
        <f>CONCATENATE(F198," - ",I198," - ",#REF!,)</f>
        <v>#REF!</v>
      </c>
    </row>
    <row r="199" spans="1:28" s="116" customFormat="1" ht="15">
      <c r="A199" s="114"/>
      <c r="B199" s="120"/>
      <c r="C199" s="129" t="str">
        <f t="shared" si="9"/>
        <v>week-0</v>
      </c>
      <c r="D199" s="120" t="str">
        <f t="shared" si="10"/>
        <v>Jan</v>
      </c>
      <c r="E199" s="125"/>
      <c r="F199" s="7"/>
      <c r="G199" s="120"/>
      <c r="H199" s="120"/>
      <c r="I199" s="132"/>
      <c r="J199" s="118"/>
      <c r="K199" s="115"/>
      <c r="L199" s="115"/>
      <c r="M199" s="8"/>
      <c r="N199" s="8" t="str">
        <f t="shared" si="11"/>
        <v>-</v>
      </c>
      <c r="O199" s="126"/>
      <c r="P199" s="127"/>
      <c r="Q199" s="127"/>
      <c r="R199" s="126"/>
      <c r="S199" s="127"/>
      <c r="T199" s="8"/>
      <c r="U199" s="158"/>
      <c r="V199" s="7"/>
      <c r="W199" s="7"/>
      <c r="X199" s="146"/>
      <c r="Y199" s="7"/>
      <c r="Z199" s="7"/>
      <c r="AA199" s="7" t="str">
        <f>IFERROR((VLOOKUP(F199,#REF!,2,FALSE)),"-")</f>
        <v>-</v>
      </c>
      <c r="AB199" s="119" t="e">
        <f>CONCATENATE(F199," - ",I199," - ",#REF!,)</f>
        <v>#REF!</v>
      </c>
    </row>
    <row r="200" spans="1:28" s="116" customFormat="1" ht="15">
      <c r="A200" s="114"/>
      <c r="B200" s="120"/>
      <c r="C200" s="129" t="str">
        <f t="shared" si="9"/>
        <v>week-0</v>
      </c>
      <c r="D200" s="120" t="str">
        <f t="shared" si="10"/>
        <v>Jan</v>
      </c>
      <c r="E200" s="125"/>
      <c r="F200" s="7"/>
      <c r="G200" s="120"/>
      <c r="H200" s="120"/>
      <c r="I200" s="132"/>
      <c r="J200" s="118"/>
      <c r="K200" s="115"/>
      <c r="L200" s="115"/>
      <c r="M200" s="8"/>
      <c r="N200" s="8" t="str">
        <f t="shared" si="11"/>
        <v>-</v>
      </c>
      <c r="O200" s="127"/>
      <c r="P200" s="127"/>
      <c r="Q200" s="127"/>
      <c r="R200" s="126"/>
      <c r="S200" s="127"/>
      <c r="T200" s="8"/>
      <c r="U200" s="158"/>
      <c r="V200" s="7"/>
      <c r="W200" s="7"/>
      <c r="X200" s="146"/>
      <c r="Y200" s="7"/>
      <c r="Z200" s="7"/>
      <c r="AA200" s="7" t="str">
        <f>IFERROR((VLOOKUP(F200,#REF!,2,FALSE)),"-")</f>
        <v>-</v>
      </c>
      <c r="AB200" s="119" t="e">
        <f>CONCATENATE(F200," - ",I200," - ",#REF!,)</f>
        <v>#REF!</v>
      </c>
    </row>
    <row r="201" spans="1:28" s="116" customFormat="1" ht="15">
      <c r="A201" s="114"/>
      <c r="B201" s="120"/>
      <c r="C201" s="129" t="str">
        <f t="shared" si="9"/>
        <v>week-0</v>
      </c>
      <c r="D201" s="120" t="str">
        <f t="shared" si="10"/>
        <v>Jan</v>
      </c>
      <c r="E201" s="7"/>
      <c r="F201" s="7"/>
      <c r="G201" s="120"/>
      <c r="H201" s="120"/>
      <c r="I201" s="132"/>
      <c r="J201" s="118"/>
      <c r="K201" s="115"/>
      <c r="L201" s="115"/>
      <c r="M201" s="8"/>
      <c r="N201" s="8" t="str">
        <f t="shared" si="11"/>
        <v>-</v>
      </c>
      <c r="O201" s="127"/>
      <c r="P201" s="127"/>
      <c r="Q201" s="127"/>
      <c r="R201" s="126"/>
      <c r="S201" s="127"/>
      <c r="T201" s="8"/>
      <c r="U201" s="158"/>
      <c r="V201" s="7"/>
      <c r="W201" s="7"/>
      <c r="X201" s="146"/>
      <c r="Y201" s="7"/>
      <c r="Z201" s="7"/>
      <c r="AA201" s="7" t="str">
        <f>IFERROR((VLOOKUP(F201,#REF!,2,FALSE)),"-")</f>
        <v>-</v>
      </c>
      <c r="AB201" s="119" t="e">
        <f>CONCATENATE(F201," - ",I201," - ",#REF!,)</f>
        <v>#REF!</v>
      </c>
    </row>
    <row r="202" spans="1:28" s="116" customFormat="1" ht="15">
      <c r="A202" s="114"/>
      <c r="B202" s="120"/>
      <c r="C202" s="129" t="str">
        <f t="shared" si="9"/>
        <v>week-0</v>
      </c>
      <c r="D202" s="120" t="str">
        <f t="shared" si="10"/>
        <v>Jan</v>
      </c>
      <c r="E202" s="7"/>
      <c r="F202" s="7"/>
      <c r="G202" s="120"/>
      <c r="H202" s="120"/>
      <c r="I202" s="132"/>
      <c r="J202" s="118"/>
      <c r="K202" s="115"/>
      <c r="L202" s="115"/>
      <c r="M202" s="8"/>
      <c r="N202" s="8" t="str">
        <f t="shared" si="11"/>
        <v>-</v>
      </c>
      <c r="O202" s="127"/>
      <c r="P202" s="127"/>
      <c r="Q202" s="127"/>
      <c r="R202" s="126"/>
      <c r="S202" s="127"/>
      <c r="T202" s="8"/>
      <c r="U202" s="158"/>
      <c r="V202" s="7"/>
      <c r="W202" s="7"/>
      <c r="X202" s="146"/>
      <c r="Y202" s="7"/>
      <c r="Z202" s="7"/>
      <c r="AA202" s="7" t="str">
        <f>IFERROR((VLOOKUP(F202,#REF!,2,FALSE)),"-")</f>
        <v>-</v>
      </c>
      <c r="AB202" s="119" t="e">
        <f>CONCATENATE(F202," - ",I202," - ",#REF!,)</f>
        <v>#REF!</v>
      </c>
    </row>
    <row r="203" spans="1:28" s="116" customFormat="1" ht="15">
      <c r="A203" s="114"/>
      <c r="B203" s="120"/>
      <c r="C203" s="129" t="str">
        <f t="shared" si="9"/>
        <v>week-0</v>
      </c>
      <c r="D203" s="120" t="str">
        <f t="shared" si="10"/>
        <v>Jan</v>
      </c>
      <c r="E203" s="7"/>
      <c r="F203" s="7"/>
      <c r="G203" s="120"/>
      <c r="H203" s="120"/>
      <c r="I203" s="132"/>
      <c r="J203" s="118"/>
      <c r="K203" s="115"/>
      <c r="L203" s="115"/>
      <c r="M203" s="8"/>
      <c r="N203" s="8" t="str">
        <f t="shared" si="11"/>
        <v>-</v>
      </c>
      <c r="O203" s="127"/>
      <c r="P203" s="127"/>
      <c r="Q203" s="127"/>
      <c r="R203" s="126"/>
      <c r="S203" s="127"/>
      <c r="T203" s="8"/>
      <c r="U203" s="158"/>
      <c r="V203" s="7"/>
      <c r="W203" s="7"/>
      <c r="X203" s="146"/>
      <c r="Y203" s="7"/>
      <c r="Z203" s="7"/>
      <c r="AA203" s="7" t="str">
        <f>IFERROR((VLOOKUP(F203,#REF!,2,FALSE)),"-")</f>
        <v>-</v>
      </c>
      <c r="AB203" s="119" t="e">
        <f>CONCATENATE(F203," - ",I203," - ",#REF!,)</f>
        <v>#REF!</v>
      </c>
    </row>
    <row r="204" spans="1:28" s="116" customFormat="1" ht="15">
      <c r="A204" s="114"/>
      <c r="B204" s="120"/>
      <c r="C204" s="129" t="str">
        <f t="shared" si="9"/>
        <v>week-0</v>
      </c>
      <c r="D204" s="120" t="str">
        <f t="shared" si="10"/>
        <v>Jan</v>
      </c>
      <c r="E204" s="7"/>
      <c r="F204" s="7"/>
      <c r="G204" s="120"/>
      <c r="H204" s="120"/>
      <c r="I204" s="171"/>
      <c r="J204" s="118"/>
      <c r="K204" s="115"/>
      <c r="L204" s="115"/>
      <c r="M204" s="8"/>
      <c r="N204" s="8" t="str">
        <f t="shared" si="11"/>
        <v>-</v>
      </c>
      <c r="O204" s="127"/>
      <c r="P204" s="127"/>
      <c r="Q204" s="127"/>
      <c r="R204" s="127"/>
      <c r="S204" s="127"/>
      <c r="T204" s="139"/>
      <c r="U204" s="158"/>
      <c r="V204" s="7"/>
      <c r="W204" s="7"/>
      <c r="X204" s="146"/>
      <c r="Y204" s="7"/>
      <c r="Z204" s="7"/>
      <c r="AA204" s="7" t="str">
        <f>IFERROR((VLOOKUP(F204,#REF!,2,FALSE)),"-")</f>
        <v>-</v>
      </c>
      <c r="AB204" s="119" t="e">
        <f>CONCATENATE(F204," - ",I204," - ",#REF!,)</f>
        <v>#REF!</v>
      </c>
    </row>
    <row r="205" spans="1:28" s="116" customFormat="1" ht="15">
      <c r="A205" s="114"/>
      <c r="B205" s="120"/>
      <c r="C205" s="129" t="str">
        <f t="shared" si="9"/>
        <v>week-0</v>
      </c>
      <c r="D205" s="120" t="str">
        <f t="shared" si="10"/>
        <v>Jan</v>
      </c>
      <c r="E205" s="7"/>
      <c r="F205" s="7"/>
      <c r="G205" s="120"/>
      <c r="H205" s="120"/>
      <c r="I205" s="132"/>
      <c r="J205" s="118"/>
      <c r="K205" s="115"/>
      <c r="L205" s="115"/>
      <c r="M205" s="8"/>
      <c r="N205" s="8" t="str">
        <f t="shared" si="11"/>
        <v>-</v>
      </c>
      <c r="O205" s="126"/>
      <c r="P205" s="127"/>
      <c r="Q205" s="127"/>
      <c r="R205" s="126"/>
      <c r="S205" s="127"/>
      <c r="T205" s="8"/>
      <c r="U205" s="158"/>
      <c r="V205" s="7"/>
      <c r="W205" s="7"/>
      <c r="X205" s="146"/>
      <c r="Y205" s="7"/>
      <c r="Z205" s="7"/>
      <c r="AA205" s="7" t="str">
        <f>IFERROR((VLOOKUP(F205,#REF!,2,FALSE)),"-")</f>
        <v>-</v>
      </c>
      <c r="AB205" s="119" t="e">
        <f>CONCATENATE(F205," - ",I205," - ",#REF!,)</f>
        <v>#REF!</v>
      </c>
    </row>
    <row r="206" spans="1:28" s="116" customFormat="1" ht="15">
      <c r="A206" s="114"/>
      <c r="B206" s="120"/>
      <c r="C206" s="129" t="str">
        <f t="shared" si="9"/>
        <v>week-0</v>
      </c>
      <c r="D206" s="120" t="str">
        <f t="shared" si="10"/>
        <v>Jan</v>
      </c>
      <c r="E206" s="7"/>
      <c r="F206" s="7"/>
      <c r="G206" s="120"/>
      <c r="H206" s="120"/>
      <c r="I206" s="132"/>
      <c r="J206" s="118"/>
      <c r="K206" s="115"/>
      <c r="L206" s="115"/>
      <c r="M206" s="8"/>
      <c r="N206" s="8" t="str">
        <f t="shared" si="11"/>
        <v>-</v>
      </c>
      <c r="O206" s="126"/>
      <c r="P206" s="127"/>
      <c r="Q206" s="127"/>
      <c r="R206" s="126"/>
      <c r="S206" s="127"/>
      <c r="T206" s="8"/>
      <c r="U206" s="158"/>
      <c r="V206" s="7"/>
      <c r="W206" s="7"/>
      <c r="X206" s="146"/>
      <c r="Y206" s="7"/>
      <c r="Z206" s="7"/>
      <c r="AA206" s="7" t="str">
        <f>IFERROR((VLOOKUP(F206,#REF!,2,FALSE)),"-")</f>
        <v>-</v>
      </c>
      <c r="AB206" s="119" t="e">
        <f>CONCATENATE(F206," - ",I206," - ",#REF!,)</f>
        <v>#REF!</v>
      </c>
    </row>
    <row r="207" spans="1:28" s="116" customFormat="1" ht="15">
      <c r="A207" s="114"/>
      <c r="B207" s="120"/>
      <c r="C207" s="129" t="str">
        <f t="shared" si="9"/>
        <v>week-0</v>
      </c>
      <c r="D207" s="120" t="str">
        <f t="shared" si="10"/>
        <v>Jan</v>
      </c>
      <c r="E207" s="7"/>
      <c r="F207" s="7"/>
      <c r="G207" s="120"/>
      <c r="H207" s="120"/>
      <c r="I207" s="171"/>
      <c r="J207" s="124"/>
      <c r="K207" s="115"/>
      <c r="L207" s="115"/>
      <c r="M207" s="8"/>
      <c r="N207" s="8" t="str">
        <f t="shared" si="11"/>
        <v>-</v>
      </c>
      <c r="O207" s="127"/>
      <c r="P207" s="127"/>
      <c r="Q207" s="127"/>
      <c r="R207" s="126"/>
      <c r="S207" s="127"/>
      <c r="T207" s="8"/>
      <c r="U207" s="158"/>
      <c r="V207" s="7"/>
      <c r="W207" s="7"/>
      <c r="X207" s="146"/>
      <c r="Y207" s="7"/>
      <c r="Z207" s="7"/>
      <c r="AA207" s="7" t="str">
        <f>IFERROR((VLOOKUP(F207,#REF!,2,FALSE)),"-")</f>
        <v>-</v>
      </c>
      <c r="AB207" s="119" t="e">
        <f>CONCATENATE(F207," - ",I207," - ",#REF!,)</f>
        <v>#REF!</v>
      </c>
    </row>
    <row r="208" spans="1:28" s="116" customFormat="1" ht="15">
      <c r="A208" s="114"/>
      <c r="B208" s="120"/>
      <c r="C208" s="129" t="str">
        <f t="shared" si="9"/>
        <v>week-0</v>
      </c>
      <c r="D208" s="120" t="str">
        <f t="shared" si="10"/>
        <v>Jan</v>
      </c>
      <c r="E208" s="7"/>
      <c r="F208" s="7"/>
      <c r="G208" s="120"/>
      <c r="H208" s="120"/>
      <c r="I208" s="132"/>
      <c r="J208" s="118"/>
      <c r="K208" s="115"/>
      <c r="L208" s="115"/>
      <c r="M208" s="8"/>
      <c r="N208" s="8" t="str">
        <f t="shared" si="11"/>
        <v>-</v>
      </c>
      <c r="O208" s="126"/>
      <c r="P208" s="127"/>
      <c r="Q208" s="127"/>
      <c r="R208" s="126"/>
      <c r="S208" s="127"/>
      <c r="T208" s="8"/>
      <c r="U208" s="158"/>
      <c r="V208" s="7"/>
      <c r="W208" s="7"/>
      <c r="X208" s="146"/>
      <c r="Y208" s="7"/>
      <c r="Z208" s="7"/>
      <c r="AA208" s="7" t="str">
        <f>IFERROR((VLOOKUP(F208,#REF!,2,FALSE)),"-")</f>
        <v>-</v>
      </c>
      <c r="AB208" s="119" t="e">
        <f>CONCATENATE(F208," - ",I208," - ",#REF!,)</f>
        <v>#REF!</v>
      </c>
    </row>
    <row r="209" spans="1:28" s="116" customFormat="1" ht="15">
      <c r="A209" s="114"/>
      <c r="B209" s="120"/>
      <c r="C209" s="129" t="str">
        <f t="shared" si="9"/>
        <v>week-0</v>
      </c>
      <c r="D209" s="120" t="str">
        <f t="shared" si="10"/>
        <v>Jan</v>
      </c>
      <c r="E209" s="7"/>
      <c r="F209" s="7"/>
      <c r="G209" s="120"/>
      <c r="H209" s="120"/>
      <c r="I209" s="132"/>
      <c r="J209" s="118"/>
      <c r="K209" s="115"/>
      <c r="L209" s="115"/>
      <c r="M209" s="8"/>
      <c r="N209" s="8" t="str">
        <f t="shared" si="11"/>
        <v>-</v>
      </c>
      <c r="O209" s="126"/>
      <c r="P209" s="127"/>
      <c r="Q209" s="127"/>
      <c r="R209" s="126"/>
      <c r="S209" s="127"/>
      <c r="T209" s="8"/>
      <c r="U209" s="158"/>
      <c r="V209" s="7"/>
      <c r="W209" s="7"/>
      <c r="X209" s="146"/>
      <c r="Y209" s="7"/>
      <c r="Z209" s="7"/>
      <c r="AA209" s="7" t="str">
        <f>IFERROR((VLOOKUP(F209,#REF!,2,FALSE)),"-")</f>
        <v>-</v>
      </c>
      <c r="AB209" s="119" t="e">
        <f>CONCATENATE(F209," - ",I209," - ",#REF!,)</f>
        <v>#REF!</v>
      </c>
    </row>
    <row r="210" spans="1:28" s="116" customFormat="1" ht="15">
      <c r="A210" s="114"/>
      <c r="B210" s="120"/>
      <c r="C210" s="129" t="str">
        <f t="shared" si="9"/>
        <v>week-0</v>
      </c>
      <c r="D210" s="120" t="str">
        <f t="shared" si="10"/>
        <v>Jan</v>
      </c>
      <c r="E210" s="7"/>
      <c r="F210" s="7"/>
      <c r="G210" s="120"/>
      <c r="H210" s="120"/>
      <c r="I210" s="132"/>
      <c r="J210" s="118"/>
      <c r="K210" s="115"/>
      <c r="L210" s="115"/>
      <c r="M210" s="8"/>
      <c r="N210" s="8" t="str">
        <f t="shared" si="11"/>
        <v>-</v>
      </c>
      <c r="O210" s="126"/>
      <c r="P210" s="127"/>
      <c r="Q210" s="127"/>
      <c r="R210" s="126"/>
      <c r="S210" s="127"/>
      <c r="T210" s="8"/>
      <c r="U210" s="158"/>
      <c r="V210" s="7"/>
      <c r="W210" s="7"/>
      <c r="X210" s="146"/>
      <c r="Y210" s="7"/>
      <c r="Z210" s="7"/>
      <c r="AA210" s="7" t="str">
        <f>IFERROR((VLOOKUP(F210,#REF!,2,FALSE)),"-")</f>
        <v>-</v>
      </c>
      <c r="AB210" s="119" t="e">
        <f>CONCATENATE(F210," - ",I210," - ",#REF!,)</f>
        <v>#REF!</v>
      </c>
    </row>
    <row r="211" spans="1:28" s="116" customFormat="1" ht="15">
      <c r="A211" s="114"/>
      <c r="B211" s="120"/>
      <c r="C211" s="129" t="str">
        <f t="shared" si="9"/>
        <v>week-0</v>
      </c>
      <c r="D211" s="120" t="str">
        <f t="shared" si="10"/>
        <v>Jan</v>
      </c>
      <c r="E211" s="7"/>
      <c r="F211" s="7"/>
      <c r="G211" s="120"/>
      <c r="H211" s="120"/>
      <c r="I211" s="132"/>
      <c r="J211" s="118"/>
      <c r="K211" s="115"/>
      <c r="L211" s="115"/>
      <c r="M211" s="8"/>
      <c r="N211" s="8" t="str">
        <f t="shared" si="11"/>
        <v>-</v>
      </c>
      <c r="O211" s="126"/>
      <c r="P211" s="127"/>
      <c r="Q211" s="127"/>
      <c r="R211" s="126"/>
      <c r="S211" s="127"/>
      <c r="T211" s="8"/>
      <c r="U211" s="158"/>
      <c r="V211" s="7"/>
      <c r="W211" s="7"/>
      <c r="X211" s="146"/>
      <c r="Y211" s="7"/>
      <c r="Z211" s="7"/>
      <c r="AA211" s="7" t="str">
        <f>IFERROR((VLOOKUP(F211,#REF!,2,FALSE)),"-")</f>
        <v>-</v>
      </c>
      <c r="AB211" s="119" t="e">
        <f>CONCATENATE(F211," - ",I211," - ",#REF!,)</f>
        <v>#REF!</v>
      </c>
    </row>
    <row r="212" spans="1:28" s="116" customFormat="1" ht="15">
      <c r="A212" s="114"/>
      <c r="B212" s="120"/>
      <c r="C212" s="129" t="str">
        <f t="shared" si="9"/>
        <v>week-0</v>
      </c>
      <c r="D212" s="120" t="str">
        <f t="shared" si="10"/>
        <v>Jan</v>
      </c>
      <c r="E212" s="7"/>
      <c r="F212" s="7"/>
      <c r="G212" s="120"/>
      <c r="H212" s="120"/>
      <c r="I212" s="171"/>
      <c r="J212" s="118"/>
      <c r="K212" s="115"/>
      <c r="L212" s="115"/>
      <c r="M212" s="8"/>
      <c r="N212" s="8" t="str">
        <f t="shared" si="11"/>
        <v>-</v>
      </c>
      <c r="O212" s="127"/>
      <c r="P212" s="127"/>
      <c r="Q212" s="127"/>
      <c r="R212" s="126"/>
      <c r="S212" s="127"/>
      <c r="T212" s="8"/>
      <c r="U212" s="158"/>
      <c r="V212" s="7"/>
      <c r="W212" s="7"/>
      <c r="X212" s="146"/>
      <c r="Y212" s="7"/>
      <c r="Z212" s="7"/>
      <c r="AA212" s="7" t="str">
        <f>IFERROR((VLOOKUP(F212,#REF!,2,FALSE)),"-")</f>
        <v>-</v>
      </c>
      <c r="AB212" s="119" t="e">
        <f>CONCATENATE(F212," - ",I212," - ",#REF!,)</f>
        <v>#REF!</v>
      </c>
    </row>
    <row r="213" spans="1:28" s="116" customFormat="1" ht="15">
      <c r="A213" s="114"/>
      <c r="B213" s="120"/>
      <c r="C213" s="129" t="str">
        <f t="shared" si="9"/>
        <v>week-0</v>
      </c>
      <c r="D213" s="120" t="str">
        <f t="shared" si="10"/>
        <v>Jan</v>
      </c>
      <c r="E213" s="7"/>
      <c r="F213" s="7"/>
      <c r="G213" s="120"/>
      <c r="H213" s="120"/>
      <c r="I213" s="132"/>
      <c r="J213" s="118"/>
      <c r="K213" s="115"/>
      <c r="L213" s="115"/>
      <c r="M213" s="8"/>
      <c r="N213" s="8" t="str">
        <f t="shared" si="11"/>
        <v>-</v>
      </c>
      <c r="O213" s="126"/>
      <c r="P213" s="127"/>
      <c r="Q213" s="127"/>
      <c r="R213" s="126"/>
      <c r="S213" s="127"/>
      <c r="T213" s="8"/>
      <c r="U213" s="158"/>
      <c r="V213" s="7"/>
      <c r="W213" s="7"/>
      <c r="X213" s="146"/>
      <c r="Y213" s="7"/>
      <c r="Z213" s="7"/>
      <c r="AA213" s="7" t="str">
        <f>IFERROR((VLOOKUP(F213,#REF!,2,FALSE)),"-")</f>
        <v>-</v>
      </c>
      <c r="AB213" s="119" t="e">
        <f>CONCATENATE(F213," - ",I213," - ",#REF!,)</f>
        <v>#REF!</v>
      </c>
    </row>
    <row r="214" spans="1:28" s="116" customFormat="1" ht="15">
      <c r="A214" s="114"/>
      <c r="B214" s="120"/>
      <c r="C214" s="129" t="str">
        <f t="shared" si="9"/>
        <v>week-0</v>
      </c>
      <c r="D214" s="120" t="str">
        <f t="shared" si="10"/>
        <v>Jan</v>
      </c>
      <c r="E214" s="7"/>
      <c r="F214" s="7"/>
      <c r="G214" s="120"/>
      <c r="H214" s="120"/>
      <c r="I214" s="132"/>
      <c r="J214" s="118"/>
      <c r="K214" s="115"/>
      <c r="L214" s="115"/>
      <c r="M214" s="8"/>
      <c r="N214" s="8" t="str">
        <f t="shared" si="11"/>
        <v>-</v>
      </c>
      <c r="O214" s="127"/>
      <c r="P214" s="127"/>
      <c r="Q214" s="127"/>
      <c r="R214" s="126"/>
      <c r="S214" s="127"/>
      <c r="T214" s="8"/>
      <c r="U214" s="158"/>
      <c r="V214" s="7"/>
      <c r="W214" s="7"/>
      <c r="X214" s="146"/>
      <c r="Y214" s="7"/>
      <c r="Z214" s="7"/>
      <c r="AA214" s="7" t="str">
        <f>IFERROR((VLOOKUP(F214,#REF!,2,FALSE)),"-")</f>
        <v>-</v>
      </c>
      <c r="AB214" s="119" t="e">
        <f>CONCATENATE(F214," - ",I214," - ",#REF!,)</f>
        <v>#REF!</v>
      </c>
    </row>
    <row r="215" spans="1:28" s="116" customFormat="1" ht="15">
      <c r="A215" s="114"/>
      <c r="B215" s="120"/>
      <c r="C215" s="129" t="str">
        <f t="shared" si="9"/>
        <v>week-0</v>
      </c>
      <c r="D215" s="120" t="str">
        <f t="shared" si="10"/>
        <v>Jan</v>
      </c>
      <c r="E215" s="7"/>
      <c r="F215" s="7"/>
      <c r="G215" s="120"/>
      <c r="H215" s="120"/>
      <c r="I215" s="132"/>
      <c r="J215" s="118"/>
      <c r="K215" s="115"/>
      <c r="L215" s="115"/>
      <c r="M215" s="8"/>
      <c r="N215" s="8" t="str">
        <f t="shared" si="11"/>
        <v>-</v>
      </c>
      <c r="O215" s="127"/>
      <c r="P215" s="127"/>
      <c r="Q215" s="127"/>
      <c r="R215" s="126"/>
      <c r="S215" s="127"/>
      <c r="T215" s="8"/>
      <c r="U215" s="158"/>
      <c r="V215" s="7"/>
      <c r="W215" s="7"/>
      <c r="X215" s="146"/>
      <c r="Y215" s="7"/>
      <c r="Z215" s="7"/>
      <c r="AA215" s="7" t="str">
        <f>IFERROR((VLOOKUP(F215,#REF!,2,FALSE)),"-")</f>
        <v>-</v>
      </c>
      <c r="AB215" s="119" t="e">
        <f>CONCATENATE(F215," - ",I215," - ",#REF!,)</f>
        <v>#REF!</v>
      </c>
    </row>
    <row r="216" spans="1:28" s="116" customFormat="1" ht="15">
      <c r="A216" s="114"/>
      <c r="B216" s="120"/>
      <c r="C216" s="129" t="str">
        <f t="shared" si="9"/>
        <v>week-0</v>
      </c>
      <c r="D216" s="120" t="str">
        <f t="shared" si="10"/>
        <v>Jan</v>
      </c>
      <c r="E216" s="7"/>
      <c r="F216" s="7"/>
      <c r="G216" s="120"/>
      <c r="H216" s="120"/>
      <c r="I216" s="132"/>
      <c r="J216" s="118"/>
      <c r="K216" s="115"/>
      <c r="L216" s="115"/>
      <c r="M216" s="8"/>
      <c r="N216" s="8" t="str">
        <f t="shared" si="11"/>
        <v>-</v>
      </c>
      <c r="O216" s="127"/>
      <c r="P216" s="127"/>
      <c r="Q216" s="127"/>
      <c r="R216" s="126"/>
      <c r="S216" s="127"/>
      <c r="T216" s="8"/>
      <c r="U216" s="158"/>
      <c r="V216" s="7"/>
      <c r="W216" s="7"/>
      <c r="X216" s="146"/>
      <c r="Y216" s="7"/>
      <c r="Z216" s="7"/>
      <c r="AA216" s="7" t="str">
        <f>IFERROR((VLOOKUP(F216,#REF!,2,FALSE)),"-")</f>
        <v>-</v>
      </c>
      <c r="AB216" s="119" t="e">
        <f>CONCATENATE(F216," - ",I216," - ",#REF!,)</f>
        <v>#REF!</v>
      </c>
    </row>
    <row r="217" spans="1:28" s="116" customFormat="1" ht="15">
      <c r="A217" s="114"/>
      <c r="B217" s="120"/>
      <c r="C217" s="129" t="str">
        <f t="shared" si="9"/>
        <v>week-0</v>
      </c>
      <c r="D217" s="120" t="str">
        <f t="shared" si="10"/>
        <v>Jan</v>
      </c>
      <c r="E217" s="7"/>
      <c r="F217" s="7"/>
      <c r="G217" s="120"/>
      <c r="H217" s="120"/>
      <c r="I217" s="171"/>
      <c r="J217" s="118"/>
      <c r="K217" s="115"/>
      <c r="L217" s="115"/>
      <c r="M217" s="8"/>
      <c r="N217" s="8" t="str">
        <f t="shared" si="11"/>
        <v>-</v>
      </c>
      <c r="O217" s="127"/>
      <c r="P217" s="127"/>
      <c r="Q217" s="127"/>
      <c r="R217" s="126"/>
      <c r="S217" s="127"/>
      <c r="T217" s="8"/>
      <c r="U217" s="158"/>
      <c r="V217" s="7"/>
      <c r="W217" s="7"/>
      <c r="X217" s="146"/>
      <c r="Y217" s="7"/>
      <c r="Z217" s="7"/>
      <c r="AA217" s="7" t="str">
        <f>IFERROR((VLOOKUP(F217,#REF!,2,FALSE)),"-")</f>
        <v>-</v>
      </c>
      <c r="AB217" s="119" t="e">
        <f>CONCATENATE(F217," - ",I217," - ",#REF!,)</f>
        <v>#REF!</v>
      </c>
    </row>
    <row r="218" spans="1:28" s="116" customFormat="1" ht="15">
      <c r="A218" s="114"/>
      <c r="B218" s="120"/>
      <c r="C218" s="129" t="str">
        <f t="shared" si="9"/>
        <v>week-0</v>
      </c>
      <c r="D218" s="120" t="str">
        <f t="shared" si="10"/>
        <v>Jan</v>
      </c>
      <c r="E218" s="7"/>
      <c r="F218" s="7"/>
      <c r="G218" s="120"/>
      <c r="H218" s="120"/>
      <c r="I218" s="132"/>
      <c r="J218" s="118"/>
      <c r="K218" s="115"/>
      <c r="L218" s="115"/>
      <c r="M218" s="8"/>
      <c r="N218" s="8" t="str">
        <f t="shared" si="11"/>
        <v>-</v>
      </c>
      <c r="O218" s="127"/>
      <c r="P218" s="127"/>
      <c r="Q218" s="127"/>
      <c r="R218" s="126"/>
      <c r="S218" s="127"/>
      <c r="T218" s="8"/>
      <c r="U218" s="158"/>
      <c r="V218" s="7"/>
      <c r="W218" s="7"/>
      <c r="X218" s="146"/>
      <c r="Y218" s="7"/>
      <c r="Z218" s="7"/>
      <c r="AA218" s="7" t="str">
        <f>IFERROR((VLOOKUP(F218,#REF!,2,FALSE)),"-")</f>
        <v>-</v>
      </c>
      <c r="AB218" s="119" t="e">
        <f>CONCATENATE(F218," - ",I218," - ",#REF!,)</f>
        <v>#REF!</v>
      </c>
    </row>
    <row r="219" spans="1:28" s="116" customFormat="1" ht="15">
      <c r="A219" s="114"/>
      <c r="B219" s="120"/>
      <c r="C219" s="129" t="str">
        <f t="shared" si="9"/>
        <v>week-0</v>
      </c>
      <c r="D219" s="120" t="str">
        <f t="shared" si="10"/>
        <v>Jan</v>
      </c>
      <c r="E219" s="7"/>
      <c r="F219" s="7"/>
      <c r="G219" s="120"/>
      <c r="H219" s="120"/>
      <c r="I219" s="132"/>
      <c r="J219" s="118"/>
      <c r="K219" s="115"/>
      <c r="L219" s="115"/>
      <c r="M219" s="8"/>
      <c r="N219" s="8" t="str">
        <f t="shared" si="11"/>
        <v>-</v>
      </c>
      <c r="O219" s="127"/>
      <c r="P219" s="127"/>
      <c r="Q219" s="127"/>
      <c r="R219" s="126"/>
      <c r="S219" s="127"/>
      <c r="T219" s="8"/>
      <c r="U219" s="158"/>
      <c r="V219" s="7"/>
      <c r="W219" s="7"/>
      <c r="X219" s="146"/>
      <c r="Y219" s="7"/>
      <c r="Z219" s="7"/>
      <c r="AA219" s="7" t="str">
        <f>IFERROR((VLOOKUP(F219,#REF!,2,FALSE)),"-")</f>
        <v>-</v>
      </c>
      <c r="AB219" s="119" t="e">
        <f>CONCATENATE(F219," - ",I219," - ",#REF!,)</f>
        <v>#REF!</v>
      </c>
    </row>
    <row r="220" spans="1:28" s="116" customFormat="1" ht="15">
      <c r="A220" s="114"/>
      <c r="B220" s="120"/>
      <c r="C220" s="129" t="str">
        <f t="shared" si="9"/>
        <v>week-0</v>
      </c>
      <c r="D220" s="120" t="str">
        <f t="shared" si="10"/>
        <v>Jan</v>
      </c>
      <c r="E220" s="7"/>
      <c r="F220" s="7"/>
      <c r="G220" s="120"/>
      <c r="H220" s="120"/>
      <c r="I220" s="132"/>
      <c r="J220" s="118"/>
      <c r="K220" s="115"/>
      <c r="L220" s="115"/>
      <c r="M220" s="8"/>
      <c r="N220" s="8" t="str">
        <f t="shared" si="11"/>
        <v>-</v>
      </c>
      <c r="O220" s="126"/>
      <c r="P220" s="127"/>
      <c r="Q220" s="127"/>
      <c r="R220" s="126"/>
      <c r="S220" s="127"/>
      <c r="T220" s="8"/>
      <c r="U220" s="158"/>
      <c r="V220" s="7"/>
      <c r="W220" s="7"/>
      <c r="X220" s="146"/>
      <c r="Y220" s="7"/>
      <c r="Z220" s="7"/>
      <c r="AA220" s="7" t="str">
        <f>IFERROR((VLOOKUP(F220,#REF!,2,FALSE)),"-")</f>
        <v>-</v>
      </c>
      <c r="AB220" s="119" t="e">
        <f>CONCATENATE(F220," - ",I220," - ",#REF!,)</f>
        <v>#REF!</v>
      </c>
    </row>
    <row r="221" spans="1:28" s="116" customFormat="1" ht="15">
      <c r="A221" s="114"/>
      <c r="B221" s="120"/>
      <c r="C221" s="129" t="str">
        <f t="shared" si="9"/>
        <v>week-0</v>
      </c>
      <c r="D221" s="120" t="str">
        <f t="shared" si="10"/>
        <v>Jan</v>
      </c>
      <c r="E221" s="84"/>
      <c r="F221" s="7"/>
      <c r="G221" s="120"/>
      <c r="H221" s="120"/>
      <c r="I221" s="132"/>
      <c r="J221" s="118"/>
      <c r="K221" s="115"/>
      <c r="L221" s="115"/>
      <c r="M221" s="8"/>
      <c r="N221" s="8" t="str">
        <f t="shared" si="11"/>
        <v>-</v>
      </c>
      <c r="O221" s="126"/>
      <c r="P221" s="127"/>
      <c r="Q221" s="127"/>
      <c r="R221" s="126"/>
      <c r="S221" s="127"/>
      <c r="T221" s="8"/>
      <c r="U221" s="158"/>
      <c r="V221" s="7"/>
      <c r="W221" s="7"/>
      <c r="X221" s="146"/>
      <c r="Y221" s="7"/>
      <c r="Z221" s="7"/>
      <c r="AA221" s="7" t="str">
        <f>IFERROR((VLOOKUP(F221,#REF!,2,FALSE)),"-")</f>
        <v>-</v>
      </c>
      <c r="AB221" s="119" t="e">
        <f>CONCATENATE(F221," - ",I221," - ",#REF!,)</f>
        <v>#REF!</v>
      </c>
    </row>
    <row r="222" spans="1:28" s="116" customFormat="1" ht="15">
      <c r="A222" s="114"/>
      <c r="B222" s="120"/>
      <c r="C222" s="129" t="str">
        <f t="shared" si="9"/>
        <v>week-0</v>
      </c>
      <c r="D222" s="120" t="str">
        <f t="shared" si="10"/>
        <v>Jan</v>
      </c>
      <c r="E222" s="7"/>
      <c r="F222" s="7"/>
      <c r="G222" s="120"/>
      <c r="H222" s="120"/>
      <c r="I222" s="132"/>
      <c r="J222" s="118"/>
      <c r="K222" s="115"/>
      <c r="L222" s="115"/>
      <c r="M222" s="8"/>
      <c r="N222" s="8" t="str">
        <f t="shared" si="11"/>
        <v>-</v>
      </c>
      <c r="O222" s="126"/>
      <c r="P222" s="127"/>
      <c r="Q222" s="127"/>
      <c r="R222" s="126"/>
      <c r="S222" s="127"/>
      <c r="T222" s="8"/>
      <c r="U222" s="158"/>
      <c r="V222" s="7"/>
      <c r="W222" s="7"/>
      <c r="X222" s="146"/>
      <c r="Y222" s="7"/>
      <c r="Z222" s="7"/>
      <c r="AA222" s="7" t="str">
        <f>IFERROR((VLOOKUP(F222,#REF!,2,FALSE)),"-")</f>
        <v>-</v>
      </c>
      <c r="AB222" s="119" t="e">
        <f>CONCATENATE(F222," - ",I222," - ",#REF!,)</f>
        <v>#REF!</v>
      </c>
    </row>
    <row r="223" spans="1:28" s="116" customFormat="1" ht="15">
      <c r="A223" s="114"/>
      <c r="B223" s="120"/>
      <c r="C223" s="129" t="str">
        <f t="shared" si="9"/>
        <v>week-0</v>
      </c>
      <c r="D223" s="120" t="str">
        <f t="shared" si="10"/>
        <v>Jan</v>
      </c>
      <c r="E223" s="7"/>
      <c r="F223" s="7"/>
      <c r="G223" s="120"/>
      <c r="H223" s="120"/>
      <c r="I223" s="132"/>
      <c r="J223" s="118"/>
      <c r="K223" s="115"/>
      <c r="L223" s="115"/>
      <c r="M223" s="8"/>
      <c r="N223" s="8" t="str">
        <f t="shared" si="11"/>
        <v>-</v>
      </c>
      <c r="O223" s="127"/>
      <c r="P223" s="127"/>
      <c r="Q223" s="127"/>
      <c r="R223" s="126"/>
      <c r="S223" s="127"/>
      <c r="T223" s="8"/>
      <c r="U223" s="158"/>
      <c r="V223" s="7"/>
      <c r="W223" s="7"/>
      <c r="X223" s="146"/>
      <c r="Y223" s="7"/>
      <c r="Z223" s="7"/>
      <c r="AA223" s="7" t="str">
        <f>IFERROR((VLOOKUP(F223,#REF!,2,FALSE)),"-")</f>
        <v>-</v>
      </c>
      <c r="AB223" s="119" t="e">
        <f>CONCATENATE(F223," - ",I223," - ",#REF!,)</f>
        <v>#REF!</v>
      </c>
    </row>
    <row r="224" spans="1:28" s="116" customFormat="1" ht="15">
      <c r="A224" s="114"/>
      <c r="B224" s="120"/>
      <c r="C224" s="129" t="str">
        <f t="shared" si="9"/>
        <v>week-0</v>
      </c>
      <c r="D224" s="120" t="str">
        <f t="shared" si="10"/>
        <v>Jan</v>
      </c>
      <c r="E224" s="7"/>
      <c r="F224" s="7"/>
      <c r="G224" s="120"/>
      <c r="H224" s="120"/>
      <c r="I224" s="132"/>
      <c r="J224" s="118"/>
      <c r="K224" s="115"/>
      <c r="L224" s="115"/>
      <c r="M224" s="8"/>
      <c r="N224" s="8" t="str">
        <f t="shared" si="11"/>
        <v>-</v>
      </c>
      <c r="O224" s="126"/>
      <c r="P224" s="127"/>
      <c r="Q224" s="127"/>
      <c r="R224" s="126"/>
      <c r="S224" s="127"/>
      <c r="T224" s="139"/>
      <c r="U224" s="158"/>
      <c r="V224" s="7"/>
      <c r="W224" s="7"/>
      <c r="X224" s="146"/>
      <c r="Y224" s="7"/>
      <c r="Z224" s="7"/>
      <c r="AA224" s="7" t="str">
        <f>IFERROR((VLOOKUP(F224,#REF!,2,FALSE)),"-")</f>
        <v>-</v>
      </c>
      <c r="AB224" s="119" t="e">
        <f>CONCATENATE(F224," - ",I224," - ",#REF!,)</f>
        <v>#REF!</v>
      </c>
    </row>
    <row r="225" spans="1:28" s="116" customFormat="1" ht="15">
      <c r="A225" s="114"/>
      <c r="B225" s="120"/>
      <c r="C225" s="129" t="str">
        <f t="shared" si="9"/>
        <v>week-0</v>
      </c>
      <c r="D225" s="120" t="str">
        <f t="shared" si="10"/>
        <v>Jan</v>
      </c>
      <c r="E225" s="7"/>
      <c r="F225" s="7"/>
      <c r="G225" s="120"/>
      <c r="H225" s="120"/>
      <c r="I225" s="132"/>
      <c r="J225" s="118"/>
      <c r="K225" s="115"/>
      <c r="L225" s="115"/>
      <c r="M225" s="8"/>
      <c r="N225" s="8" t="str">
        <f t="shared" si="11"/>
        <v>-</v>
      </c>
      <c r="O225" s="127"/>
      <c r="P225" s="127"/>
      <c r="Q225" s="127"/>
      <c r="R225" s="126"/>
      <c r="S225" s="127"/>
      <c r="T225" s="139"/>
      <c r="U225" s="158"/>
      <c r="V225" s="7"/>
      <c r="W225" s="7"/>
      <c r="X225" s="146"/>
      <c r="Y225" s="7"/>
      <c r="Z225" s="7"/>
      <c r="AA225" s="7" t="str">
        <f>IFERROR((VLOOKUP(F225,#REF!,2,FALSE)),"-")</f>
        <v>-</v>
      </c>
      <c r="AB225" s="119" t="e">
        <f>CONCATENATE(F225," - ",I225," - ",#REF!,)</f>
        <v>#REF!</v>
      </c>
    </row>
    <row r="226" spans="1:28" s="116" customFormat="1" ht="15">
      <c r="A226" s="114"/>
      <c r="B226" s="120"/>
      <c r="C226" s="129" t="str">
        <f t="shared" si="9"/>
        <v>week-0</v>
      </c>
      <c r="D226" s="120" t="str">
        <f t="shared" si="10"/>
        <v>Jan</v>
      </c>
      <c r="E226" s="7"/>
      <c r="F226" s="7"/>
      <c r="G226" s="120"/>
      <c r="H226" s="120"/>
      <c r="I226" s="132"/>
      <c r="J226" s="118"/>
      <c r="K226" s="115"/>
      <c r="L226" s="115"/>
      <c r="M226" s="8"/>
      <c r="N226" s="8" t="str">
        <f t="shared" si="11"/>
        <v>-</v>
      </c>
      <c r="O226" s="126"/>
      <c r="P226" s="127"/>
      <c r="Q226" s="127"/>
      <c r="R226" s="126"/>
      <c r="S226" s="127"/>
      <c r="T226" s="8"/>
      <c r="U226" s="158"/>
      <c r="V226" s="7"/>
      <c r="W226" s="7"/>
      <c r="X226" s="146"/>
      <c r="Y226" s="7"/>
      <c r="Z226" s="7"/>
      <c r="AA226" s="7" t="str">
        <f>IFERROR((VLOOKUP(F226,#REF!,2,FALSE)),"-")</f>
        <v>-</v>
      </c>
      <c r="AB226" s="119" t="e">
        <f>CONCATENATE(F226," - ",I226," - ",#REF!,)</f>
        <v>#REF!</v>
      </c>
    </row>
    <row r="227" spans="1:28" s="116" customFormat="1" ht="15">
      <c r="A227" s="114"/>
      <c r="B227" s="120"/>
      <c r="C227" s="129" t="str">
        <f t="shared" si="9"/>
        <v>week-0</v>
      </c>
      <c r="D227" s="120" t="str">
        <f t="shared" si="10"/>
        <v>Jan</v>
      </c>
      <c r="E227" s="7"/>
      <c r="F227" s="7"/>
      <c r="G227" s="120"/>
      <c r="H227" s="120"/>
      <c r="I227" s="132"/>
      <c r="J227" s="118"/>
      <c r="K227" s="115"/>
      <c r="L227" s="115"/>
      <c r="M227" s="8"/>
      <c r="N227" s="8" t="str">
        <f t="shared" si="11"/>
        <v>-</v>
      </c>
      <c r="O227" s="126"/>
      <c r="P227" s="127"/>
      <c r="Q227" s="127"/>
      <c r="R227" s="126"/>
      <c r="S227" s="127"/>
      <c r="T227" s="8"/>
      <c r="U227" s="158"/>
      <c r="V227" s="7"/>
      <c r="W227" s="7"/>
      <c r="X227" s="146"/>
      <c r="Y227" s="7"/>
      <c r="Z227" s="7"/>
      <c r="AA227" s="7" t="str">
        <f>IFERROR((VLOOKUP(F227,#REF!,2,FALSE)),"-")</f>
        <v>-</v>
      </c>
      <c r="AB227" s="119" t="e">
        <f>CONCATENATE(F227," - ",I227," - ",#REF!,)</f>
        <v>#REF!</v>
      </c>
    </row>
    <row r="228" spans="1:28" s="116" customFormat="1" ht="15">
      <c r="A228" s="114"/>
      <c r="B228" s="120"/>
      <c r="C228" s="129" t="str">
        <f t="shared" si="9"/>
        <v>week-0</v>
      </c>
      <c r="D228" s="120" t="str">
        <f t="shared" si="10"/>
        <v>Jan</v>
      </c>
      <c r="E228" s="7"/>
      <c r="F228" s="7"/>
      <c r="G228" s="120"/>
      <c r="H228" s="120"/>
      <c r="I228" s="132"/>
      <c r="J228" s="118"/>
      <c r="K228" s="115"/>
      <c r="L228" s="115"/>
      <c r="M228" s="8"/>
      <c r="N228" s="8" t="str">
        <f t="shared" si="11"/>
        <v>-</v>
      </c>
      <c r="O228" s="127"/>
      <c r="P228" s="127"/>
      <c r="Q228" s="127"/>
      <c r="R228" s="126"/>
      <c r="S228" s="127"/>
      <c r="T228" s="8"/>
      <c r="U228" s="158"/>
      <c r="V228" s="7"/>
      <c r="W228" s="7"/>
      <c r="X228" s="146"/>
      <c r="Y228" s="7"/>
      <c r="Z228" s="7"/>
      <c r="AA228" s="7" t="str">
        <f>IFERROR((VLOOKUP(F228,#REF!,2,FALSE)),"-")</f>
        <v>-</v>
      </c>
      <c r="AB228" s="119" t="e">
        <f>CONCATENATE(F228," - ",I228," - ",#REF!,)</f>
        <v>#REF!</v>
      </c>
    </row>
    <row r="229" spans="1:28" s="116" customFormat="1" ht="15">
      <c r="A229" s="114"/>
      <c r="B229" s="120"/>
      <c r="C229" s="129" t="str">
        <f t="shared" si="9"/>
        <v>week-0</v>
      </c>
      <c r="D229" s="120" t="str">
        <f t="shared" si="10"/>
        <v>Jan</v>
      </c>
      <c r="E229" s="7"/>
      <c r="F229" s="7"/>
      <c r="G229" s="120"/>
      <c r="H229" s="120"/>
      <c r="I229" s="132"/>
      <c r="J229" s="118"/>
      <c r="K229" s="115"/>
      <c r="L229" s="115"/>
      <c r="M229" s="8"/>
      <c r="N229" s="8" t="str">
        <f t="shared" si="11"/>
        <v>-</v>
      </c>
      <c r="O229" s="127"/>
      <c r="P229" s="127"/>
      <c r="Q229" s="127"/>
      <c r="R229" s="127"/>
      <c r="S229" s="127"/>
      <c r="T229" s="8"/>
      <c r="U229" s="184"/>
      <c r="V229" s="7"/>
      <c r="W229" s="7"/>
      <c r="X229" s="146"/>
      <c r="Y229" s="7"/>
      <c r="Z229" s="7"/>
      <c r="AA229" s="7" t="str">
        <f>IFERROR((VLOOKUP(F229,#REF!,2,FALSE)),"-")</f>
        <v>-</v>
      </c>
      <c r="AB229" s="119" t="e">
        <f>CONCATENATE(F229," - ",I229," - ",#REF!,)</f>
        <v>#REF!</v>
      </c>
    </row>
    <row r="230" spans="1:28" s="116" customFormat="1" ht="60.75" customHeight="1">
      <c r="A230" s="114"/>
      <c r="B230" s="120"/>
      <c r="C230" s="129" t="str">
        <f t="shared" si="9"/>
        <v>week-0</v>
      </c>
      <c r="D230" s="120" t="str">
        <f t="shared" si="10"/>
        <v>Jan</v>
      </c>
      <c r="E230" s="7"/>
      <c r="F230" s="7"/>
      <c r="G230" s="120"/>
      <c r="H230" s="120"/>
      <c r="I230" s="132"/>
      <c r="J230" s="118"/>
      <c r="K230" s="115"/>
      <c r="L230" s="115"/>
      <c r="M230" s="8"/>
      <c r="N230" s="8" t="str">
        <f t="shared" si="11"/>
        <v>-</v>
      </c>
      <c r="O230" s="127"/>
      <c r="P230" s="127"/>
      <c r="Q230" s="127"/>
      <c r="R230" s="127"/>
      <c r="S230" s="127"/>
      <c r="T230" s="139"/>
      <c r="U230" s="158"/>
      <c r="V230" s="7"/>
      <c r="W230" s="7"/>
      <c r="X230" s="146"/>
      <c r="Y230" s="7"/>
      <c r="Z230" s="7"/>
      <c r="AA230" s="7" t="str">
        <f>IFERROR((VLOOKUP(F230,#REF!,2,FALSE)),"-")</f>
        <v>-</v>
      </c>
      <c r="AB230" s="119" t="e">
        <f>CONCATENATE(F230," - ",I230," - ",#REF!,)</f>
        <v>#REF!</v>
      </c>
    </row>
    <row r="231" spans="1:28" s="116" customFormat="1" ht="30" customHeight="1">
      <c r="A231" s="114"/>
      <c r="B231" s="120"/>
      <c r="C231" s="129" t="str">
        <f t="shared" si="9"/>
        <v>week-0</v>
      </c>
      <c r="D231" s="120" t="str">
        <f t="shared" si="10"/>
        <v>Jan</v>
      </c>
      <c r="E231" s="7"/>
      <c r="F231" s="7"/>
      <c r="G231" s="120"/>
      <c r="H231" s="120"/>
      <c r="I231" s="132"/>
      <c r="J231" s="118"/>
      <c r="K231" s="115"/>
      <c r="L231" s="115"/>
      <c r="M231" s="8"/>
      <c r="N231" s="8" t="str">
        <f t="shared" si="11"/>
        <v>-</v>
      </c>
      <c r="O231" s="126"/>
      <c r="P231" s="127"/>
      <c r="Q231" s="127"/>
      <c r="R231" s="127"/>
      <c r="S231" s="127"/>
      <c r="T231" s="8"/>
      <c r="U231" s="158"/>
      <c r="V231" s="7"/>
      <c r="W231" s="7"/>
      <c r="X231" s="146"/>
      <c r="Y231" s="7"/>
      <c r="Z231" s="7"/>
      <c r="AA231" s="7" t="str">
        <f>IFERROR((VLOOKUP(F231,#REF!,2,FALSE)),"-")</f>
        <v>-</v>
      </c>
      <c r="AB231" s="119" t="e">
        <f>CONCATENATE(F231," - ",I231," - ",#REF!,)</f>
        <v>#REF!</v>
      </c>
    </row>
    <row r="232" spans="1:28" s="116" customFormat="1" ht="15">
      <c r="A232" s="114"/>
      <c r="B232" s="120"/>
      <c r="C232" s="129" t="str">
        <f t="shared" si="9"/>
        <v>week-0</v>
      </c>
      <c r="D232" s="120" t="str">
        <f t="shared" si="10"/>
        <v>Jan</v>
      </c>
      <c r="E232" s="7"/>
      <c r="F232" s="7"/>
      <c r="G232" s="120"/>
      <c r="H232" s="120"/>
      <c r="I232" s="132"/>
      <c r="J232" s="118"/>
      <c r="K232" s="115"/>
      <c r="L232" s="115"/>
      <c r="M232" s="8"/>
      <c r="N232" s="8" t="str">
        <f t="shared" si="11"/>
        <v>-</v>
      </c>
      <c r="O232" s="127"/>
      <c r="P232" s="127"/>
      <c r="Q232" s="127"/>
      <c r="R232" s="126"/>
      <c r="S232" s="127"/>
      <c r="T232" s="8"/>
      <c r="U232" s="158"/>
      <c r="V232" s="7"/>
      <c r="W232" s="7"/>
      <c r="X232" s="146"/>
      <c r="Y232" s="7"/>
      <c r="Z232" s="7"/>
      <c r="AA232" s="7" t="str">
        <f>IFERROR((VLOOKUP(F232,#REF!,2,FALSE)),"-")</f>
        <v>-</v>
      </c>
      <c r="AB232" s="119" t="e">
        <f>CONCATENATE(F232," - ",I232," - ",#REF!,)</f>
        <v>#REF!</v>
      </c>
    </row>
    <row r="233" spans="1:28" s="116" customFormat="1" ht="15">
      <c r="A233" s="114"/>
      <c r="B233" s="120"/>
      <c r="C233" s="129" t="str">
        <f t="shared" si="9"/>
        <v>week-0</v>
      </c>
      <c r="D233" s="120" t="str">
        <f t="shared" si="10"/>
        <v>Jan</v>
      </c>
      <c r="E233" s="7"/>
      <c r="F233" s="7"/>
      <c r="G233" s="120"/>
      <c r="H233" s="120"/>
      <c r="I233" s="132"/>
      <c r="J233" s="118"/>
      <c r="K233" s="115"/>
      <c r="L233" s="115"/>
      <c r="M233" s="8"/>
      <c r="N233" s="8" t="str">
        <f t="shared" si="11"/>
        <v>-</v>
      </c>
      <c r="O233" s="126"/>
      <c r="P233" s="127"/>
      <c r="Q233" s="127"/>
      <c r="R233" s="126"/>
      <c r="S233" s="127"/>
      <c r="T233" s="8"/>
      <c r="U233" s="158"/>
      <c r="V233" s="7"/>
      <c r="W233" s="7"/>
      <c r="X233" s="146"/>
      <c r="Y233" s="7"/>
      <c r="Z233" s="7"/>
      <c r="AA233" s="7" t="str">
        <f>IFERROR((VLOOKUP(F233,#REF!,2,FALSE)),"-")</f>
        <v>-</v>
      </c>
      <c r="AB233" s="119" t="e">
        <f>CONCATENATE(F233," - ",I233," - ",#REF!,)</f>
        <v>#REF!</v>
      </c>
    </row>
    <row r="234" spans="1:28" s="116" customFormat="1" ht="15">
      <c r="A234" s="114"/>
      <c r="B234" s="120"/>
      <c r="C234" s="129" t="str">
        <f t="shared" si="9"/>
        <v>week-0</v>
      </c>
      <c r="D234" s="120" t="str">
        <f t="shared" si="10"/>
        <v>Jan</v>
      </c>
      <c r="E234" s="7"/>
      <c r="F234" s="7"/>
      <c r="G234" s="120"/>
      <c r="H234" s="120"/>
      <c r="I234" s="132"/>
      <c r="J234" s="118"/>
      <c r="K234" s="115"/>
      <c r="L234" s="115"/>
      <c r="M234" s="8"/>
      <c r="N234" s="8" t="str">
        <f t="shared" si="11"/>
        <v>-</v>
      </c>
      <c r="O234" s="126"/>
      <c r="P234" s="127"/>
      <c r="Q234" s="127"/>
      <c r="R234" s="126"/>
      <c r="S234" s="127"/>
      <c r="T234" s="8"/>
      <c r="U234" s="158"/>
      <c r="V234" s="7"/>
      <c r="W234" s="7"/>
      <c r="X234" s="146"/>
      <c r="Y234" s="7"/>
      <c r="Z234" s="7"/>
      <c r="AA234" s="7" t="str">
        <f>IFERROR((VLOOKUP(F234,#REF!,2,FALSE)),"-")</f>
        <v>-</v>
      </c>
      <c r="AB234" s="119" t="e">
        <f>CONCATENATE(F234," - ",I234," - ",#REF!,)</f>
        <v>#REF!</v>
      </c>
    </row>
    <row r="235" spans="1:28" s="116" customFormat="1" ht="15">
      <c r="A235" s="114"/>
      <c r="B235" s="120"/>
      <c r="C235" s="129" t="str">
        <f t="shared" si="9"/>
        <v>week-0</v>
      </c>
      <c r="D235" s="120" t="str">
        <f t="shared" si="10"/>
        <v>Jan</v>
      </c>
      <c r="E235" s="7"/>
      <c r="F235" s="7"/>
      <c r="G235" s="120"/>
      <c r="H235" s="120"/>
      <c r="I235" s="132"/>
      <c r="J235" s="118"/>
      <c r="K235" s="115"/>
      <c r="L235" s="115"/>
      <c r="M235" s="8"/>
      <c r="N235" s="8" t="str">
        <f t="shared" si="11"/>
        <v>-</v>
      </c>
      <c r="O235" s="126"/>
      <c r="P235" s="127"/>
      <c r="Q235" s="127"/>
      <c r="R235" s="127"/>
      <c r="S235" s="127"/>
      <c r="T235" s="8"/>
      <c r="U235" s="158"/>
      <c r="V235" s="7"/>
      <c r="W235" s="7"/>
      <c r="X235" s="146"/>
      <c r="Y235" s="7"/>
      <c r="Z235" s="7"/>
      <c r="AA235" s="7" t="str">
        <f>IFERROR((VLOOKUP(F235,#REF!,2,FALSE)),"-")</f>
        <v>-</v>
      </c>
      <c r="AB235" s="119" t="e">
        <f>CONCATENATE(F235," - ",I235," - ",#REF!,)</f>
        <v>#REF!</v>
      </c>
    </row>
    <row r="236" spans="1:28" s="116" customFormat="1" ht="15">
      <c r="A236" s="114"/>
      <c r="B236" s="120"/>
      <c r="C236" s="129" t="str">
        <f t="shared" si="9"/>
        <v>week-0</v>
      </c>
      <c r="D236" s="120" t="str">
        <f t="shared" si="10"/>
        <v>Jan</v>
      </c>
      <c r="E236" s="7"/>
      <c r="F236" s="7"/>
      <c r="G236" s="120"/>
      <c r="H236" s="120"/>
      <c r="I236" s="132"/>
      <c r="J236" s="118"/>
      <c r="K236" s="115"/>
      <c r="L236" s="115"/>
      <c r="M236" s="8"/>
      <c r="N236" s="8" t="str">
        <f t="shared" si="11"/>
        <v>-</v>
      </c>
      <c r="O236" s="127"/>
      <c r="P236" s="127"/>
      <c r="Q236" s="127"/>
      <c r="R236" s="126"/>
      <c r="S236" s="127"/>
      <c r="T236" s="8"/>
      <c r="U236" s="158"/>
      <c r="V236" s="7"/>
      <c r="W236" s="7"/>
      <c r="X236" s="146"/>
      <c r="Y236" s="7"/>
      <c r="Z236" s="7"/>
      <c r="AA236" s="7" t="str">
        <f>IFERROR((VLOOKUP(F236,#REF!,2,FALSE)),"-")</f>
        <v>-</v>
      </c>
      <c r="AB236" s="119" t="e">
        <f>CONCATENATE(F236," - ",I236," - ",#REF!,)</f>
        <v>#REF!</v>
      </c>
    </row>
    <row r="237" spans="1:28" s="116" customFormat="1" ht="15">
      <c r="A237" s="114"/>
      <c r="B237" s="120"/>
      <c r="C237" s="129" t="str">
        <f t="shared" si="9"/>
        <v>week-0</v>
      </c>
      <c r="D237" s="120" t="str">
        <f t="shared" si="10"/>
        <v>Jan</v>
      </c>
      <c r="E237" s="7"/>
      <c r="F237" s="7"/>
      <c r="G237" s="120"/>
      <c r="H237" s="120"/>
      <c r="I237" s="132"/>
      <c r="J237" s="118"/>
      <c r="K237" s="115"/>
      <c r="L237" s="115"/>
      <c r="M237" s="8"/>
      <c r="N237" s="8" t="str">
        <f t="shared" si="11"/>
        <v>-</v>
      </c>
      <c r="O237" s="126"/>
      <c r="P237" s="127"/>
      <c r="Q237" s="127"/>
      <c r="R237" s="126"/>
      <c r="S237" s="127"/>
      <c r="T237" s="8"/>
      <c r="U237" s="158"/>
      <c r="V237" s="7"/>
      <c r="W237" s="7"/>
      <c r="X237" s="146"/>
      <c r="Y237" s="7"/>
      <c r="Z237" s="7"/>
      <c r="AA237" s="7" t="str">
        <f>IFERROR((VLOOKUP(F237,#REF!,2,FALSE)),"-")</f>
        <v>-</v>
      </c>
      <c r="AB237" s="119" t="e">
        <f>CONCATENATE(F237," - ",I237," - ",#REF!,)</f>
        <v>#REF!</v>
      </c>
    </row>
    <row r="238" spans="1:28" s="116" customFormat="1" ht="15">
      <c r="A238" s="114"/>
      <c r="B238" s="120"/>
      <c r="C238" s="129" t="str">
        <f t="shared" si="9"/>
        <v>week-0</v>
      </c>
      <c r="D238" s="120" t="str">
        <f t="shared" si="10"/>
        <v>Jan</v>
      </c>
      <c r="E238" s="7"/>
      <c r="F238" s="7"/>
      <c r="G238" s="120"/>
      <c r="H238" s="120"/>
      <c r="I238" s="132"/>
      <c r="J238" s="118"/>
      <c r="K238" s="115"/>
      <c r="L238" s="115"/>
      <c r="M238" s="8"/>
      <c r="N238" s="8" t="str">
        <f t="shared" si="11"/>
        <v>-</v>
      </c>
      <c r="O238" s="126"/>
      <c r="P238" s="127"/>
      <c r="Q238" s="127"/>
      <c r="R238" s="126"/>
      <c r="S238" s="127"/>
      <c r="T238" s="8"/>
      <c r="U238" s="158"/>
      <c r="V238" s="7"/>
      <c r="W238" s="7"/>
      <c r="X238" s="146"/>
      <c r="Y238" s="7"/>
      <c r="Z238" s="7"/>
      <c r="AA238" s="7" t="str">
        <f>IFERROR((VLOOKUP(F238,#REF!,2,FALSE)),"-")</f>
        <v>-</v>
      </c>
      <c r="AB238" s="119" t="e">
        <f>CONCATENATE(F238," - ",I238," - ",#REF!,)</f>
        <v>#REF!</v>
      </c>
    </row>
    <row r="239" spans="1:28" s="116" customFormat="1" ht="15">
      <c r="A239" s="114"/>
      <c r="B239" s="120"/>
      <c r="C239" s="129" t="str">
        <f t="shared" si="9"/>
        <v>week-0</v>
      </c>
      <c r="D239" s="120" t="str">
        <f t="shared" si="10"/>
        <v>Jan</v>
      </c>
      <c r="E239" s="7"/>
      <c r="F239" s="7"/>
      <c r="G239" s="120"/>
      <c r="H239" s="120"/>
      <c r="I239" s="132"/>
      <c r="J239" s="118"/>
      <c r="K239" s="115"/>
      <c r="L239" s="115"/>
      <c r="M239" s="8"/>
      <c r="N239" s="8" t="str">
        <f t="shared" si="11"/>
        <v>-</v>
      </c>
      <c r="O239" s="126"/>
      <c r="P239" s="127"/>
      <c r="Q239" s="127"/>
      <c r="R239" s="126"/>
      <c r="S239" s="127"/>
      <c r="T239" s="8"/>
      <c r="U239" s="158"/>
      <c r="V239" s="7"/>
      <c r="W239" s="7"/>
      <c r="X239" s="146"/>
      <c r="Y239" s="7"/>
      <c r="Z239" s="7"/>
      <c r="AA239" s="7" t="str">
        <f>IFERROR((VLOOKUP(F239,#REF!,2,FALSE)),"-")</f>
        <v>-</v>
      </c>
      <c r="AB239" s="119" t="e">
        <f>CONCATENATE(F239," - ",I239," - ",#REF!,)</f>
        <v>#REF!</v>
      </c>
    </row>
    <row r="240" spans="1:28" s="116" customFormat="1" ht="15">
      <c r="A240" s="114"/>
      <c r="B240" s="120"/>
      <c r="C240" s="129" t="str">
        <f t="shared" si="9"/>
        <v>week-0</v>
      </c>
      <c r="D240" s="120" t="str">
        <f t="shared" si="10"/>
        <v>Jan</v>
      </c>
      <c r="E240" s="7"/>
      <c r="F240" s="7"/>
      <c r="G240" s="120"/>
      <c r="H240" s="120"/>
      <c r="I240" s="132"/>
      <c r="J240" s="118"/>
      <c r="K240" s="115"/>
      <c r="L240" s="115"/>
      <c r="M240" s="8"/>
      <c r="N240" s="8" t="str">
        <f t="shared" si="11"/>
        <v>-</v>
      </c>
      <c r="O240" s="126"/>
      <c r="P240" s="127"/>
      <c r="Q240" s="127"/>
      <c r="R240" s="126"/>
      <c r="S240" s="127"/>
      <c r="T240" s="8"/>
      <c r="U240" s="158"/>
      <c r="V240" s="7"/>
      <c r="W240" s="7"/>
      <c r="X240" s="146"/>
      <c r="Y240" s="7"/>
      <c r="Z240" s="7"/>
      <c r="AA240" s="7" t="str">
        <f>IFERROR((VLOOKUP(F240,#REF!,2,FALSE)),"-")</f>
        <v>-</v>
      </c>
      <c r="AB240" s="119" t="e">
        <f>CONCATENATE(F240," - ",I240," - ",#REF!,)</f>
        <v>#REF!</v>
      </c>
    </row>
    <row r="241" spans="1:28" s="116" customFormat="1" ht="15">
      <c r="A241" s="114"/>
      <c r="B241" s="120"/>
      <c r="C241" s="129" t="str">
        <f t="shared" si="9"/>
        <v>week-0</v>
      </c>
      <c r="D241" s="120" t="str">
        <f t="shared" si="10"/>
        <v>Jan</v>
      </c>
      <c r="E241" s="7"/>
      <c r="F241" s="7"/>
      <c r="G241" s="120"/>
      <c r="H241" s="120"/>
      <c r="I241" s="132"/>
      <c r="J241" s="118"/>
      <c r="K241" s="115"/>
      <c r="L241" s="115"/>
      <c r="M241" s="8"/>
      <c r="N241" s="8" t="str">
        <f t="shared" si="11"/>
        <v>-</v>
      </c>
      <c r="O241" s="127"/>
      <c r="P241" s="127"/>
      <c r="Q241" s="127"/>
      <c r="R241" s="127"/>
      <c r="S241" s="127"/>
      <c r="T241" s="8"/>
      <c r="U241" s="158"/>
      <c r="V241" s="7"/>
      <c r="W241" s="7"/>
      <c r="X241" s="146"/>
      <c r="Y241" s="7"/>
      <c r="Z241" s="7"/>
      <c r="AA241" s="7" t="str">
        <f>IFERROR((VLOOKUP(F241,#REF!,2,FALSE)),"-")</f>
        <v>-</v>
      </c>
      <c r="AB241" s="119" t="e">
        <f>CONCATENATE(F241," - ",I241," - ",#REF!,)</f>
        <v>#REF!</v>
      </c>
    </row>
    <row r="242" spans="1:28" s="116" customFormat="1" ht="15">
      <c r="A242" s="114"/>
      <c r="B242" s="120"/>
      <c r="C242" s="129" t="str">
        <f t="shared" si="9"/>
        <v>week-0</v>
      </c>
      <c r="D242" s="120" t="str">
        <f t="shared" si="10"/>
        <v>Jan</v>
      </c>
      <c r="E242" s="7"/>
      <c r="F242" s="7"/>
      <c r="G242" s="120"/>
      <c r="H242" s="120"/>
      <c r="I242" s="132"/>
      <c r="J242" s="118"/>
      <c r="K242" s="115"/>
      <c r="L242" s="115"/>
      <c r="M242" s="8"/>
      <c r="N242" s="8" t="str">
        <f t="shared" si="11"/>
        <v>-</v>
      </c>
      <c r="O242" s="126"/>
      <c r="P242" s="127"/>
      <c r="Q242" s="127"/>
      <c r="R242" s="126"/>
      <c r="S242" s="127"/>
      <c r="T242" s="8"/>
      <c r="U242" s="158"/>
      <c r="V242" s="7"/>
      <c r="W242" s="7"/>
      <c r="X242" s="146"/>
      <c r="Y242" s="7"/>
      <c r="Z242" s="7"/>
      <c r="AA242" s="7" t="str">
        <f>IFERROR((VLOOKUP(F242,#REF!,2,FALSE)),"-")</f>
        <v>-</v>
      </c>
      <c r="AB242" s="119" t="e">
        <f>CONCATENATE(F242," - ",I242," - ",#REF!,)</f>
        <v>#REF!</v>
      </c>
    </row>
    <row r="243" spans="1:28" s="116" customFormat="1" ht="15">
      <c r="A243" s="114"/>
      <c r="B243" s="120"/>
      <c r="C243" s="129" t="str">
        <f t="shared" si="9"/>
        <v>week-0</v>
      </c>
      <c r="D243" s="120" t="str">
        <f t="shared" si="10"/>
        <v>Jan</v>
      </c>
      <c r="E243" s="7"/>
      <c r="F243" s="7"/>
      <c r="G243" s="120"/>
      <c r="H243" s="120"/>
      <c r="I243" s="132"/>
      <c r="J243" s="118"/>
      <c r="K243" s="115"/>
      <c r="L243" s="115"/>
      <c r="M243" s="8"/>
      <c r="N243" s="8" t="str">
        <f t="shared" si="11"/>
        <v>-</v>
      </c>
      <c r="O243" s="126"/>
      <c r="P243" s="127"/>
      <c r="Q243" s="127"/>
      <c r="R243" s="127"/>
      <c r="S243" s="127"/>
      <c r="T243" s="8"/>
      <c r="U243" s="158"/>
      <c r="V243" s="7"/>
      <c r="W243" s="7"/>
      <c r="X243" s="146"/>
      <c r="Y243" s="7"/>
      <c r="Z243" s="7"/>
      <c r="AA243" s="7" t="str">
        <f>IFERROR((VLOOKUP(F243,#REF!,2,FALSE)),"-")</f>
        <v>-</v>
      </c>
      <c r="AB243" s="119" t="e">
        <f>CONCATENATE(F243," - ",I243," - ",#REF!,)</f>
        <v>#REF!</v>
      </c>
    </row>
    <row r="244" spans="1:28" s="116" customFormat="1" ht="15">
      <c r="A244" s="114"/>
      <c r="B244" s="120"/>
      <c r="C244" s="129" t="str">
        <f t="shared" si="9"/>
        <v>week-0</v>
      </c>
      <c r="D244" s="120" t="str">
        <f t="shared" si="10"/>
        <v>Jan</v>
      </c>
      <c r="E244" s="7"/>
      <c r="F244" s="7"/>
      <c r="G244" s="120"/>
      <c r="H244" s="120"/>
      <c r="I244" s="179"/>
      <c r="J244" s="118"/>
      <c r="K244" s="115"/>
      <c r="L244" s="115"/>
      <c r="M244" s="8"/>
      <c r="N244" s="8" t="str">
        <f t="shared" si="11"/>
        <v>-</v>
      </c>
      <c r="O244" s="126"/>
      <c r="P244" s="127"/>
      <c r="Q244" s="127"/>
      <c r="R244" s="126"/>
      <c r="S244" s="127"/>
      <c r="T244" s="8"/>
      <c r="U244" s="158"/>
      <c r="V244" s="7"/>
      <c r="W244" s="7"/>
      <c r="X244" s="146"/>
      <c r="Y244" s="7"/>
      <c r="Z244" s="7"/>
      <c r="AA244" s="7" t="str">
        <f>IFERROR((VLOOKUP(F244,#REF!,2,FALSE)),"-")</f>
        <v>-</v>
      </c>
      <c r="AB244" s="119" t="e">
        <f>CONCATENATE(F244," - ",I244," - ",#REF!,)</f>
        <v>#REF!</v>
      </c>
    </row>
    <row r="245" spans="1:28" s="116" customFormat="1" ht="15">
      <c r="A245" s="114"/>
      <c r="B245" s="120"/>
      <c r="C245" s="129" t="str">
        <f t="shared" si="9"/>
        <v>week-0</v>
      </c>
      <c r="D245" s="120" t="str">
        <f t="shared" si="10"/>
        <v>Jan</v>
      </c>
      <c r="E245" s="7"/>
      <c r="F245" s="7"/>
      <c r="G245" s="120"/>
      <c r="H245" s="120"/>
      <c r="I245" s="132"/>
      <c r="J245" s="118"/>
      <c r="K245" s="115"/>
      <c r="L245" s="115"/>
      <c r="M245" s="8"/>
      <c r="N245" s="8" t="str">
        <f t="shared" si="11"/>
        <v>-</v>
      </c>
      <c r="O245" s="126"/>
      <c r="P245" s="127"/>
      <c r="Q245" s="127"/>
      <c r="R245" s="126"/>
      <c r="S245" s="127"/>
      <c r="T245" s="8"/>
      <c r="U245" s="158"/>
      <c r="V245" s="7"/>
      <c r="W245" s="7"/>
      <c r="X245" s="146"/>
      <c r="Y245" s="7"/>
      <c r="Z245" s="7"/>
      <c r="AA245" s="7" t="str">
        <f>IFERROR((VLOOKUP(F245,#REF!,2,FALSE)),"-")</f>
        <v>-</v>
      </c>
      <c r="AB245" s="119" t="e">
        <f>CONCATENATE(F245," - ",I245," - ",#REF!,)</f>
        <v>#REF!</v>
      </c>
    </row>
    <row r="246" spans="1:28" s="116" customFormat="1" ht="15">
      <c r="A246" s="114"/>
      <c r="B246" s="120"/>
      <c r="C246" s="129" t="str">
        <f t="shared" si="9"/>
        <v>week-0</v>
      </c>
      <c r="D246" s="120" t="str">
        <f t="shared" si="10"/>
        <v>Jan</v>
      </c>
      <c r="E246" s="7"/>
      <c r="F246" s="7"/>
      <c r="G246" s="120"/>
      <c r="H246" s="120"/>
      <c r="I246" s="132"/>
      <c r="J246" s="118"/>
      <c r="K246" s="115"/>
      <c r="L246" s="115"/>
      <c r="M246" s="8"/>
      <c r="N246" s="8" t="str">
        <f t="shared" si="11"/>
        <v>-</v>
      </c>
      <c r="O246" s="126"/>
      <c r="P246" s="127"/>
      <c r="Q246" s="127"/>
      <c r="R246" s="127"/>
      <c r="S246" s="127"/>
      <c r="T246" s="139"/>
      <c r="U246" s="158"/>
      <c r="V246" s="7"/>
      <c r="W246" s="7"/>
      <c r="X246" s="146"/>
      <c r="Y246" s="7"/>
      <c r="Z246" s="7"/>
      <c r="AA246" s="7"/>
      <c r="AB246" s="119" t="e">
        <f>CONCATENATE(F246," - ",I246," - ",#REF!,)</f>
        <v>#REF!</v>
      </c>
    </row>
    <row r="247" spans="1:28" s="116" customFormat="1" ht="15">
      <c r="A247" s="114"/>
      <c r="B247" s="120"/>
      <c r="C247" s="129" t="str">
        <f t="shared" si="9"/>
        <v>week-0</v>
      </c>
      <c r="D247" s="120" t="str">
        <f t="shared" si="10"/>
        <v>Jan</v>
      </c>
      <c r="E247" s="7"/>
      <c r="F247" s="7"/>
      <c r="G247" s="120"/>
      <c r="H247" s="120"/>
      <c r="I247" s="132"/>
      <c r="J247" s="118"/>
      <c r="K247" s="115"/>
      <c r="L247" s="115"/>
      <c r="M247" s="8"/>
      <c r="N247" s="8" t="str">
        <f t="shared" si="11"/>
        <v>-</v>
      </c>
      <c r="O247" s="126"/>
      <c r="P247" s="127"/>
      <c r="Q247" s="127"/>
      <c r="R247" s="126"/>
      <c r="S247" s="127"/>
      <c r="T247" s="139"/>
      <c r="U247" s="158"/>
      <c r="V247" s="7"/>
      <c r="W247" s="7"/>
      <c r="X247" s="146"/>
      <c r="Y247" s="7"/>
      <c r="Z247" s="7"/>
      <c r="AA247" s="7" t="str">
        <f>IFERROR((VLOOKUP(F247,#REF!,2,FALSE)),"-")</f>
        <v>-</v>
      </c>
      <c r="AB247" s="119" t="e">
        <f>CONCATENATE(F247," - ",I247," - ",#REF!,)</f>
        <v>#REF!</v>
      </c>
    </row>
    <row r="248" spans="1:28" s="116" customFormat="1" ht="15">
      <c r="A248" s="114"/>
      <c r="B248" s="120"/>
      <c r="C248" s="129" t="str">
        <f t="shared" si="9"/>
        <v>week-0</v>
      </c>
      <c r="D248" s="120" t="str">
        <f t="shared" si="10"/>
        <v>Jan</v>
      </c>
      <c r="E248" s="7"/>
      <c r="F248" s="7"/>
      <c r="G248" s="120"/>
      <c r="H248" s="120"/>
      <c r="I248" s="132"/>
      <c r="J248" s="118"/>
      <c r="K248" s="115"/>
      <c r="L248" s="115"/>
      <c r="M248" s="8"/>
      <c r="N248" s="8" t="str">
        <f t="shared" si="11"/>
        <v>-</v>
      </c>
      <c r="O248" s="126"/>
      <c r="P248" s="127"/>
      <c r="Q248" s="127"/>
      <c r="R248" s="126"/>
      <c r="S248" s="127"/>
      <c r="T248" s="8"/>
      <c r="U248" s="158"/>
      <c r="V248" s="7"/>
      <c r="W248" s="7"/>
      <c r="X248" s="146"/>
      <c r="Y248" s="7"/>
      <c r="Z248" s="7"/>
      <c r="AA248" s="7" t="str">
        <f>IFERROR((VLOOKUP(F248,#REF!,2,FALSE)),"-")</f>
        <v>-</v>
      </c>
      <c r="AB248" s="119" t="e">
        <f>CONCATENATE(F248," - ",I248," - ",#REF!,)</f>
        <v>#REF!</v>
      </c>
    </row>
    <row r="249" spans="1:28" s="116" customFormat="1" ht="15">
      <c r="A249" s="114"/>
      <c r="B249" s="120"/>
      <c r="C249" s="129" t="str">
        <f t="shared" si="9"/>
        <v>week-0</v>
      </c>
      <c r="D249" s="120" t="str">
        <f t="shared" si="10"/>
        <v>Jan</v>
      </c>
      <c r="E249" s="7"/>
      <c r="F249" s="7"/>
      <c r="G249" s="120"/>
      <c r="H249" s="120"/>
      <c r="I249" s="118"/>
      <c r="J249" s="118"/>
      <c r="K249" s="115"/>
      <c r="L249" s="115"/>
      <c r="M249" s="8"/>
      <c r="N249" s="8" t="str">
        <f t="shared" si="11"/>
        <v>-</v>
      </c>
      <c r="O249" s="126"/>
      <c r="P249" s="127"/>
      <c r="Q249" s="127"/>
      <c r="R249" s="126"/>
      <c r="S249" s="127"/>
      <c r="T249" s="8"/>
      <c r="U249" s="158"/>
      <c r="V249" s="7"/>
      <c r="W249" s="7"/>
      <c r="X249" s="146"/>
      <c r="Y249" s="7"/>
      <c r="Z249" s="7"/>
      <c r="AA249" s="7" t="str">
        <f>IFERROR((VLOOKUP(F249,#REF!,2,FALSE)),"-")</f>
        <v>-</v>
      </c>
      <c r="AB249" s="119" t="e">
        <f>CONCATENATE(F249," - ",I249," - ",#REF!,)</f>
        <v>#REF!</v>
      </c>
    </row>
    <row r="250" spans="1:28" s="116" customFormat="1" ht="15">
      <c r="A250" s="114"/>
      <c r="B250" s="120"/>
      <c r="C250" s="129" t="str">
        <f t="shared" si="9"/>
        <v>week-0</v>
      </c>
      <c r="D250" s="120" t="str">
        <f t="shared" si="10"/>
        <v>Jan</v>
      </c>
      <c r="E250" s="7"/>
      <c r="F250" s="7"/>
      <c r="G250" s="120"/>
      <c r="H250" s="120"/>
      <c r="I250" s="132"/>
      <c r="J250" s="118"/>
      <c r="K250" s="115"/>
      <c r="L250" s="115"/>
      <c r="M250" s="8"/>
      <c r="N250" s="8" t="str">
        <f t="shared" si="11"/>
        <v>-</v>
      </c>
      <c r="O250" s="126"/>
      <c r="P250" s="127"/>
      <c r="Q250" s="127"/>
      <c r="R250" s="126"/>
      <c r="S250" s="127"/>
      <c r="T250" s="8"/>
      <c r="U250" s="158"/>
      <c r="V250" s="7"/>
      <c r="W250" s="7"/>
      <c r="X250" s="146"/>
      <c r="Y250" s="7"/>
      <c r="Z250" s="7"/>
      <c r="AA250" s="7" t="str">
        <f>IFERROR((VLOOKUP(F250,#REF!,2,FALSE)),"-")</f>
        <v>-</v>
      </c>
      <c r="AB250" s="119" t="e">
        <f>CONCATENATE(F250," - ",I250," - ",#REF!,)</f>
        <v>#REF!</v>
      </c>
    </row>
    <row r="251" spans="1:28" s="116" customFormat="1" ht="15">
      <c r="A251" s="114"/>
      <c r="B251" s="120"/>
      <c r="C251" s="129" t="str">
        <f t="shared" si="9"/>
        <v>week-0</v>
      </c>
      <c r="D251" s="120" t="str">
        <f t="shared" si="10"/>
        <v>Jan</v>
      </c>
      <c r="E251" s="7"/>
      <c r="F251" s="7"/>
      <c r="G251" s="120"/>
      <c r="H251" s="120"/>
      <c r="I251" s="132"/>
      <c r="J251" s="118"/>
      <c r="K251" s="115"/>
      <c r="L251" s="115"/>
      <c r="M251" s="8"/>
      <c r="N251" s="8" t="str">
        <f t="shared" si="11"/>
        <v>-</v>
      </c>
      <c r="O251" s="126"/>
      <c r="P251" s="127"/>
      <c r="Q251" s="127"/>
      <c r="R251" s="126"/>
      <c r="S251" s="127"/>
      <c r="T251" s="8"/>
      <c r="U251" s="158"/>
      <c r="V251" s="7"/>
      <c r="W251" s="7"/>
      <c r="X251" s="146"/>
      <c r="Y251" s="7"/>
      <c r="Z251" s="7"/>
      <c r="AA251" s="7" t="str">
        <f>IFERROR((VLOOKUP(F251,#REF!,2,FALSE)),"-")</f>
        <v>-</v>
      </c>
      <c r="AB251" s="119" t="e">
        <f>CONCATENATE(F251," - ",I251," - ",#REF!,)</f>
        <v>#REF!</v>
      </c>
    </row>
    <row r="252" spans="1:28" s="116" customFormat="1" ht="15">
      <c r="A252" s="114"/>
      <c r="B252" s="120"/>
      <c r="C252" s="129" t="str">
        <f t="shared" si="9"/>
        <v>week-0</v>
      </c>
      <c r="D252" s="120" t="str">
        <f t="shared" si="10"/>
        <v>Jan</v>
      </c>
      <c r="E252" s="7"/>
      <c r="F252" s="7"/>
      <c r="G252" s="120"/>
      <c r="H252" s="120"/>
      <c r="I252" s="132"/>
      <c r="J252" s="118"/>
      <c r="K252" s="115"/>
      <c r="L252" s="115"/>
      <c r="M252" s="8"/>
      <c r="N252" s="8" t="str">
        <f t="shared" si="11"/>
        <v>-</v>
      </c>
      <c r="O252" s="126"/>
      <c r="P252" s="127"/>
      <c r="Q252" s="127"/>
      <c r="R252" s="126"/>
      <c r="S252" s="127"/>
      <c r="T252" s="8"/>
      <c r="U252" s="158"/>
      <c r="V252" s="7"/>
      <c r="W252" s="7"/>
      <c r="X252" s="146"/>
      <c r="Y252" s="7"/>
      <c r="Z252" s="7"/>
      <c r="AA252" s="7" t="str">
        <f>IFERROR((VLOOKUP(F252,#REF!,2,FALSE)),"-")</f>
        <v>-</v>
      </c>
      <c r="AB252" s="119" t="e">
        <f>CONCATENATE(F252," - ",I252," - ",#REF!,)</f>
        <v>#REF!</v>
      </c>
    </row>
    <row r="253" spans="1:28" s="116" customFormat="1" ht="15">
      <c r="A253" s="114"/>
      <c r="B253" s="120"/>
      <c r="C253" s="129" t="str">
        <f t="shared" si="9"/>
        <v>week-0</v>
      </c>
      <c r="D253" s="120" t="str">
        <f t="shared" si="10"/>
        <v>Jan</v>
      </c>
      <c r="E253" s="7"/>
      <c r="F253" s="7"/>
      <c r="G253" s="120"/>
      <c r="H253" s="120"/>
      <c r="I253" s="179"/>
      <c r="J253" s="124"/>
      <c r="K253" s="115"/>
      <c r="L253" s="115"/>
      <c r="M253" s="8"/>
      <c r="N253" s="8" t="str">
        <f t="shared" si="11"/>
        <v>-</v>
      </c>
      <c r="O253" s="127"/>
      <c r="P253" s="127"/>
      <c r="Q253" s="127"/>
      <c r="R253" s="126"/>
      <c r="S253" s="127"/>
      <c r="T253" s="8"/>
      <c r="U253" s="158"/>
      <c r="V253" s="7"/>
      <c r="W253" s="7"/>
      <c r="X253" s="146"/>
      <c r="Y253" s="7"/>
      <c r="Z253" s="7"/>
      <c r="AA253" s="7" t="str">
        <f>IFERROR((VLOOKUP(F253,#REF!,2,FALSE)),"-")</f>
        <v>-</v>
      </c>
      <c r="AB253" s="119" t="e">
        <f>CONCATENATE(F253," - ",I253," - ",#REF!,)</f>
        <v>#REF!</v>
      </c>
    </row>
    <row r="254" spans="1:28" s="116" customFormat="1" ht="15">
      <c r="A254" s="114"/>
      <c r="B254" s="120"/>
      <c r="C254" s="129" t="str">
        <f t="shared" si="9"/>
        <v>week-0</v>
      </c>
      <c r="D254" s="120" t="str">
        <f t="shared" si="10"/>
        <v>Jan</v>
      </c>
      <c r="E254" s="7"/>
      <c r="F254" s="7"/>
      <c r="G254" s="120"/>
      <c r="H254" s="120"/>
      <c r="I254" s="132"/>
      <c r="J254" s="118"/>
      <c r="K254" s="115"/>
      <c r="L254" s="115"/>
      <c r="M254" s="8"/>
      <c r="N254" s="8" t="str">
        <f t="shared" si="11"/>
        <v>-</v>
      </c>
      <c r="O254" s="127"/>
      <c r="P254" s="127"/>
      <c r="Q254" s="127"/>
      <c r="R254" s="126"/>
      <c r="S254" s="127"/>
      <c r="T254" s="139"/>
      <c r="U254" s="158"/>
      <c r="V254" s="7"/>
      <c r="W254" s="7"/>
      <c r="X254" s="146"/>
      <c r="Y254" s="7"/>
      <c r="Z254" s="7"/>
      <c r="AA254" s="7" t="str">
        <f>IFERROR((VLOOKUP(F254,#REF!,2,FALSE)),"-")</f>
        <v>-</v>
      </c>
      <c r="AB254" s="119" t="e">
        <f>CONCATENATE(F254," - ",I254," - ",#REF!,)</f>
        <v>#REF!</v>
      </c>
    </row>
    <row r="255" spans="1:28" s="116" customFormat="1" ht="15">
      <c r="A255" s="114"/>
      <c r="B255" s="120"/>
      <c r="C255" s="129" t="str">
        <f t="shared" si="9"/>
        <v>week-0</v>
      </c>
      <c r="D255" s="120" t="str">
        <f t="shared" si="10"/>
        <v>Jan</v>
      </c>
      <c r="E255" s="7"/>
      <c r="F255" s="7"/>
      <c r="G255" s="120"/>
      <c r="H255" s="120"/>
      <c r="I255" s="132"/>
      <c r="J255" s="118"/>
      <c r="K255" s="115"/>
      <c r="L255" s="115"/>
      <c r="M255" s="8"/>
      <c r="N255" s="8" t="str">
        <f t="shared" si="11"/>
        <v>-</v>
      </c>
      <c r="O255" s="127"/>
      <c r="P255" s="127"/>
      <c r="Q255" s="127"/>
      <c r="R255" s="126"/>
      <c r="S255" s="127"/>
      <c r="T255" s="139"/>
      <c r="U255" s="158"/>
      <c r="V255" s="7"/>
      <c r="W255" s="7"/>
      <c r="X255" s="146"/>
      <c r="Y255" s="7"/>
      <c r="Z255" s="7"/>
      <c r="AA255" s="7" t="str">
        <f>IFERROR((VLOOKUP(F255,#REF!,2,FALSE)),"-")</f>
        <v>-</v>
      </c>
      <c r="AB255" s="119" t="e">
        <f>CONCATENATE(F255," - ",I255," - ",#REF!,)</f>
        <v>#REF!</v>
      </c>
    </row>
    <row r="256" spans="1:28" s="116" customFormat="1" ht="15">
      <c r="A256" s="114"/>
      <c r="B256" s="120"/>
      <c r="C256" s="129" t="str">
        <f t="shared" si="9"/>
        <v>week-0</v>
      </c>
      <c r="D256" s="120" t="str">
        <f t="shared" si="10"/>
        <v>Jan</v>
      </c>
      <c r="E256" s="7"/>
      <c r="F256" s="7"/>
      <c r="G256" s="120"/>
      <c r="H256" s="120"/>
      <c r="I256" s="179"/>
      <c r="J256" s="118"/>
      <c r="K256" s="115"/>
      <c r="L256" s="115"/>
      <c r="M256" s="8"/>
      <c r="N256" s="8" t="str">
        <f t="shared" si="11"/>
        <v>-</v>
      </c>
      <c r="O256" s="127"/>
      <c r="P256" s="127"/>
      <c r="Q256" s="127"/>
      <c r="R256" s="126"/>
      <c r="S256" s="127"/>
      <c r="T256" s="139"/>
      <c r="U256" s="158"/>
      <c r="V256" s="7"/>
      <c r="W256" s="7"/>
      <c r="X256" s="146"/>
      <c r="Y256" s="7"/>
      <c r="Z256" s="7"/>
      <c r="AA256" s="7" t="str">
        <f>IFERROR((VLOOKUP(F256,#REF!,2,FALSE)),"-")</f>
        <v>-</v>
      </c>
      <c r="AB256" s="119" t="e">
        <f>CONCATENATE(F256," - ",I256," - ",#REF!,)</f>
        <v>#REF!</v>
      </c>
    </row>
    <row r="257" spans="1:28" s="116" customFormat="1" ht="15">
      <c r="A257" s="114"/>
      <c r="B257" s="120"/>
      <c r="C257" s="129" t="str">
        <f t="shared" si="9"/>
        <v>week-0</v>
      </c>
      <c r="D257" s="120" t="str">
        <f t="shared" si="10"/>
        <v>Jan</v>
      </c>
      <c r="E257" s="7"/>
      <c r="F257" s="7"/>
      <c r="G257" s="120"/>
      <c r="H257" s="120"/>
      <c r="I257" s="179"/>
      <c r="J257" s="118"/>
      <c r="K257" s="115"/>
      <c r="L257" s="115"/>
      <c r="M257" s="8"/>
      <c r="N257" s="8" t="str">
        <f t="shared" si="11"/>
        <v>-</v>
      </c>
      <c r="O257" s="127"/>
      <c r="P257" s="127"/>
      <c r="Q257" s="127"/>
      <c r="R257" s="127"/>
      <c r="S257" s="127"/>
      <c r="T257" s="139"/>
      <c r="U257" s="158"/>
      <c r="V257" s="7"/>
      <c r="W257" s="7"/>
      <c r="X257" s="146"/>
      <c r="Y257" s="7"/>
      <c r="Z257" s="7"/>
      <c r="AA257" s="7" t="str">
        <f>IFERROR((VLOOKUP(F257,#REF!,2,FALSE)),"-")</f>
        <v>-</v>
      </c>
      <c r="AB257" s="119" t="e">
        <f>CONCATENATE(F257," - ",I257," - ",#REF!,)</f>
        <v>#REF!</v>
      </c>
    </row>
    <row r="258" spans="1:28" s="116" customFormat="1" ht="15">
      <c r="A258" s="114"/>
      <c r="B258" s="120"/>
      <c r="C258" s="129" t="str">
        <f t="shared" si="9"/>
        <v>week-0</v>
      </c>
      <c r="D258" s="120" t="str">
        <f t="shared" si="10"/>
        <v>Jan</v>
      </c>
      <c r="E258" s="7"/>
      <c r="F258" s="7"/>
      <c r="G258" s="120"/>
      <c r="H258" s="120"/>
      <c r="I258" s="132"/>
      <c r="J258" s="118"/>
      <c r="K258" s="115"/>
      <c r="L258" s="115"/>
      <c r="M258" s="8"/>
      <c r="N258" s="8" t="str">
        <f t="shared" si="11"/>
        <v>-</v>
      </c>
      <c r="O258" s="127"/>
      <c r="P258" s="127"/>
      <c r="Q258" s="127"/>
      <c r="R258" s="126"/>
      <c r="S258" s="127"/>
      <c r="T258" s="139"/>
      <c r="U258" s="158"/>
      <c r="V258" s="7"/>
      <c r="W258" s="7"/>
      <c r="X258" s="146"/>
      <c r="Y258" s="7"/>
      <c r="Z258" s="7"/>
      <c r="AA258" s="7" t="str">
        <f>IFERROR((VLOOKUP(F258,#REF!,2,FALSE)),"-")</f>
        <v>-</v>
      </c>
      <c r="AB258" s="119" t="e">
        <f>CONCATENATE(F258," - ",I258," - ",#REF!,)</f>
        <v>#REF!</v>
      </c>
    </row>
    <row r="259" spans="1:28" s="116" customFormat="1" ht="15">
      <c r="A259" s="114"/>
      <c r="B259" s="120"/>
      <c r="C259" s="129" t="str">
        <f t="shared" si="9"/>
        <v>week-0</v>
      </c>
      <c r="D259" s="120" t="str">
        <f t="shared" si="10"/>
        <v>Jan</v>
      </c>
      <c r="E259" s="7"/>
      <c r="F259" s="7"/>
      <c r="G259" s="120"/>
      <c r="H259" s="120"/>
      <c r="I259" s="118"/>
      <c r="J259" s="118"/>
      <c r="K259" s="115"/>
      <c r="L259" s="115"/>
      <c r="M259" s="8"/>
      <c r="N259" s="8" t="str">
        <f t="shared" si="11"/>
        <v>-</v>
      </c>
      <c r="O259" s="127"/>
      <c r="P259" s="127"/>
      <c r="Q259" s="127"/>
      <c r="R259" s="127"/>
      <c r="S259" s="127"/>
      <c r="T259" s="139"/>
      <c r="U259" s="158"/>
      <c r="V259" s="7"/>
      <c r="W259" s="7"/>
      <c r="X259" s="146"/>
      <c r="Y259" s="7"/>
      <c r="Z259" s="7"/>
      <c r="AA259" s="7" t="str">
        <f>IFERROR((VLOOKUP(F259,#REF!,2,FALSE)),"-")</f>
        <v>-</v>
      </c>
      <c r="AB259" s="119" t="e">
        <f>CONCATENATE(F259," - ",I259," - ",#REF!,)</f>
        <v>#REF!</v>
      </c>
    </row>
    <row r="260" spans="1:28" s="116" customFormat="1" ht="32.25" customHeight="1">
      <c r="A260" s="114"/>
      <c r="B260" s="120"/>
      <c r="C260" s="129" t="str">
        <f t="shared" ref="C260:C323" si="12">"week-"&amp;WEEKNUM(B260)</f>
        <v>week-0</v>
      </c>
      <c r="D260" s="120" t="str">
        <f t="shared" ref="D260:D323" si="13">TEXT(B260,"mmm")</f>
        <v>Jan</v>
      </c>
      <c r="E260" s="7"/>
      <c r="F260" s="7"/>
      <c r="G260" s="120"/>
      <c r="H260" s="120"/>
      <c r="I260" s="179"/>
      <c r="J260" s="118"/>
      <c r="K260" s="115"/>
      <c r="L260" s="115"/>
      <c r="M260" s="8"/>
      <c r="N260" s="8" t="str">
        <f t="shared" ref="N260:N323" si="14">IF(ISBLANK(M260),"-",(M260/60))</f>
        <v>-</v>
      </c>
      <c r="O260" s="127"/>
      <c r="P260" s="127"/>
      <c r="Q260" s="127"/>
      <c r="R260" s="126"/>
      <c r="S260" s="127"/>
      <c r="T260" s="139"/>
      <c r="U260" s="158"/>
      <c r="V260" s="7"/>
      <c r="W260" s="7"/>
      <c r="X260" s="146"/>
      <c r="Y260" s="7"/>
      <c r="Z260" s="7"/>
      <c r="AA260" s="7" t="str">
        <f>IFERROR((VLOOKUP(F260,#REF!,2,FALSE)),"-")</f>
        <v>-</v>
      </c>
      <c r="AB260" s="119" t="e">
        <f>CONCATENATE(F260," - ",I260," - ",#REF!,)</f>
        <v>#REF!</v>
      </c>
    </row>
    <row r="261" spans="1:28" s="116" customFormat="1" ht="15">
      <c r="A261" s="114"/>
      <c r="B261" s="120"/>
      <c r="C261" s="129" t="str">
        <f t="shared" si="12"/>
        <v>week-0</v>
      </c>
      <c r="D261" s="120" t="str">
        <f t="shared" si="13"/>
        <v>Jan</v>
      </c>
      <c r="E261" s="7"/>
      <c r="F261" s="7"/>
      <c r="G261" s="120"/>
      <c r="H261" s="120"/>
      <c r="I261" s="132"/>
      <c r="J261" s="118"/>
      <c r="K261" s="115"/>
      <c r="L261" s="115"/>
      <c r="M261" s="8"/>
      <c r="N261" s="8" t="str">
        <f t="shared" si="14"/>
        <v>-</v>
      </c>
      <c r="O261" s="127"/>
      <c r="P261" s="127"/>
      <c r="Q261" s="127"/>
      <c r="R261" s="126"/>
      <c r="S261" s="127"/>
      <c r="T261" s="139"/>
      <c r="U261" s="158"/>
      <c r="V261" s="7"/>
      <c r="W261" s="7"/>
      <c r="X261" s="146"/>
      <c r="Y261" s="7"/>
      <c r="Z261" s="7"/>
      <c r="AA261" s="7" t="str">
        <f>IFERROR((VLOOKUP(F261,#REF!,2,FALSE)),"-")</f>
        <v>-</v>
      </c>
      <c r="AB261" s="119" t="e">
        <f>CONCATENATE(F261," - ",I261," - ",#REF!,)</f>
        <v>#REF!</v>
      </c>
    </row>
    <row r="262" spans="1:28" s="116" customFormat="1" ht="15">
      <c r="A262" s="114"/>
      <c r="B262" s="120"/>
      <c r="C262" s="129" t="str">
        <f t="shared" si="12"/>
        <v>week-0</v>
      </c>
      <c r="D262" s="120" t="str">
        <f t="shared" si="13"/>
        <v>Jan</v>
      </c>
      <c r="E262" s="7"/>
      <c r="F262" s="7"/>
      <c r="G262" s="120"/>
      <c r="H262" s="120"/>
      <c r="I262" s="132"/>
      <c r="J262" s="118"/>
      <c r="K262" s="115"/>
      <c r="L262" s="115"/>
      <c r="M262" s="8"/>
      <c r="N262" s="8" t="str">
        <f t="shared" si="14"/>
        <v>-</v>
      </c>
      <c r="O262" s="127"/>
      <c r="P262" s="127"/>
      <c r="Q262" s="127"/>
      <c r="R262" s="126"/>
      <c r="S262" s="127"/>
      <c r="T262" s="139"/>
      <c r="U262" s="158"/>
      <c r="V262" s="7"/>
      <c r="W262" s="7"/>
      <c r="X262" s="146"/>
      <c r="Y262" s="7"/>
      <c r="Z262" s="7"/>
      <c r="AA262" s="7" t="str">
        <f>IFERROR((VLOOKUP(F262,#REF!,2,FALSE)),"-")</f>
        <v>-</v>
      </c>
      <c r="AB262" s="119" t="e">
        <f>CONCATENATE(F262," - ",I262," - ",#REF!,)</f>
        <v>#REF!</v>
      </c>
    </row>
    <row r="263" spans="1:28" s="116" customFormat="1" ht="15">
      <c r="A263" s="114"/>
      <c r="B263" s="120"/>
      <c r="C263" s="129" t="str">
        <f t="shared" si="12"/>
        <v>week-0</v>
      </c>
      <c r="D263" s="120" t="str">
        <f t="shared" si="13"/>
        <v>Jan</v>
      </c>
      <c r="E263" s="7"/>
      <c r="F263" s="7"/>
      <c r="G263" s="120"/>
      <c r="H263" s="120"/>
      <c r="I263" s="132"/>
      <c r="J263" s="118"/>
      <c r="K263" s="115"/>
      <c r="L263" s="115"/>
      <c r="M263" s="8"/>
      <c r="N263" s="8" t="str">
        <f t="shared" si="14"/>
        <v>-</v>
      </c>
      <c r="O263" s="127"/>
      <c r="P263" s="127"/>
      <c r="Q263" s="127"/>
      <c r="R263" s="127"/>
      <c r="S263" s="127"/>
      <c r="T263" s="139"/>
      <c r="U263" s="158"/>
      <c r="V263" s="7"/>
      <c r="W263" s="7"/>
      <c r="X263" s="146"/>
      <c r="Y263" s="7"/>
      <c r="Z263" s="7"/>
      <c r="AA263" s="7" t="str">
        <f>IFERROR((VLOOKUP(F263,#REF!,2,FALSE)),"-")</f>
        <v>-</v>
      </c>
      <c r="AB263" s="119" t="e">
        <f>CONCATENATE(F263," - ",I263," - ",#REF!,)</f>
        <v>#REF!</v>
      </c>
    </row>
    <row r="264" spans="1:28" s="116" customFormat="1" ht="15">
      <c r="A264" s="114"/>
      <c r="B264" s="120"/>
      <c r="C264" s="129" t="str">
        <f t="shared" si="12"/>
        <v>week-0</v>
      </c>
      <c r="D264" s="120" t="str">
        <f t="shared" si="13"/>
        <v>Jan</v>
      </c>
      <c r="E264" s="7"/>
      <c r="F264" s="7"/>
      <c r="G264" s="120"/>
      <c r="H264" s="120"/>
      <c r="I264" s="132"/>
      <c r="J264" s="118"/>
      <c r="K264" s="115"/>
      <c r="L264" s="115"/>
      <c r="M264" s="8"/>
      <c r="N264" s="8" t="str">
        <f t="shared" si="14"/>
        <v>-</v>
      </c>
      <c r="O264" s="127"/>
      <c r="P264" s="127"/>
      <c r="Q264" s="127"/>
      <c r="R264" s="126"/>
      <c r="S264" s="127"/>
      <c r="T264" s="139"/>
      <c r="U264" s="158"/>
      <c r="V264" s="7"/>
      <c r="W264" s="7"/>
      <c r="X264" s="146"/>
      <c r="Y264" s="7"/>
      <c r="Z264" s="7"/>
      <c r="AA264" s="7" t="str">
        <f>IFERROR((VLOOKUP(F264,#REF!,2,FALSE)),"-")</f>
        <v>-</v>
      </c>
      <c r="AB264" s="119" t="e">
        <f>CONCATENATE(F264," - ",I264," - ",#REF!,)</f>
        <v>#REF!</v>
      </c>
    </row>
    <row r="265" spans="1:28" s="116" customFormat="1" ht="15">
      <c r="A265" s="114"/>
      <c r="B265" s="120"/>
      <c r="C265" s="129" t="str">
        <f t="shared" si="12"/>
        <v>week-0</v>
      </c>
      <c r="D265" s="120" t="str">
        <f t="shared" si="13"/>
        <v>Jan</v>
      </c>
      <c r="E265" s="7"/>
      <c r="F265" s="7"/>
      <c r="G265" s="120"/>
      <c r="H265" s="120"/>
      <c r="I265" s="179"/>
      <c r="J265" s="118"/>
      <c r="K265" s="115"/>
      <c r="L265" s="115"/>
      <c r="M265" s="8"/>
      <c r="N265" s="8" t="str">
        <f t="shared" si="14"/>
        <v>-</v>
      </c>
      <c r="O265" s="127"/>
      <c r="P265" s="127"/>
      <c r="Q265" s="127"/>
      <c r="R265" s="127"/>
      <c r="S265" s="127"/>
      <c r="T265" s="139"/>
      <c r="U265" s="158"/>
      <c r="V265" s="7"/>
      <c r="W265" s="7"/>
      <c r="X265" s="146"/>
      <c r="Y265" s="7"/>
      <c r="Z265" s="7"/>
      <c r="AA265" s="7" t="str">
        <f>IFERROR((VLOOKUP(F265,#REF!,2,FALSE)),"-")</f>
        <v>-</v>
      </c>
      <c r="AB265" s="119" t="e">
        <f>CONCATENATE(F265," - ",I265," - ",#REF!,)</f>
        <v>#REF!</v>
      </c>
    </row>
    <row r="266" spans="1:28" s="116" customFormat="1" ht="15">
      <c r="A266" s="114"/>
      <c r="B266" s="120"/>
      <c r="C266" s="129" t="str">
        <f t="shared" si="12"/>
        <v>week-0</v>
      </c>
      <c r="D266" s="120" t="str">
        <f t="shared" si="13"/>
        <v>Jan</v>
      </c>
      <c r="E266" s="7"/>
      <c r="F266" s="7"/>
      <c r="G266" s="120"/>
      <c r="H266" s="120"/>
      <c r="I266" s="179"/>
      <c r="J266" s="118"/>
      <c r="K266" s="115"/>
      <c r="L266" s="115"/>
      <c r="M266" s="8"/>
      <c r="N266" s="8" t="str">
        <f t="shared" si="14"/>
        <v>-</v>
      </c>
      <c r="O266" s="127"/>
      <c r="P266" s="127"/>
      <c r="Q266" s="127"/>
      <c r="R266" s="126"/>
      <c r="S266" s="127"/>
      <c r="T266" s="139"/>
      <c r="U266" s="158"/>
      <c r="V266" s="7"/>
      <c r="W266" s="7"/>
      <c r="X266" s="146"/>
      <c r="Y266" s="7"/>
      <c r="Z266" s="7"/>
      <c r="AA266" s="7" t="str">
        <f>IFERROR((VLOOKUP(F266,#REF!,2,FALSE)),"-")</f>
        <v>-</v>
      </c>
      <c r="AB266" s="119" t="e">
        <f>CONCATENATE(F266," - ",I266," - ",#REF!,)</f>
        <v>#REF!</v>
      </c>
    </row>
    <row r="267" spans="1:28" s="116" customFormat="1" ht="15">
      <c r="A267" s="114"/>
      <c r="B267" s="120"/>
      <c r="C267" s="129" t="str">
        <f t="shared" si="12"/>
        <v>week-0</v>
      </c>
      <c r="D267" s="120" t="str">
        <f t="shared" si="13"/>
        <v>Jan</v>
      </c>
      <c r="E267" s="7"/>
      <c r="F267" s="7"/>
      <c r="G267" s="120"/>
      <c r="H267" s="120"/>
      <c r="I267" s="132"/>
      <c r="J267" s="118"/>
      <c r="K267" s="115"/>
      <c r="L267" s="115"/>
      <c r="M267" s="8"/>
      <c r="N267" s="8" t="str">
        <f t="shared" si="14"/>
        <v>-</v>
      </c>
      <c r="O267" s="127"/>
      <c r="P267" s="127"/>
      <c r="Q267" s="127"/>
      <c r="R267" s="126"/>
      <c r="S267" s="127"/>
      <c r="T267" s="139"/>
      <c r="U267" s="158"/>
      <c r="V267" s="7"/>
      <c r="W267" s="7"/>
      <c r="X267" s="146"/>
      <c r="Y267" s="7"/>
      <c r="Z267" s="7"/>
      <c r="AA267" s="7" t="str">
        <f>IFERROR((VLOOKUP(F267,#REF!,2,FALSE)),"-")</f>
        <v>-</v>
      </c>
      <c r="AB267" s="119" t="e">
        <f>CONCATENATE(F267," - ",I267," - ",#REF!,)</f>
        <v>#REF!</v>
      </c>
    </row>
    <row r="268" spans="1:28" s="116" customFormat="1" ht="15">
      <c r="A268" s="114"/>
      <c r="B268" s="120"/>
      <c r="C268" s="129" t="str">
        <f t="shared" si="12"/>
        <v>week-0</v>
      </c>
      <c r="D268" s="120" t="str">
        <f t="shared" si="13"/>
        <v>Jan</v>
      </c>
      <c r="E268" s="7"/>
      <c r="F268" s="7"/>
      <c r="G268" s="120"/>
      <c r="H268" s="120"/>
      <c r="I268" s="179"/>
      <c r="J268" s="118"/>
      <c r="K268" s="115"/>
      <c r="L268" s="115"/>
      <c r="M268" s="8"/>
      <c r="N268" s="8" t="str">
        <f t="shared" si="14"/>
        <v>-</v>
      </c>
      <c r="O268" s="127"/>
      <c r="P268" s="127"/>
      <c r="Q268" s="127"/>
      <c r="R268" s="126"/>
      <c r="S268" s="127"/>
      <c r="T268" s="139"/>
      <c r="U268" s="158"/>
      <c r="V268" s="7"/>
      <c r="W268" s="7"/>
      <c r="X268" s="146"/>
      <c r="Y268" s="7"/>
      <c r="Z268" s="7"/>
      <c r="AA268" s="7" t="str">
        <f>IFERROR((VLOOKUP(F268,#REF!,2,FALSE)),"-")</f>
        <v>-</v>
      </c>
      <c r="AB268" s="119" t="e">
        <f>CONCATENATE(F268," - ",I268," - ",#REF!,)</f>
        <v>#REF!</v>
      </c>
    </row>
    <row r="269" spans="1:28" s="116" customFormat="1" ht="15">
      <c r="A269" s="114"/>
      <c r="B269" s="120"/>
      <c r="C269" s="129" t="str">
        <f t="shared" si="12"/>
        <v>week-0</v>
      </c>
      <c r="D269" s="120" t="str">
        <f t="shared" si="13"/>
        <v>Jan</v>
      </c>
      <c r="E269" s="7"/>
      <c r="F269" s="7"/>
      <c r="G269" s="120"/>
      <c r="H269" s="120"/>
      <c r="I269" s="132"/>
      <c r="J269" s="118"/>
      <c r="K269" s="115"/>
      <c r="L269" s="115"/>
      <c r="M269" s="8"/>
      <c r="N269" s="8" t="str">
        <f t="shared" si="14"/>
        <v>-</v>
      </c>
      <c r="O269" s="127"/>
      <c r="P269" s="127"/>
      <c r="Q269" s="127"/>
      <c r="R269" s="126"/>
      <c r="S269" s="127"/>
      <c r="T269" s="139"/>
      <c r="U269" s="158"/>
      <c r="V269" s="7"/>
      <c r="W269" s="7"/>
      <c r="X269" s="146"/>
      <c r="Y269" s="7"/>
      <c r="Z269" s="7"/>
      <c r="AA269" s="7" t="str">
        <f>IFERROR((VLOOKUP(F269,#REF!,2,FALSE)),"-")</f>
        <v>-</v>
      </c>
      <c r="AB269" s="119" t="e">
        <f>CONCATENATE(F269," - ",I269," - ",#REF!,)</f>
        <v>#REF!</v>
      </c>
    </row>
    <row r="270" spans="1:28" s="116" customFormat="1" ht="15">
      <c r="A270" s="114"/>
      <c r="B270" s="120"/>
      <c r="C270" s="129" t="str">
        <f t="shared" si="12"/>
        <v>week-0</v>
      </c>
      <c r="D270" s="120" t="str">
        <f t="shared" si="13"/>
        <v>Jan</v>
      </c>
      <c r="E270" s="7"/>
      <c r="F270" s="7"/>
      <c r="G270" s="120"/>
      <c r="H270" s="120"/>
      <c r="I270" s="132"/>
      <c r="J270" s="118"/>
      <c r="K270" s="115"/>
      <c r="L270" s="115"/>
      <c r="M270" s="8"/>
      <c r="N270" s="8" t="str">
        <f t="shared" si="14"/>
        <v>-</v>
      </c>
      <c r="O270" s="127"/>
      <c r="P270" s="127"/>
      <c r="Q270" s="127"/>
      <c r="R270" s="126"/>
      <c r="S270" s="127"/>
      <c r="T270" s="139"/>
      <c r="U270" s="158"/>
      <c r="V270" s="7"/>
      <c r="W270" s="7"/>
      <c r="X270" s="146"/>
      <c r="Y270" s="7"/>
      <c r="Z270" s="7"/>
      <c r="AA270" s="7" t="str">
        <f>IFERROR((VLOOKUP(F270,#REF!,2,FALSE)),"-")</f>
        <v>-</v>
      </c>
      <c r="AB270" s="119" t="e">
        <f>CONCATENATE(F270," - ",I270," - ",#REF!,)</f>
        <v>#REF!</v>
      </c>
    </row>
    <row r="271" spans="1:28" s="116" customFormat="1" ht="15">
      <c r="A271" s="114"/>
      <c r="B271" s="120"/>
      <c r="C271" s="129" t="str">
        <f t="shared" si="12"/>
        <v>week-0</v>
      </c>
      <c r="D271" s="120" t="str">
        <f t="shared" si="13"/>
        <v>Jan</v>
      </c>
      <c r="E271" s="7"/>
      <c r="F271" s="7"/>
      <c r="G271" s="120"/>
      <c r="H271" s="120"/>
      <c r="I271" s="179"/>
      <c r="J271" s="118"/>
      <c r="K271" s="115"/>
      <c r="L271" s="115"/>
      <c r="M271" s="8"/>
      <c r="N271" s="8" t="str">
        <f t="shared" si="14"/>
        <v>-</v>
      </c>
      <c r="O271" s="127"/>
      <c r="P271" s="127"/>
      <c r="Q271" s="127"/>
      <c r="R271" s="126"/>
      <c r="S271" s="127"/>
      <c r="T271" s="139"/>
      <c r="U271" s="158"/>
      <c r="V271" s="7"/>
      <c r="W271" s="7"/>
      <c r="X271" s="146"/>
      <c r="Y271" s="7"/>
      <c r="Z271" s="7"/>
      <c r="AA271" s="7" t="str">
        <f>IFERROR((VLOOKUP(F271,#REF!,2,FALSE)),"-")</f>
        <v>-</v>
      </c>
      <c r="AB271" s="119" t="e">
        <f>CONCATENATE(F271," - ",I271," - ",#REF!,)</f>
        <v>#REF!</v>
      </c>
    </row>
    <row r="272" spans="1:28" s="116" customFormat="1" ht="15">
      <c r="A272" s="114"/>
      <c r="B272" s="120"/>
      <c r="C272" s="129" t="str">
        <f t="shared" si="12"/>
        <v>week-0</v>
      </c>
      <c r="D272" s="120" t="str">
        <f t="shared" si="13"/>
        <v>Jan</v>
      </c>
      <c r="E272" s="7"/>
      <c r="F272" s="7"/>
      <c r="G272" s="120"/>
      <c r="H272" s="120"/>
      <c r="I272" s="132"/>
      <c r="J272" s="118"/>
      <c r="K272" s="115"/>
      <c r="L272" s="115"/>
      <c r="M272" s="8"/>
      <c r="N272" s="8" t="str">
        <f t="shared" si="14"/>
        <v>-</v>
      </c>
      <c r="O272" s="127"/>
      <c r="P272" s="127"/>
      <c r="Q272" s="127"/>
      <c r="R272" s="127"/>
      <c r="S272" s="127"/>
      <c r="T272" s="139"/>
      <c r="U272" s="158"/>
      <c r="V272" s="7"/>
      <c r="W272" s="7"/>
      <c r="X272" s="146"/>
      <c r="Y272" s="7"/>
      <c r="Z272" s="7"/>
      <c r="AA272" s="7" t="str">
        <f>IFERROR((VLOOKUP(F272,#REF!,2,FALSE)),"-")</f>
        <v>-</v>
      </c>
      <c r="AB272" s="119" t="e">
        <f>CONCATENATE(F272," - ",I272," - ",#REF!,)</f>
        <v>#REF!</v>
      </c>
    </row>
    <row r="273" spans="1:28" s="116" customFormat="1" ht="15">
      <c r="A273" s="114"/>
      <c r="B273" s="120"/>
      <c r="C273" s="129" t="str">
        <f t="shared" si="12"/>
        <v>week-0</v>
      </c>
      <c r="D273" s="120" t="str">
        <f t="shared" si="13"/>
        <v>Jan</v>
      </c>
      <c r="E273" s="7"/>
      <c r="F273" s="7"/>
      <c r="G273" s="120"/>
      <c r="H273" s="120"/>
      <c r="I273" s="132"/>
      <c r="J273" s="118"/>
      <c r="K273" s="115"/>
      <c r="L273" s="115"/>
      <c r="M273" s="8"/>
      <c r="N273" s="8" t="str">
        <f t="shared" si="14"/>
        <v>-</v>
      </c>
      <c r="O273" s="127"/>
      <c r="P273" s="127"/>
      <c r="Q273" s="127"/>
      <c r="R273" s="127"/>
      <c r="S273" s="127"/>
      <c r="T273" s="139"/>
      <c r="U273" s="158"/>
      <c r="V273" s="7"/>
      <c r="W273" s="7"/>
      <c r="X273" s="146"/>
      <c r="Y273" s="7"/>
      <c r="Z273" s="7"/>
      <c r="AA273" s="7" t="str">
        <f>IFERROR((VLOOKUP(F273,#REF!,2,FALSE)),"-")</f>
        <v>-</v>
      </c>
      <c r="AB273" s="119" t="e">
        <f>CONCATENATE(F273," - ",I273," - ",#REF!,)</f>
        <v>#REF!</v>
      </c>
    </row>
    <row r="274" spans="1:28" s="116" customFormat="1" ht="15">
      <c r="A274" s="114"/>
      <c r="B274" s="120"/>
      <c r="C274" s="129" t="str">
        <f t="shared" si="12"/>
        <v>week-0</v>
      </c>
      <c r="D274" s="120" t="str">
        <f t="shared" si="13"/>
        <v>Jan</v>
      </c>
      <c r="E274" s="7"/>
      <c r="F274" s="7"/>
      <c r="G274" s="120"/>
      <c r="H274" s="120"/>
      <c r="I274" s="132"/>
      <c r="J274" s="118"/>
      <c r="K274" s="115"/>
      <c r="L274" s="115"/>
      <c r="M274" s="8"/>
      <c r="N274" s="8" t="str">
        <f t="shared" si="14"/>
        <v>-</v>
      </c>
      <c r="O274" s="127"/>
      <c r="P274" s="127"/>
      <c r="Q274" s="127"/>
      <c r="R274" s="126"/>
      <c r="S274" s="127"/>
      <c r="T274" s="139"/>
      <c r="U274" s="158"/>
      <c r="V274" s="7"/>
      <c r="W274" s="7"/>
      <c r="X274" s="146"/>
      <c r="Y274" s="7"/>
      <c r="Z274" s="7"/>
      <c r="AA274" s="7" t="str">
        <f>IFERROR((VLOOKUP(F274,#REF!,2,FALSE)),"-")</f>
        <v>-</v>
      </c>
      <c r="AB274" s="119" t="e">
        <f>CONCATENATE(F274," - ",I274," - ",#REF!,)</f>
        <v>#REF!</v>
      </c>
    </row>
    <row r="275" spans="1:28" s="116" customFormat="1" ht="15">
      <c r="A275" s="114"/>
      <c r="B275" s="120"/>
      <c r="C275" s="129" t="str">
        <f t="shared" si="12"/>
        <v>week-0</v>
      </c>
      <c r="D275" s="120" t="str">
        <f t="shared" si="13"/>
        <v>Jan</v>
      </c>
      <c r="E275" s="7"/>
      <c r="F275" s="7"/>
      <c r="G275" s="120"/>
      <c r="H275" s="120"/>
      <c r="I275" s="132"/>
      <c r="J275" s="118"/>
      <c r="K275" s="115"/>
      <c r="L275" s="115"/>
      <c r="M275" s="8"/>
      <c r="N275" s="8" t="str">
        <f t="shared" si="14"/>
        <v>-</v>
      </c>
      <c r="O275" s="127"/>
      <c r="P275" s="127"/>
      <c r="Q275" s="127"/>
      <c r="R275" s="126"/>
      <c r="S275" s="127"/>
      <c r="T275" s="139"/>
      <c r="U275" s="158"/>
      <c r="V275" s="7"/>
      <c r="W275" s="7"/>
      <c r="X275" s="146"/>
      <c r="Y275" s="7"/>
      <c r="Z275" s="7"/>
      <c r="AA275" s="7" t="str">
        <f>IFERROR((VLOOKUP(F275,#REF!,2,FALSE)),"-")</f>
        <v>-</v>
      </c>
      <c r="AB275" s="119" t="e">
        <f>CONCATENATE(F275," - ",I275," - ",#REF!,)</f>
        <v>#REF!</v>
      </c>
    </row>
    <row r="276" spans="1:28" s="116" customFormat="1" ht="15">
      <c r="A276" s="114"/>
      <c r="B276" s="120"/>
      <c r="C276" s="129" t="str">
        <f t="shared" si="12"/>
        <v>week-0</v>
      </c>
      <c r="D276" s="120" t="str">
        <f t="shared" si="13"/>
        <v>Jan</v>
      </c>
      <c r="E276" s="7"/>
      <c r="F276" s="7"/>
      <c r="G276" s="120"/>
      <c r="H276" s="120"/>
      <c r="I276" s="132"/>
      <c r="J276" s="118"/>
      <c r="K276" s="115"/>
      <c r="L276" s="115"/>
      <c r="M276" s="8"/>
      <c r="N276" s="8" t="str">
        <f t="shared" si="14"/>
        <v>-</v>
      </c>
      <c r="O276" s="127"/>
      <c r="P276" s="127"/>
      <c r="Q276" s="127"/>
      <c r="R276" s="126"/>
      <c r="S276" s="127"/>
      <c r="T276" s="139"/>
      <c r="U276" s="158"/>
      <c r="V276" s="7"/>
      <c r="W276" s="7"/>
      <c r="X276" s="146"/>
      <c r="Y276" s="7"/>
      <c r="Z276" s="7"/>
      <c r="AA276" s="7" t="str">
        <f>IFERROR((VLOOKUP(F276,#REF!,2,FALSE)),"-")</f>
        <v>-</v>
      </c>
      <c r="AB276" s="119" t="e">
        <f>CONCATENATE(F276," - ",I276," - ",#REF!,)</f>
        <v>#REF!</v>
      </c>
    </row>
    <row r="277" spans="1:28" s="116" customFormat="1" ht="15">
      <c r="A277" s="114"/>
      <c r="B277" s="120"/>
      <c r="C277" s="129" t="str">
        <f t="shared" si="12"/>
        <v>week-0</v>
      </c>
      <c r="D277" s="120" t="str">
        <f t="shared" si="13"/>
        <v>Jan</v>
      </c>
      <c r="E277" s="7"/>
      <c r="F277" s="7"/>
      <c r="G277" s="120"/>
      <c r="H277" s="120"/>
      <c r="I277" s="132"/>
      <c r="J277" s="118"/>
      <c r="K277" s="115"/>
      <c r="L277" s="115"/>
      <c r="M277" s="8"/>
      <c r="N277" s="8" t="str">
        <f t="shared" si="14"/>
        <v>-</v>
      </c>
      <c r="O277" s="127"/>
      <c r="P277" s="127"/>
      <c r="Q277" s="127"/>
      <c r="R277" s="126"/>
      <c r="S277" s="127"/>
      <c r="T277" s="139"/>
      <c r="U277" s="186"/>
      <c r="V277" s="7"/>
      <c r="W277" s="7"/>
      <c r="X277" s="186"/>
      <c r="Y277" s="7"/>
      <c r="Z277" s="7"/>
      <c r="AA277" s="7"/>
      <c r="AB277" s="119"/>
    </row>
    <row r="278" spans="1:28" s="116" customFormat="1" ht="15">
      <c r="A278" s="114"/>
      <c r="B278" s="120"/>
      <c r="C278" s="129" t="str">
        <f t="shared" si="12"/>
        <v>week-0</v>
      </c>
      <c r="D278" s="120" t="str">
        <f t="shared" si="13"/>
        <v>Jan</v>
      </c>
      <c r="E278" s="7"/>
      <c r="F278" s="7"/>
      <c r="G278" s="120"/>
      <c r="H278" s="120"/>
      <c r="I278" s="132"/>
      <c r="J278" s="118"/>
      <c r="K278" s="115"/>
      <c r="L278" s="115"/>
      <c r="M278" s="8"/>
      <c r="N278" s="8" t="str">
        <f t="shared" si="14"/>
        <v>-</v>
      </c>
      <c r="O278" s="127"/>
      <c r="P278" s="127"/>
      <c r="Q278" s="127"/>
      <c r="R278" s="126"/>
      <c r="S278" s="127"/>
      <c r="T278" s="139"/>
      <c r="U278" s="158"/>
      <c r="V278" s="7"/>
      <c r="W278" s="7"/>
      <c r="X278" s="146"/>
      <c r="Y278" s="7"/>
      <c r="Z278" s="7"/>
      <c r="AA278" s="7" t="str">
        <f>IFERROR((VLOOKUP(F278,#REF!,2,FALSE)),"-")</f>
        <v>-</v>
      </c>
      <c r="AB278" s="119" t="e">
        <f>CONCATENATE(F278," - ",I278," - ",#REF!,)</f>
        <v>#REF!</v>
      </c>
    </row>
    <row r="279" spans="1:28" s="116" customFormat="1" ht="15">
      <c r="A279" s="114"/>
      <c r="B279" s="120"/>
      <c r="C279" s="129" t="str">
        <f t="shared" si="12"/>
        <v>week-0</v>
      </c>
      <c r="D279" s="120" t="str">
        <f t="shared" si="13"/>
        <v>Jan</v>
      </c>
      <c r="E279" s="7"/>
      <c r="F279" s="7"/>
      <c r="G279" s="120"/>
      <c r="H279" s="120"/>
      <c r="I279" s="132"/>
      <c r="J279" s="118"/>
      <c r="K279" s="115"/>
      <c r="L279" s="115"/>
      <c r="M279" s="8"/>
      <c r="N279" s="8" t="str">
        <f t="shared" si="14"/>
        <v>-</v>
      </c>
      <c r="O279" s="127"/>
      <c r="P279" s="127"/>
      <c r="Q279" s="127"/>
      <c r="R279" s="126"/>
      <c r="S279" s="127"/>
      <c r="T279" s="139"/>
      <c r="U279" s="158"/>
      <c r="V279" s="7"/>
      <c r="W279" s="7"/>
      <c r="X279" s="146"/>
      <c r="Y279" s="7"/>
      <c r="Z279" s="7"/>
      <c r="AA279" s="7" t="str">
        <f>IFERROR((VLOOKUP(F279,#REF!,2,FALSE)),"-")</f>
        <v>-</v>
      </c>
      <c r="AB279" s="119" t="e">
        <f>CONCATENATE(F279," - ",I279," - ",#REF!,)</f>
        <v>#REF!</v>
      </c>
    </row>
    <row r="280" spans="1:28" s="116" customFormat="1" ht="15">
      <c r="A280" s="114"/>
      <c r="B280" s="120"/>
      <c r="C280" s="129" t="str">
        <f t="shared" si="12"/>
        <v>week-0</v>
      </c>
      <c r="D280" s="120" t="str">
        <f t="shared" si="13"/>
        <v>Jan</v>
      </c>
      <c r="E280" s="7"/>
      <c r="F280" s="7"/>
      <c r="G280" s="120"/>
      <c r="H280" s="120"/>
      <c r="I280" s="132"/>
      <c r="J280" s="118"/>
      <c r="K280" s="115"/>
      <c r="L280" s="115"/>
      <c r="M280" s="8"/>
      <c r="N280" s="8" t="str">
        <f t="shared" si="14"/>
        <v>-</v>
      </c>
      <c r="O280" s="127"/>
      <c r="P280" s="127"/>
      <c r="Q280" s="127"/>
      <c r="R280" s="127"/>
      <c r="S280" s="127"/>
      <c r="T280" s="139"/>
      <c r="U280" s="158"/>
      <c r="V280" s="7"/>
      <c r="W280" s="7"/>
      <c r="X280" s="146"/>
      <c r="Y280" s="7"/>
      <c r="Z280" s="7"/>
      <c r="AA280" s="7" t="str">
        <f>IFERROR((VLOOKUP(F280,#REF!,2,FALSE)),"-")</f>
        <v>-</v>
      </c>
      <c r="AB280" s="119" t="e">
        <f>CONCATENATE(F280," - ",I280," - ",#REF!,)</f>
        <v>#REF!</v>
      </c>
    </row>
    <row r="281" spans="1:28" s="116" customFormat="1" ht="15">
      <c r="A281" s="114"/>
      <c r="B281" s="120"/>
      <c r="C281" s="129" t="str">
        <f t="shared" si="12"/>
        <v>week-0</v>
      </c>
      <c r="D281" s="120" t="str">
        <f t="shared" si="13"/>
        <v>Jan</v>
      </c>
      <c r="E281" s="7"/>
      <c r="F281" s="7"/>
      <c r="G281" s="120"/>
      <c r="H281" s="120"/>
      <c r="I281" s="179"/>
      <c r="J281" s="118"/>
      <c r="K281" s="115"/>
      <c r="L281" s="115"/>
      <c r="M281" s="8"/>
      <c r="N281" s="8" t="str">
        <f t="shared" si="14"/>
        <v>-</v>
      </c>
      <c r="O281" s="127"/>
      <c r="P281" s="127"/>
      <c r="Q281" s="127"/>
      <c r="R281" s="127"/>
      <c r="S281" s="127"/>
      <c r="T281" s="139"/>
      <c r="U281" s="158"/>
      <c r="V281" s="7"/>
      <c r="W281" s="7"/>
      <c r="X281" s="146"/>
      <c r="Y281" s="7"/>
      <c r="Z281" s="7"/>
      <c r="AA281" s="7" t="str">
        <f>IFERROR((VLOOKUP(F281,#REF!,2,FALSE)),"-")</f>
        <v>-</v>
      </c>
      <c r="AB281" s="119" t="e">
        <f>CONCATENATE(F281," - ",I281," - ",#REF!,)</f>
        <v>#REF!</v>
      </c>
    </row>
    <row r="282" spans="1:28" s="116" customFormat="1" ht="15">
      <c r="A282" s="114"/>
      <c r="B282" s="120"/>
      <c r="C282" s="129" t="str">
        <f t="shared" si="12"/>
        <v>week-0</v>
      </c>
      <c r="D282" s="120" t="str">
        <f t="shared" si="13"/>
        <v>Jan</v>
      </c>
      <c r="E282" s="7"/>
      <c r="F282" s="7"/>
      <c r="G282" s="120"/>
      <c r="H282" s="120"/>
      <c r="I282" s="179"/>
      <c r="J282" s="118"/>
      <c r="K282" s="115"/>
      <c r="L282" s="115"/>
      <c r="M282" s="8"/>
      <c r="N282" s="8" t="str">
        <f t="shared" si="14"/>
        <v>-</v>
      </c>
      <c r="O282" s="127"/>
      <c r="P282" s="127"/>
      <c r="Q282" s="127"/>
      <c r="R282" s="127"/>
      <c r="S282" s="127"/>
      <c r="T282" s="139"/>
      <c r="U282" s="185"/>
      <c r="V282" s="7"/>
      <c r="W282" s="7"/>
      <c r="X282" s="146"/>
      <c r="Y282" s="7"/>
      <c r="Z282" s="7"/>
      <c r="AA282" s="7" t="str">
        <f>IFERROR((VLOOKUP(F282,#REF!,2,FALSE)),"-")</f>
        <v>-</v>
      </c>
      <c r="AB282" s="119" t="e">
        <f>CONCATENATE(F282," - ",I282," - ",#REF!,)</f>
        <v>#REF!</v>
      </c>
    </row>
    <row r="283" spans="1:28" s="116" customFormat="1" ht="15">
      <c r="A283" s="114"/>
      <c r="B283" s="120"/>
      <c r="C283" s="129" t="str">
        <f t="shared" si="12"/>
        <v>week-0</v>
      </c>
      <c r="D283" s="120" t="str">
        <f t="shared" si="13"/>
        <v>Jan</v>
      </c>
      <c r="E283" s="7"/>
      <c r="F283" s="7"/>
      <c r="G283" s="120"/>
      <c r="H283" s="120"/>
      <c r="I283" s="179"/>
      <c r="J283" s="118"/>
      <c r="K283" s="115"/>
      <c r="L283" s="115"/>
      <c r="M283" s="8"/>
      <c r="N283" s="8" t="str">
        <f t="shared" si="14"/>
        <v>-</v>
      </c>
      <c r="O283" s="127"/>
      <c r="P283" s="127"/>
      <c r="Q283" s="127"/>
      <c r="R283" s="127"/>
      <c r="S283" s="127"/>
      <c r="T283" s="139"/>
      <c r="U283" s="158"/>
      <c r="V283" s="7"/>
      <c r="W283" s="7"/>
      <c r="X283" s="146"/>
      <c r="Y283" s="7"/>
      <c r="Z283" s="7"/>
      <c r="AA283" s="7" t="str">
        <f>IFERROR((VLOOKUP(F283,#REF!,2,FALSE)),"-")</f>
        <v>-</v>
      </c>
      <c r="AB283" s="119" t="e">
        <f>CONCATENATE(F283," - ",I283," - ",#REF!,)</f>
        <v>#REF!</v>
      </c>
    </row>
    <row r="284" spans="1:28" s="116" customFormat="1" ht="15">
      <c r="A284" s="114"/>
      <c r="B284" s="120"/>
      <c r="C284" s="129" t="str">
        <f t="shared" si="12"/>
        <v>week-0</v>
      </c>
      <c r="D284" s="120" t="str">
        <f t="shared" si="13"/>
        <v>Jan</v>
      </c>
      <c r="E284" s="7"/>
      <c r="F284" s="7"/>
      <c r="G284" s="120"/>
      <c r="H284" s="120"/>
      <c r="I284" s="179"/>
      <c r="J284" s="118"/>
      <c r="K284" s="115"/>
      <c r="L284" s="115"/>
      <c r="M284" s="8"/>
      <c r="N284" s="8" t="str">
        <f t="shared" si="14"/>
        <v>-</v>
      </c>
      <c r="O284" s="127"/>
      <c r="P284" s="127"/>
      <c r="Q284" s="127"/>
      <c r="R284" s="126"/>
      <c r="S284" s="127"/>
      <c r="T284" s="139"/>
      <c r="U284" s="158"/>
      <c r="V284" s="7"/>
      <c r="W284" s="7"/>
      <c r="X284" s="146"/>
      <c r="Y284" s="7"/>
      <c r="Z284" s="7"/>
      <c r="AA284" s="7" t="str">
        <f>IFERROR((VLOOKUP(F284,#REF!,2,FALSE)),"-")</f>
        <v>-</v>
      </c>
      <c r="AB284" s="119" t="e">
        <f>CONCATENATE(F284," - ",I284," - ",#REF!,)</f>
        <v>#REF!</v>
      </c>
    </row>
    <row r="285" spans="1:28" s="116" customFormat="1" ht="15">
      <c r="A285" s="114"/>
      <c r="B285" s="120"/>
      <c r="C285" s="129" t="str">
        <f t="shared" si="12"/>
        <v>week-0</v>
      </c>
      <c r="D285" s="120" t="str">
        <f t="shared" si="13"/>
        <v>Jan</v>
      </c>
      <c r="E285" s="7"/>
      <c r="F285" s="7"/>
      <c r="G285" s="120"/>
      <c r="H285" s="120"/>
      <c r="I285" s="132"/>
      <c r="J285" s="118"/>
      <c r="K285" s="115"/>
      <c r="L285" s="115"/>
      <c r="M285" s="8"/>
      <c r="N285" s="8" t="str">
        <f t="shared" si="14"/>
        <v>-</v>
      </c>
      <c r="O285" s="127"/>
      <c r="P285" s="127"/>
      <c r="Q285" s="127"/>
      <c r="R285" s="126"/>
      <c r="S285" s="127"/>
      <c r="T285" s="139"/>
      <c r="U285" s="158"/>
      <c r="V285" s="7"/>
      <c r="W285" s="7"/>
      <c r="X285" s="146"/>
      <c r="Y285" s="7"/>
      <c r="Z285" s="7"/>
      <c r="AA285" s="7" t="str">
        <f>IFERROR((VLOOKUP(F285,#REF!,2,FALSE)),"-")</f>
        <v>-</v>
      </c>
      <c r="AB285" s="119" t="e">
        <f>CONCATENATE(F285," - ",I285," - ",#REF!,)</f>
        <v>#REF!</v>
      </c>
    </row>
    <row r="286" spans="1:28" s="116" customFormat="1" ht="15">
      <c r="A286" s="114"/>
      <c r="B286" s="120"/>
      <c r="C286" s="129" t="str">
        <f t="shared" si="12"/>
        <v>week-0</v>
      </c>
      <c r="D286" s="120" t="str">
        <f t="shared" si="13"/>
        <v>Jan</v>
      </c>
      <c r="E286" s="7"/>
      <c r="F286" s="7"/>
      <c r="G286" s="120"/>
      <c r="H286" s="120"/>
      <c r="I286" s="132"/>
      <c r="J286" s="118"/>
      <c r="K286" s="115"/>
      <c r="L286" s="115"/>
      <c r="M286" s="8"/>
      <c r="N286" s="8" t="str">
        <f t="shared" si="14"/>
        <v>-</v>
      </c>
      <c r="O286" s="127"/>
      <c r="P286" s="127"/>
      <c r="Q286" s="127"/>
      <c r="R286" s="126"/>
      <c r="S286" s="127"/>
      <c r="T286" s="139"/>
      <c r="U286" s="158"/>
      <c r="V286" s="7"/>
      <c r="W286" s="7"/>
      <c r="X286" s="146"/>
      <c r="Y286" s="7"/>
      <c r="Z286" s="7"/>
      <c r="AA286" s="7" t="str">
        <f>IFERROR((VLOOKUP(F286,#REF!,2,FALSE)),"-")</f>
        <v>-</v>
      </c>
      <c r="AB286" s="119" t="e">
        <f>CONCATENATE(F286," - ",I286," - ",#REF!,)</f>
        <v>#REF!</v>
      </c>
    </row>
    <row r="287" spans="1:28" s="116" customFormat="1" ht="15">
      <c r="A287" s="114"/>
      <c r="B287" s="120"/>
      <c r="C287" s="129" t="str">
        <f t="shared" si="12"/>
        <v>week-0</v>
      </c>
      <c r="D287" s="120" t="str">
        <f t="shared" si="13"/>
        <v>Jan</v>
      </c>
      <c r="E287" s="7"/>
      <c r="F287" s="7"/>
      <c r="G287" s="120"/>
      <c r="H287" s="120"/>
      <c r="I287" s="132"/>
      <c r="J287" s="118"/>
      <c r="K287" s="115"/>
      <c r="L287" s="115"/>
      <c r="M287" s="8"/>
      <c r="N287" s="8" t="str">
        <f t="shared" si="14"/>
        <v>-</v>
      </c>
      <c r="O287" s="127"/>
      <c r="P287" s="127"/>
      <c r="Q287" s="127"/>
      <c r="R287" s="126"/>
      <c r="S287" s="127"/>
      <c r="T287" s="139"/>
      <c r="U287" s="158"/>
      <c r="V287" s="7"/>
      <c r="W287" s="7"/>
      <c r="X287" s="146"/>
      <c r="Y287" s="7"/>
      <c r="Z287" s="7"/>
      <c r="AA287" s="7" t="str">
        <f>IFERROR((VLOOKUP(F287,#REF!,2,FALSE)),"-")</f>
        <v>-</v>
      </c>
      <c r="AB287" s="119" t="e">
        <f>CONCATENATE(F287," - ",I287," - ",#REF!,)</f>
        <v>#REF!</v>
      </c>
    </row>
    <row r="288" spans="1:28" s="116" customFormat="1" ht="15">
      <c r="A288" s="114"/>
      <c r="B288" s="120"/>
      <c r="C288" s="129" t="str">
        <f t="shared" si="12"/>
        <v>week-0</v>
      </c>
      <c r="D288" s="120" t="str">
        <f t="shared" si="13"/>
        <v>Jan</v>
      </c>
      <c r="E288" s="7"/>
      <c r="F288" s="7"/>
      <c r="G288" s="120"/>
      <c r="H288" s="120"/>
      <c r="I288" s="132"/>
      <c r="J288" s="118"/>
      <c r="K288" s="115"/>
      <c r="L288" s="115"/>
      <c r="M288" s="8"/>
      <c r="N288" s="8" t="str">
        <f t="shared" si="14"/>
        <v>-</v>
      </c>
      <c r="O288" s="127"/>
      <c r="P288" s="127"/>
      <c r="Q288" s="127"/>
      <c r="R288" s="127"/>
      <c r="S288" s="127"/>
      <c r="T288" s="139"/>
      <c r="U288" s="158"/>
      <c r="V288" s="7"/>
      <c r="W288" s="7"/>
      <c r="X288" s="146"/>
      <c r="Y288" s="7"/>
      <c r="Z288" s="7"/>
      <c r="AA288" s="7" t="str">
        <f>IFERROR((VLOOKUP(F288,#REF!,2,FALSE)),"-")</f>
        <v>-</v>
      </c>
      <c r="AB288" s="119" t="e">
        <f>CONCATENATE(F288," - ",I288," - ",#REF!,)</f>
        <v>#REF!</v>
      </c>
    </row>
    <row r="289" spans="1:28" s="116" customFormat="1" ht="15">
      <c r="A289" s="114"/>
      <c r="B289" s="120"/>
      <c r="C289" s="129" t="str">
        <f t="shared" si="12"/>
        <v>week-0</v>
      </c>
      <c r="D289" s="120" t="str">
        <f t="shared" si="13"/>
        <v>Jan</v>
      </c>
      <c r="E289" s="7"/>
      <c r="F289" s="7"/>
      <c r="G289" s="120"/>
      <c r="H289" s="120"/>
      <c r="I289" s="132"/>
      <c r="J289" s="118"/>
      <c r="K289" s="115"/>
      <c r="L289" s="115"/>
      <c r="M289" s="8"/>
      <c r="N289" s="8" t="str">
        <f t="shared" si="14"/>
        <v>-</v>
      </c>
      <c r="O289" s="127"/>
      <c r="P289" s="127"/>
      <c r="Q289" s="127"/>
      <c r="R289" s="126"/>
      <c r="S289" s="127"/>
      <c r="T289" s="139"/>
      <c r="U289" s="158"/>
      <c r="V289" s="7"/>
      <c r="W289" s="7"/>
      <c r="X289" s="146"/>
      <c r="Y289" s="7"/>
      <c r="Z289" s="7"/>
      <c r="AA289" s="7" t="str">
        <f>IFERROR((VLOOKUP(F289,#REF!,2,FALSE)),"-")</f>
        <v>-</v>
      </c>
      <c r="AB289" s="119" t="e">
        <f>CONCATENATE(F289," - ",I289," - ",#REF!,)</f>
        <v>#REF!</v>
      </c>
    </row>
    <row r="290" spans="1:28" s="116" customFormat="1" ht="43.5" customHeight="1">
      <c r="A290" s="114"/>
      <c r="B290" s="120"/>
      <c r="C290" s="129" t="str">
        <f t="shared" si="12"/>
        <v>week-0</v>
      </c>
      <c r="D290" s="120" t="str">
        <f t="shared" si="13"/>
        <v>Jan</v>
      </c>
      <c r="E290" s="7"/>
      <c r="F290" s="7"/>
      <c r="G290" s="120"/>
      <c r="H290" s="120"/>
      <c r="I290" s="132"/>
      <c r="J290" s="118"/>
      <c r="K290" s="115"/>
      <c r="L290" s="115"/>
      <c r="M290" s="8"/>
      <c r="N290" s="8" t="str">
        <f t="shared" si="14"/>
        <v>-</v>
      </c>
      <c r="O290" s="127"/>
      <c r="P290" s="127"/>
      <c r="Q290" s="127"/>
      <c r="R290" s="126"/>
      <c r="S290" s="127"/>
      <c r="T290" s="139"/>
      <c r="U290" s="158"/>
      <c r="V290" s="7"/>
      <c r="W290" s="7"/>
      <c r="X290" s="146"/>
      <c r="Y290" s="7"/>
      <c r="Z290" s="7"/>
      <c r="AA290" s="7" t="str">
        <f>IFERROR((VLOOKUP(F290,#REF!,2,FALSE)),"-")</f>
        <v>-</v>
      </c>
      <c r="AB290" s="119" t="e">
        <f>CONCATENATE(F290," - ",I290," - ",#REF!,)</f>
        <v>#REF!</v>
      </c>
    </row>
    <row r="291" spans="1:28" s="116" customFormat="1" ht="15">
      <c r="A291" s="114"/>
      <c r="B291" s="120"/>
      <c r="C291" s="129" t="str">
        <f t="shared" si="12"/>
        <v>week-0</v>
      </c>
      <c r="D291" s="120" t="str">
        <f t="shared" si="13"/>
        <v>Jan</v>
      </c>
      <c r="E291" s="7"/>
      <c r="F291" s="7"/>
      <c r="G291" s="120"/>
      <c r="H291" s="120"/>
      <c r="I291" s="132"/>
      <c r="J291" s="118"/>
      <c r="K291" s="115"/>
      <c r="L291" s="115"/>
      <c r="M291" s="8"/>
      <c r="N291" s="8" t="str">
        <f t="shared" si="14"/>
        <v>-</v>
      </c>
      <c r="O291" s="127"/>
      <c r="P291" s="127"/>
      <c r="Q291" s="127"/>
      <c r="R291" s="126"/>
      <c r="S291" s="127"/>
      <c r="T291" s="139"/>
      <c r="U291" s="158"/>
      <c r="V291" s="7"/>
      <c r="W291" s="7"/>
      <c r="X291" s="146"/>
      <c r="Y291" s="7"/>
      <c r="Z291" s="7"/>
      <c r="AA291" s="7" t="str">
        <f>IFERROR((VLOOKUP(F291,#REF!,2,FALSE)),"-")</f>
        <v>-</v>
      </c>
      <c r="AB291" s="119" t="e">
        <f>CONCATENATE(F291," - ",I291," - ",#REF!,)</f>
        <v>#REF!</v>
      </c>
    </row>
    <row r="292" spans="1:28" s="116" customFormat="1" ht="15">
      <c r="A292" s="114"/>
      <c r="B292" s="120"/>
      <c r="C292" s="129" t="str">
        <f t="shared" si="12"/>
        <v>week-0</v>
      </c>
      <c r="D292" s="120" t="str">
        <f t="shared" si="13"/>
        <v>Jan</v>
      </c>
      <c r="E292" s="7"/>
      <c r="F292" s="7"/>
      <c r="G292" s="120"/>
      <c r="H292" s="120"/>
      <c r="I292" s="132"/>
      <c r="J292" s="118"/>
      <c r="K292" s="115"/>
      <c r="L292" s="115"/>
      <c r="M292" s="8"/>
      <c r="N292" s="8" t="str">
        <f t="shared" si="14"/>
        <v>-</v>
      </c>
      <c r="O292" s="127"/>
      <c r="P292" s="127"/>
      <c r="Q292" s="127"/>
      <c r="R292" s="126"/>
      <c r="S292" s="127"/>
      <c r="T292" s="139"/>
      <c r="U292" s="158"/>
      <c r="V292" s="7"/>
      <c r="W292" s="7"/>
      <c r="X292" s="146"/>
      <c r="Y292" s="7"/>
      <c r="Z292" s="7"/>
      <c r="AA292" s="7" t="str">
        <f>IFERROR((VLOOKUP(F292,#REF!,2,FALSE)),"-")</f>
        <v>-</v>
      </c>
      <c r="AB292" s="119" t="e">
        <f>CONCATENATE(F292," - ",I292," - ",#REF!,)</f>
        <v>#REF!</v>
      </c>
    </row>
    <row r="293" spans="1:28" s="116" customFormat="1" ht="15">
      <c r="A293" s="114"/>
      <c r="B293" s="120"/>
      <c r="C293" s="129" t="str">
        <f t="shared" si="12"/>
        <v>week-0</v>
      </c>
      <c r="D293" s="120" t="str">
        <f t="shared" si="13"/>
        <v>Jan</v>
      </c>
      <c r="E293" s="7"/>
      <c r="F293" s="7"/>
      <c r="G293" s="120"/>
      <c r="H293" s="120"/>
      <c r="I293" s="132"/>
      <c r="J293" s="118"/>
      <c r="K293" s="115"/>
      <c r="L293" s="115"/>
      <c r="M293" s="8"/>
      <c r="N293" s="8" t="str">
        <f t="shared" si="14"/>
        <v>-</v>
      </c>
      <c r="O293" s="127"/>
      <c r="P293" s="127"/>
      <c r="Q293" s="127"/>
      <c r="R293" s="126"/>
      <c r="S293" s="127"/>
      <c r="T293" s="139"/>
      <c r="U293" s="158"/>
      <c r="V293" s="7"/>
      <c r="W293" s="7"/>
      <c r="X293" s="146"/>
      <c r="Y293" s="7"/>
      <c r="Z293" s="7"/>
      <c r="AA293" s="7" t="str">
        <f>IFERROR((VLOOKUP(F293,#REF!,2,FALSE)),"-")</f>
        <v>-</v>
      </c>
      <c r="AB293" s="119" t="e">
        <f>CONCATENATE(F293," - ",I293," - ",#REF!,)</f>
        <v>#REF!</v>
      </c>
    </row>
    <row r="294" spans="1:28" s="116" customFormat="1" ht="15">
      <c r="A294" s="114"/>
      <c r="B294" s="120"/>
      <c r="C294" s="129" t="str">
        <f t="shared" si="12"/>
        <v>week-0</v>
      </c>
      <c r="D294" s="120" t="str">
        <f t="shared" si="13"/>
        <v>Jan</v>
      </c>
      <c r="E294" s="7"/>
      <c r="F294" s="7"/>
      <c r="G294" s="120"/>
      <c r="H294" s="120"/>
      <c r="I294" s="132"/>
      <c r="J294" s="118"/>
      <c r="K294" s="115"/>
      <c r="L294" s="115"/>
      <c r="M294" s="8"/>
      <c r="N294" s="8" t="str">
        <f t="shared" si="14"/>
        <v>-</v>
      </c>
      <c r="O294" s="127"/>
      <c r="P294" s="127"/>
      <c r="Q294" s="127"/>
      <c r="R294" s="127"/>
      <c r="S294" s="127"/>
      <c r="T294" s="139"/>
      <c r="U294" s="158"/>
      <c r="V294" s="7"/>
      <c r="W294" s="7"/>
      <c r="X294" s="146"/>
      <c r="Y294" s="7"/>
      <c r="Z294" s="7"/>
      <c r="AA294" s="7" t="str">
        <f>IFERROR((VLOOKUP(F294,#REF!,2,FALSE)),"-")</f>
        <v>-</v>
      </c>
      <c r="AB294" s="119" t="e">
        <f>CONCATENATE(F294," - ",I294," - ",#REF!,)</f>
        <v>#REF!</v>
      </c>
    </row>
    <row r="295" spans="1:28" s="116" customFormat="1" ht="15">
      <c r="A295" s="114"/>
      <c r="B295" s="120"/>
      <c r="C295" s="129" t="str">
        <f t="shared" si="12"/>
        <v>week-0</v>
      </c>
      <c r="D295" s="120" t="str">
        <f t="shared" si="13"/>
        <v>Jan</v>
      </c>
      <c r="E295" s="7"/>
      <c r="F295" s="7"/>
      <c r="G295" s="120"/>
      <c r="H295" s="120"/>
      <c r="I295" s="132"/>
      <c r="J295" s="118"/>
      <c r="K295" s="115"/>
      <c r="L295" s="115"/>
      <c r="M295" s="8"/>
      <c r="N295" s="8" t="str">
        <f t="shared" si="14"/>
        <v>-</v>
      </c>
      <c r="O295" s="127"/>
      <c r="P295" s="127"/>
      <c r="Q295" s="127"/>
      <c r="R295" s="126"/>
      <c r="S295" s="127"/>
      <c r="T295" s="139"/>
      <c r="U295" s="158"/>
      <c r="V295" s="7"/>
      <c r="W295" s="7"/>
      <c r="X295" s="146"/>
      <c r="Y295" s="7"/>
      <c r="Z295" s="7"/>
      <c r="AA295" s="7" t="str">
        <f>IFERROR((VLOOKUP(F295,#REF!,2,FALSE)),"-")</f>
        <v>-</v>
      </c>
      <c r="AB295" s="119" t="e">
        <f>CONCATENATE(F295," - ",I295," - ",#REF!,)</f>
        <v>#REF!</v>
      </c>
    </row>
    <row r="296" spans="1:28" s="116" customFormat="1" ht="15">
      <c r="A296" s="114"/>
      <c r="B296" s="120"/>
      <c r="C296" s="129" t="str">
        <f t="shared" si="12"/>
        <v>week-0</v>
      </c>
      <c r="D296" s="120" t="str">
        <f t="shared" si="13"/>
        <v>Jan</v>
      </c>
      <c r="E296" s="7"/>
      <c r="F296" s="7"/>
      <c r="G296" s="120"/>
      <c r="H296" s="120"/>
      <c r="I296" s="132"/>
      <c r="J296" s="118"/>
      <c r="K296" s="115"/>
      <c r="L296" s="115"/>
      <c r="M296" s="8"/>
      <c r="N296" s="8" t="str">
        <f t="shared" si="14"/>
        <v>-</v>
      </c>
      <c r="O296" s="127"/>
      <c r="P296" s="127"/>
      <c r="Q296" s="127"/>
      <c r="R296" s="127"/>
      <c r="S296" s="127"/>
      <c r="T296" s="139"/>
      <c r="U296" s="158"/>
      <c r="V296" s="7"/>
      <c r="W296" s="7"/>
      <c r="X296" s="146"/>
      <c r="Y296" s="7"/>
      <c r="Z296" s="7"/>
      <c r="AA296" s="7" t="str">
        <f>IFERROR((VLOOKUP(F296,#REF!,2,FALSE)),"-")</f>
        <v>-</v>
      </c>
      <c r="AB296" s="119" t="e">
        <f>CONCATENATE(F296," - ",I296," - ",#REF!,)</f>
        <v>#REF!</v>
      </c>
    </row>
    <row r="297" spans="1:28" s="116" customFormat="1" ht="15">
      <c r="A297" s="114"/>
      <c r="B297" s="120"/>
      <c r="C297" s="129" t="str">
        <f t="shared" si="12"/>
        <v>week-0</v>
      </c>
      <c r="D297" s="120" t="str">
        <f t="shared" si="13"/>
        <v>Jan</v>
      </c>
      <c r="E297" s="7"/>
      <c r="F297" s="7"/>
      <c r="G297" s="120"/>
      <c r="H297" s="120"/>
      <c r="I297" s="132"/>
      <c r="J297" s="118"/>
      <c r="K297" s="115"/>
      <c r="L297" s="115"/>
      <c r="M297" s="8"/>
      <c r="N297" s="8" t="str">
        <f t="shared" si="14"/>
        <v>-</v>
      </c>
      <c r="O297" s="127"/>
      <c r="P297" s="127"/>
      <c r="Q297" s="127"/>
      <c r="R297" s="127"/>
      <c r="S297" s="127"/>
      <c r="T297" s="139"/>
      <c r="U297" s="158"/>
      <c r="V297" s="7"/>
      <c r="W297" s="7"/>
      <c r="X297" s="146"/>
      <c r="Y297" s="7"/>
      <c r="Z297" s="7"/>
      <c r="AA297" s="7" t="str">
        <f>IFERROR((VLOOKUP(F297,#REF!,2,FALSE)),"-")</f>
        <v>-</v>
      </c>
      <c r="AB297" s="119" t="e">
        <f>CONCATENATE(F297," - ",I297," - ",#REF!,)</f>
        <v>#REF!</v>
      </c>
    </row>
    <row r="298" spans="1:28" s="116" customFormat="1" ht="15">
      <c r="A298" s="114"/>
      <c r="B298" s="120"/>
      <c r="C298" s="129" t="str">
        <f t="shared" si="12"/>
        <v>week-0</v>
      </c>
      <c r="D298" s="120" t="str">
        <f t="shared" si="13"/>
        <v>Jan</v>
      </c>
      <c r="E298" s="7"/>
      <c r="F298" s="7"/>
      <c r="G298" s="120"/>
      <c r="H298" s="120"/>
      <c r="I298" s="132"/>
      <c r="J298" s="118"/>
      <c r="K298" s="115"/>
      <c r="L298" s="115"/>
      <c r="M298" s="8"/>
      <c r="N298" s="8" t="str">
        <f t="shared" si="14"/>
        <v>-</v>
      </c>
      <c r="O298" s="127"/>
      <c r="P298" s="127"/>
      <c r="Q298" s="127"/>
      <c r="R298" s="126"/>
      <c r="S298" s="127"/>
      <c r="T298" s="139"/>
      <c r="U298" s="158"/>
      <c r="V298" s="7"/>
      <c r="W298" s="7"/>
      <c r="X298" s="146"/>
      <c r="Y298" s="7"/>
      <c r="Z298" s="7"/>
      <c r="AA298" s="7" t="str">
        <f>IFERROR((VLOOKUP(F298,#REF!,2,FALSE)),"-")</f>
        <v>-</v>
      </c>
      <c r="AB298" s="119" t="e">
        <f>CONCATENATE(F298," - ",I298," - ",#REF!,)</f>
        <v>#REF!</v>
      </c>
    </row>
    <row r="299" spans="1:28" s="116" customFormat="1" ht="15">
      <c r="A299" s="114"/>
      <c r="B299" s="120"/>
      <c r="C299" s="129" t="str">
        <f t="shared" si="12"/>
        <v>week-0</v>
      </c>
      <c r="D299" s="120" t="str">
        <f t="shared" si="13"/>
        <v>Jan</v>
      </c>
      <c r="E299" s="7"/>
      <c r="F299" s="7"/>
      <c r="G299" s="120"/>
      <c r="H299" s="120"/>
      <c r="I299" s="132"/>
      <c r="J299" s="118"/>
      <c r="K299" s="115"/>
      <c r="L299" s="115"/>
      <c r="M299" s="8"/>
      <c r="N299" s="8" t="str">
        <f t="shared" si="14"/>
        <v>-</v>
      </c>
      <c r="O299" s="127"/>
      <c r="P299" s="127"/>
      <c r="Q299" s="127"/>
      <c r="R299" s="127"/>
      <c r="S299" s="127"/>
      <c r="T299" s="139"/>
      <c r="U299" s="158"/>
      <c r="V299" s="7"/>
      <c r="W299" s="7"/>
      <c r="X299" s="146"/>
      <c r="Y299" s="7"/>
      <c r="Z299" s="7"/>
      <c r="AA299" s="7" t="str">
        <f>IFERROR((VLOOKUP(F299,#REF!,2,FALSE)),"-")</f>
        <v>-</v>
      </c>
      <c r="AB299" s="119" t="e">
        <f>CONCATENATE(F299," - ",I299," - ",#REF!,)</f>
        <v>#REF!</v>
      </c>
    </row>
    <row r="300" spans="1:28" s="116" customFormat="1" ht="15">
      <c r="A300" s="114"/>
      <c r="B300" s="120"/>
      <c r="C300" s="129" t="str">
        <f t="shared" si="12"/>
        <v>week-0</v>
      </c>
      <c r="D300" s="120" t="str">
        <f t="shared" si="13"/>
        <v>Jan</v>
      </c>
      <c r="E300" s="7"/>
      <c r="F300" s="7"/>
      <c r="G300" s="120"/>
      <c r="H300" s="120"/>
      <c r="I300" s="132"/>
      <c r="J300" s="118"/>
      <c r="K300" s="115"/>
      <c r="L300" s="115"/>
      <c r="M300" s="8"/>
      <c r="N300" s="8" t="str">
        <f t="shared" si="14"/>
        <v>-</v>
      </c>
      <c r="O300" s="127"/>
      <c r="P300" s="127"/>
      <c r="Q300" s="127"/>
      <c r="R300" s="126"/>
      <c r="S300" s="127"/>
      <c r="T300" s="139"/>
      <c r="U300" s="158"/>
      <c r="V300" s="7"/>
      <c r="W300" s="7"/>
      <c r="X300" s="146"/>
      <c r="Y300" s="7"/>
      <c r="Z300" s="7"/>
      <c r="AA300" s="7" t="str">
        <f>IFERROR((VLOOKUP(F300,#REF!,2,FALSE)),"-")</f>
        <v>-</v>
      </c>
      <c r="AB300" s="119" t="e">
        <f>CONCATENATE(F300," - ",I300," - ",#REF!,)</f>
        <v>#REF!</v>
      </c>
    </row>
    <row r="301" spans="1:28" s="116" customFormat="1" ht="15">
      <c r="A301" s="114"/>
      <c r="B301" s="120"/>
      <c r="C301" s="129" t="str">
        <f t="shared" si="12"/>
        <v>week-0</v>
      </c>
      <c r="D301" s="120" t="str">
        <f t="shared" si="13"/>
        <v>Jan</v>
      </c>
      <c r="E301" s="7"/>
      <c r="F301" s="7"/>
      <c r="G301" s="120"/>
      <c r="H301" s="120"/>
      <c r="I301" s="132"/>
      <c r="J301" s="118"/>
      <c r="K301" s="115"/>
      <c r="L301" s="115"/>
      <c r="M301" s="8"/>
      <c r="N301" s="8" t="str">
        <f t="shared" si="14"/>
        <v>-</v>
      </c>
      <c r="O301" s="127"/>
      <c r="P301" s="127"/>
      <c r="Q301" s="127"/>
      <c r="R301" s="127"/>
      <c r="S301" s="127"/>
      <c r="T301" s="139"/>
      <c r="U301" s="158"/>
      <c r="V301" s="7"/>
      <c r="W301" s="7"/>
      <c r="X301" s="146"/>
      <c r="Y301" s="7"/>
      <c r="Z301" s="7"/>
      <c r="AA301" s="7" t="str">
        <f>IFERROR((VLOOKUP(F301,#REF!,2,FALSE)),"-")</f>
        <v>-</v>
      </c>
      <c r="AB301" s="119" t="e">
        <f>CONCATENATE(F301," - ",I301," - ",#REF!,)</f>
        <v>#REF!</v>
      </c>
    </row>
    <row r="302" spans="1:28" s="116" customFormat="1" ht="15">
      <c r="A302" s="114"/>
      <c r="B302" s="120"/>
      <c r="C302" s="129" t="str">
        <f t="shared" si="12"/>
        <v>week-0</v>
      </c>
      <c r="D302" s="120" t="str">
        <f t="shared" si="13"/>
        <v>Jan</v>
      </c>
      <c r="E302" s="7"/>
      <c r="F302" s="7"/>
      <c r="G302" s="120"/>
      <c r="H302" s="120"/>
      <c r="I302" s="132"/>
      <c r="J302" s="118"/>
      <c r="K302" s="115"/>
      <c r="L302" s="115"/>
      <c r="M302" s="8"/>
      <c r="N302" s="8" t="str">
        <f t="shared" si="14"/>
        <v>-</v>
      </c>
      <c r="O302" s="127"/>
      <c r="P302" s="127"/>
      <c r="Q302" s="127"/>
      <c r="R302" s="127"/>
      <c r="S302" s="127"/>
      <c r="T302" s="139"/>
      <c r="U302" s="158"/>
      <c r="V302" s="7"/>
      <c r="W302" s="7"/>
      <c r="X302" s="146"/>
      <c r="Y302" s="7"/>
      <c r="Z302" s="7"/>
      <c r="AA302" s="7" t="str">
        <f>IFERROR((VLOOKUP(F302,#REF!,2,FALSE)),"-")</f>
        <v>-</v>
      </c>
      <c r="AB302" s="119" t="e">
        <f>CONCATENATE(F302," - ",I302," - ",#REF!,)</f>
        <v>#REF!</v>
      </c>
    </row>
    <row r="303" spans="1:28" s="116" customFormat="1" ht="15">
      <c r="A303" s="114"/>
      <c r="B303" s="120"/>
      <c r="C303" s="129" t="str">
        <f t="shared" si="12"/>
        <v>week-0</v>
      </c>
      <c r="D303" s="120" t="str">
        <f t="shared" si="13"/>
        <v>Jan</v>
      </c>
      <c r="E303" s="7"/>
      <c r="F303" s="7"/>
      <c r="G303" s="120"/>
      <c r="H303" s="120"/>
      <c r="I303" s="132"/>
      <c r="J303" s="118"/>
      <c r="K303" s="115"/>
      <c r="L303" s="115"/>
      <c r="M303" s="8"/>
      <c r="N303" s="8" t="str">
        <f t="shared" si="14"/>
        <v>-</v>
      </c>
      <c r="O303" s="127"/>
      <c r="P303" s="127"/>
      <c r="Q303" s="127"/>
      <c r="R303" s="127"/>
      <c r="S303" s="127"/>
      <c r="T303" s="139"/>
      <c r="U303" s="158"/>
      <c r="V303" s="7"/>
      <c r="W303" s="7"/>
      <c r="X303" s="146"/>
      <c r="Y303" s="7"/>
      <c r="Z303" s="7"/>
      <c r="AA303" s="7" t="str">
        <f>IFERROR((VLOOKUP(F303,#REF!,2,FALSE)),"-")</f>
        <v>-</v>
      </c>
      <c r="AB303" s="119" t="e">
        <f>CONCATENATE(F303," - ",I303," - ",#REF!,)</f>
        <v>#REF!</v>
      </c>
    </row>
    <row r="304" spans="1:28" s="116" customFormat="1" ht="15">
      <c r="A304" s="114"/>
      <c r="B304" s="120"/>
      <c r="C304" s="129" t="str">
        <f t="shared" si="12"/>
        <v>week-0</v>
      </c>
      <c r="D304" s="120" t="str">
        <f t="shared" si="13"/>
        <v>Jan</v>
      </c>
      <c r="E304" s="7"/>
      <c r="F304" s="7"/>
      <c r="G304" s="120"/>
      <c r="H304" s="120"/>
      <c r="I304" s="132"/>
      <c r="J304" s="118"/>
      <c r="K304" s="115"/>
      <c r="L304" s="115"/>
      <c r="M304" s="8"/>
      <c r="N304" s="8" t="str">
        <f t="shared" si="14"/>
        <v>-</v>
      </c>
      <c r="O304" s="127"/>
      <c r="P304" s="127"/>
      <c r="Q304" s="127"/>
      <c r="R304" s="126"/>
      <c r="S304" s="127"/>
      <c r="T304" s="139"/>
      <c r="U304" s="158"/>
      <c r="V304" s="7"/>
      <c r="W304" s="7"/>
      <c r="X304" s="146"/>
      <c r="Y304" s="7"/>
      <c r="Z304" s="7"/>
      <c r="AA304" s="7" t="str">
        <f>IFERROR((VLOOKUP(F304,#REF!,2,FALSE)),"-")</f>
        <v>-</v>
      </c>
      <c r="AB304" s="119" t="e">
        <f>CONCATENATE(F304," - ",I304," - ",#REF!,)</f>
        <v>#REF!</v>
      </c>
    </row>
    <row r="305" spans="1:28" s="116" customFormat="1" ht="15">
      <c r="A305" s="114"/>
      <c r="B305" s="120"/>
      <c r="C305" s="129" t="str">
        <f t="shared" si="12"/>
        <v>week-0</v>
      </c>
      <c r="D305" s="120" t="str">
        <f t="shared" si="13"/>
        <v>Jan</v>
      </c>
      <c r="E305" s="7"/>
      <c r="F305" s="7"/>
      <c r="G305" s="120"/>
      <c r="H305" s="120"/>
      <c r="I305" s="132"/>
      <c r="J305" s="118"/>
      <c r="K305" s="115"/>
      <c r="L305" s="115"/>
      <c r="M305" s="8"/>
      <c r="N305" s="8" t="str">
        <f t="shared" si="14"/>
        <v>-</v>
      </c>
      <c r="O305" s="127"/>
      <c r="P305" s="127"/>
      <c r="Q305" s="127"/>
      <c r="R305" s="127"/>
      <c r="S305" s="127"/>
      <c r="T305" s="139"/>
      <c r="U305" s="158"/>
      <c r="V305" s="7"/>
      <c r="W305" s="7"/>
      <c r="X305" s="146"/>
      <c r="Y305" s="7"/>
      <c r="Z305" s="7"/>
      <c r="AA305" s="7" t="str">
        <f>IFERROR((VLOOKUP(F305,#REF!,2,FALSE)),"-")</f>
        <v>-</v>
      </c>
      <c r="AB305" s="119" t="e">
        <f>CONCATENATE(F305," - ",I305," - ",#REF!,)</f>
        <v>#REF!</v>
      </c>
    </row>
    <row r="306" spans="1:28" s="116" customFormat="1" ht="15">
      <c r="A306" s="114"/>
      <c r="B306" s="120"/>
      <c r="C306" s="129" t="str">
        <f t="shared" si="12"/>
        <v>week-0</v>
      </c>
      <c r="D306" s="120" t="str">
        <f t="shared" si="13"/>
        <v>Jan</v>
      </c>
      <c r="E306" s="7"/>
      <c r="F306" s="7"/>
      <c r="G306" s="120"/>
      <c r="H306" s="120"/>
      <c r="I306" s="132"/>
      <c r="J306" s="118"/>
      <c r="K306" s="115"/>
      <c r="L306" s="115"/>
      <c r="M306" s="8"/>
      <c r="N306" s="8" t="str">
        <f t="shared" si="14"/>
        <v>-</v>
      </c>
      <c r="O306" s="127"/>
      <c r="P306" s="127"/>
      <c r="Q306" s="127"/>
      <c r="R306" s="126"/>
      <c r="S306" s="127"/>
      <c r="T306" s="139"/>
      <c r="U306" s="158"/>
      <c r="V306" s="7"/>
      <c r="W306" s="7"/>
      <c r="X306" s="146"/>
      <c r="Y306" s="7"/>
      <c r="Z306" s="7"/>
      <c r="AA306" s="7" t="str">
        <f>IFERROR((VLOOKUP(F306,#REF!,2,FALSE)),"-")</f>
        <v>-</v>
      </c>
      <c r="AB306" s="119" t="e">
        <f>CONCATENATE(F306," - ",I306," - ",#REF!,)</f>
        <v>#REF!</v>
      </c>
    </row>
    <row r="307" spans="1:28" s="116" customFormat="1" ht="15">
      <c r="A307" s="114"/>
      <c r="B307" s="120"/>
      <c r="C307" s="129" t="str">
        <f t="shared" si="12"/>
        <v>week-0</v>
      </c>
      <c r="D307" s="120" t="str">
        <f t="shared" si="13"/>
        <v>Jan</v>
      </c>
      <c r="E307" s="7"/>
      <c r="F307" s="7"/>
      <c r="G307" s="120"/>
      <c r="H307" s="120"/>
      <c r="I307" s="132"/>
      <c r="J307" s="118"/>
      <c r="K307" s="115"/>
      <c r="L307" s="115"/>
      <c r="M307" s="8"/>
      <c r="N307" s="8" t="str">
        <f t="shared" si="14"/>
        <v>-</v>
      </c>
      <c r="O307" s="127"/>
      <c r="P307" s="127"/>
      <c r="Q307" s="127"/>
      <c r="R307" s="126"/>
      <c r="S307" s="127"/>
      <c r="T307" s="139"/>
      <c r="U307" s="158"/>
      <c r="V307" s="7"/>
      <c r="W307" s="7"/>
      <c r="X307" s="146"/>
      <c r="Y307" s="7"/>
      <c r="Z307" s="7"/>
      <c r="AA307" s="7" t="str">
        <f>IFERROR((VLOOKUP(F307,#REF!,2,FALSE)),"-")</f>
        <v>-</v>
      </c>
      <c r="AB307" s="119" t="e">
        <f>CONCATENATE(F307," - ",I307," - ",#REF!,)</f>
        <v>#REF!</v>
      </c>
    </row>
    <row r="308" spans="1:28" s="116" customFormat="1" ht="15">
      <c r="A308" s="114"/>
      <c r="B308" s="120"/>
      <c r="C308" s="129" t="str">
        <f t="shared" si="12"/>
        <v>week-0</v>
      </c>
      <c r="D308" s="120" t="str">
        <f t="shared" si="13"/>
        <v>Jan</v>
      </c>
      <c r="E308" s="7"/>
      <c r="F308" s="7"/>
      <c r="G308" s="120"/>
      <c r="H308" s="120"/>
      <c r="I308" s="132"/>
      <c r="J308" s="118"/>
      <c r="K308" s="115"/>
      <c r="L308" s="115"/>
      <c r="M308" s="8"/>
      <c r="N308" s="8" t="str">
        <f t="shared" si="14"/>
        <v>-</v>
      </c>
      <c r="O308" s="127"/>
      <c r="P308" s="127"/>
      <c r="Q308" s="127"/>
      <c r="R308" s="127"/>
      <c r="S308" s="127"/>
      <c r="T308" s="139"/>
      <c r="U308" s="158"/>
      <c r="V308" s="7"/>
      <c r="W308" s="7"/>
      <c r="X308" s="146"/>
      <c r="Y308" s="7"/>
      <c r="Z308" s="7"/>
      <c r="AA308" s="7" t="str">
        <f>IFERROR((VLOOKUP(F308,#REF!,2,FALSE)),"-")</f>
        <v>-</v>
      </c>
      <c r="AB308" s="119" t="e">
        <f>CONCATENATE(F308," - ",I308," - ",#REF!,)</f>
        <v>#REF!</v>
      </c>
    </row>
    <row r="309" spans="1:28" s="116" customFormat="1" ht="15">
      <c r="A309" s="114"/>
      <c r="B309" s="120"/>
      <c r="C309" s="129" t="str">
        <f t="shared" si="12"/>
        <v>week-0</v>
      </c>
      <c r="D309" s="120" t="str">
        <f t="shared" si="13"/>
        <v>Jan</v>
      </c>
      <c r="E309" s="7"/>
      <c r="F309" s="7"/>
      <c r="G309" s="120"/>
      <c r="H309" s="120"/>
      <c r="I309" s="132"/>
      <c r="J309" s="118"/>
      <c r="K309" s="115"/>
      <c r="L309" s="115"/>
      <c r="M309" s="8"/>
      <c r="N309" s="8" t="str">
        <f t="shared" si="14"/>
        <v>-</v>
      </c>
      <c r="O309" s="127"/>
      <c r="P309" s="127"/>
      <c r="Q309" s="127"/>
      <c r="R309" s="127"/>
      <c r="S309" s="127"/>
      <c r="T309" s="139"/>
      <c r="U309" s="158"/>
      <c r="V309" s="7"/>
      <c r="W309" s="7"/>
      <c r="X309" s="146"/>
      <c r="Y309" s="7"/>
      <c r="Z309" s="7"/>
      <c r="AA309" s="7"/>
      <c r="AB309" s="119" t="e">
        <f>CONCATENATE(F309," - ",I309," - ",#REF!,)</f>
        <v>#REF!</v>
      </c>
    </row>
    <row r="310" spans="1:28" s="116" customFormat="1" ht="15">
      <c r="A310" s="114"/>
      <c r="B310" s="120"/>
      <c r="C310" s="129" t="str">
        <f t="shared" si="12"/>
        <v>week-0</v>
      </c>
      <c r="D310" s="120" t="str">
        <f t="shared" si="13"/>
        <v>Jan</v>
      </c>
      <c r="E310" s="7"/>
      <c r="F310" s="7"/>
      <c r="G310" s="120"/>
      <c r="H310" s="120"/>
      <c r="I310" s="179"/>
      <c r="J310" s="118"/>
      <c r="K310" s="115"/>
      <c r="L310" s="115"/>
      <c r="M310" s="8"/>
      <c r="N310" s="8" t="str">
        <f t="shared" si="14"/>
        <v>-</v>
      </c>
      <c r="O310" s="127"/>
      <c r="P310" s="127"/>
      <c r="Q310" s="127"/>
      <c r="R310" s="127"/>
      <c r="S310" s="127"/>
      <c r="T310" s="139"/>
      <c r="U310" s="158"/>
      <c r="V310" s="7"/>
      <c r="W310" s="7"/>
      <c r="X310" s="146"/>
      <c r="Y310" s="7"/>
      <c r="Z310" s="7"/>
      <c r="AA310" s="7"/>
      <c r="AB310" s="119" t="e">
        <f>CONCATENATE(F310," - ",I310," - ",#REF!,)</f>
        <v>#REF!</v>
      </c>
    </row>
    <row r="311" spans="1:28" s="116" customFormat="1" ht="15">
      <c r="A311" s="114"/>
      <c r="B311" s="120"/>
      <c r="C311" s="129" t="str">
        <f t="shared" si="12"/>
        <v>week-0</v>
      </c>
      <c r="D311" s="120" t="str">
        <f t="shared" si="13"/>
        <v>Jan</v>
      </c>
      <c r="E311" s="7"/>
      <c r="F311" s="7"/>
      <c r="G311" s="120"/>
      <c r="H311" s="120"/>
      <c r="I311" s="118"/>
      <c r="J311" s="118"/>
      <c r="K311" s="115"/>
      <c r="L311" s="115"/>
      <c r="M311" s="8"/>
      <c r="N311" s="8" t="str">
        <f t="shared" si="14"/>
        <v>-</v>
      </c>
      <c r="O311" s="127"/>
      <c r="P311" s="127"/>
      <c r="Q311" s="127"/>
      <c r="R311" s="126"/>
      <c r="S311" s="127"/>
      <c r="T311" s="139"/>
      <c r="U311" s="158"/>
      <c r="V311" s="7"/>
      <c r="W311" s="7"/>
      <c r="X311" s="146"/>
      <c r="Y311" s="7"/>
      <c r="Z311" s="7"/>
      <c r="AA311" s="7" t="str">
        <f>IFERROR((VLOOKUP(F311,#REF!,2,FALSE)),"-")</f>
        <v>-</v>
      </c>
      <c r="AB311" s="119" t="e">
        <f>CONCATENATE(F311," - ",I311," - ",#REF!,)</f>
        <v>#REF!</v>
      </c>
    </row>
    <row r="312" spans="1:28" s="116" customFormat="1" ht="15">
      <c r="A312" s="114"/>
      <c r="B312" s="120"/>
      <c r="C312" s="129" t="str">
        <f t="shared" si="12"/>
        <v>week-0</v>
      </c>
      <c r="D312" s="120" t="str">
        <f t="shared" si="13"/>
        <v>Jan</v>
      </c>
      <c r="E312" s="7"/>
      <c r="F312" s="7"/>
      <c r="G312" s="120"/>
      <c r="H312" s="120"/>
      <c r="I312" s="132"/>
      <c r="J312" s="118"/>
      <c r="K312" s="115"/>
      <c r="L312" s="115"/>
      <c r="M312" s="8"/>
      <c r="N312" s="8" t="str">
        <f t="shared" si="14"/>
        <v>-</v>
      </c>
      <c r="O312" s="127"/>
      <c r="P312" s="127"/>
      <c r="Q312" s="127"/>
      <c r="R312" s="127"/>
      <c r="S312" s="127"/>
      <c r="T312" s="139"/>
      <c r="U312" s="158"/>
      <c r="V312" s="7"/>
      <c r="W312" s="7"/>
      <c r="X312" s="146"/>
      <c r="Y312" s="7"/>
      <c r="Z312" s="7"/>
      <c r="AA312" s="7" t="str">
        <f>IFERROR((VLOOKUP(F312,#REF!,2,FALSE)),"-")</f>
        <v>-</v>
      </c>
      <c r="AB312" s="119" t="e">
        <f>CONCATENATE(F312," - ",I312," - ",#REF!,)</f>
        <v>#REF!</v>
      </c>
    </row>
    <row r="313" spans="1:28" s="116" customFormat="1" ht="15">
      <c r="A313" s="114"/>
      <c r="B313" s="120"/>
      <c r="C313" s="129" t="str">
        <f t="shared" si="12"/>
        <v>week-0</v>
      </c>
      <c r="D313" s="120" t="str">
        <f t="shared" si="13"/>
        <v>Jan</v>
      </c>
      <c r="E313" s="7"/>
      <c r="F313" s="7"/>
      <c r="G313" s="120"/>
      <c r="H313" s="120"/>
      <c r="I313" s="179"/>
      <c r="J313" s="118"/>
      <c r="K313" s="115"/>
      <c r="L313" s="115"/>
      <c r="M313" s="8"/>
      <c r="N313" s="8" t="str">
        <f t="shared" si="14"/>
        <v>-</v>
      </c>
      <c r="O313" s="127"/>
      <c r="P313" s="127"/>
      <c r="Q313" s="127"/>
      <c r="R313" s="126"/>
      <c r="S313" s="127"/>
      <c r="T313" s="139"/>
      <c r="U313" s="158"/>
      <c r="V313" s="7"/>
      <c r="W313" s="7"/>
      <c r="X313" s="146"/>
      <c r="Y313" s="7"/>
      <c r="Z313" s="7"/>
      <c r="AA313" s="7" t="str">
        <f>IFERROR((VLOOKUP(F313,#REF!,2,FALSE)),"-")</f>
        <v>-</v>
      </c>
      <c r="AB313" s="119" t="e">
        <f>CONCATENATE(F313," - ",I313," - ",#REF!,)</f>
        <v>#REF!</v>
      </c>
    </row>
    <row r="314" spans="1:28" s="116" customFormat="1" ht="15">
      <c r="A314" s="114"/>
      <c r="B314" s="120"/>
      <c r="C314" s="129" t="str">
        <f t="shared" si="12"/>
        <v>week-0</v>
      </c>
      <c r="D314" s="120" t="str">
        <f t="shared" si="13"/>
        <v>Jan</v>
      </c>
      <c r="E314" s="7"/>
      <c r="F314" s="7"/>
      <c r="G314" s="120"/>
      <c r="H314" s="120"/>
      <c r="I314" s="132"/>
      <c r="J314" s="118"/>
      <c r="K314" s="115"/>
      <c r="L314" s="115"/>
      <c r="M314" s="8"/>
      <c r="N314" s="8" t="str">
        <f t="shared" si="14"/>
        <v>-</v>
      </c>
      <c r="O314" s="127"/>
      <c r="P314" s="127"/>
      <c r="Q314" s="127"/>
      <c r="R314" s="126"/>
      <c r="S314" s="127"/>
      <c r="T314" s="139"/>
      <c r="U314" s="158"/>
      <c r="V314" s="7"/>
      <c r="W314" s="7"/>
      <c r="X314" s="146"/>
      <c r="Y314" s="7"/>
      <c r="Z314" s="7"/>
      <c r="AA314" s="7" t="str">
        <f>IFERROR((VLOOKUP(F314,#REF!,2,FALSE)),"-")</f>
        <v>-</v>
      </c>
      <c r="AB314" s="119" t="e">
        <f>CONCATENATE(F314," - ",I314," - ",#REF!,)</f>
        <v>#REF!</v>
      </c>
    </row>
    <row r="315" spans="1:28" s="116" customFormat="1" ht="15">
      <c r="A315" s="114"/>
      <c r="B315" s="120"/>
      <c r="C315" s="129" t="str">
        <f t="shared" si="12"/>
        <v>week-0</v>
      </c>
      <c r="D315" s="120" t="str">
        <f t="shared" si="13"/>
        <v>Jan</v>
      </c>
      <c r="E315" s="7"/>
      <c r="F315" s="7"/>
      <c r="G315" s="120"/>
      <c r="H315" s="120"/>
      <c r="I315" s="118"/>
      <c r="J315" s="118"/>
      <c r="K315" s="115"/>
      <c r="L315" s="115"/>
      <c r="M315" s="8"/>
      <c r="N315" s="8" t="str">
        <f t="shared" si="14"/>
        <v>-</v>
      </c>
      <c r="O315" s="127"/>
      <c r="P315" s="127"/>
      <c r="Q315" s="127"/>
      <c r="R315" s="126"/>
      <c r="S315" s="127"/>
      <c r="T315" s="139"/>
      <c r="U315" s="158"/>
      <c r="V315" s="7"/>
      <c r="W315" s="7"/>
      <c r="X315" s="146"/>
      <c r="Y315" s="7"/>
      <c r="Z315" s="7"/>
      <c r="AA315" s="7" t="str">
        <f>IFERROR((VLOOKUP(F315,#REF!,2,FALSE)),"-")</f>
        <v>-</v>
      </c>
      <c r="AB315" s="119" t="e">
        <f>CONCATENATE(F315," - ",I315," - ",#REF!,)</f>
        <v>#REF!</v>
      </c>
    </row>
    <row r="316" spans="1:28" s="116" customFormat="1" ht="15">
      <c r="A316" s="114"/>
      <c r="B316" s="120"/>
      <c r="C316" s="129" t="str">
        <f t="shared" si="12"/>
        <v>week-0</v>
      </c>
      <c r="D316" s="120" t="str">
        <f t="shared" si="13"/>
        <v>Jan</v>
      </c>
      <c r="E316" s="7"/>
      <c r="F316" s="7"/>
      <c r="G316" s="120"/>
      <c r="H316" s="120"/>
      <c r="I316" s="132"/>
      <c r="J316" s="118"/>
      <c r="K316" s="115"/>
      <c r="L316" s="115"/>
      <c r="M316" s="8"/>
      <c r="N316" s="8" t="str">
        <f t="shared" si="14"/>
        <v>-</v>
      </c>
      <c r="O316" s="127"/>
      <c r="P316" s="127"/>
      <c r="Q316" s="127"/>
      <c r="R316" s="127"/>
      <c r="S316" s="127"/>
      <c r="T316" s="139"/>
      <c r="U316" s="158"/>
      <c r="V316" s="7"/>
      <c r="W316" s="7"/>
      <c r="X316" s="146"/>
      <c r="Y316" s="7"/>
      <c r="Z316" s="7"/>
      <c r="AA316" s="7" t="str">
        <f>IFERROR((VLOOKUP(F316,#REF!,2,FALSE)),"-")</f>
        <v>-</v>
      </c>
      <c r="AB316" s="119" t="e">
        <f>CONCATENATE(F316," - ",I316," - ",#REF!,)</f>
        <v>#REF!</v>
      </c>
    </row>
    <row r="317" spans="1:28" s="116" customFormat="1" ht="26.25" customHeight="1">
      <c r="A317" s="114"/>
      <c r="B317" s="120"/>
      <c r="C317" s="129" t="str">
        <f t="shared" si="12"/>
        <v>week-0</v>
      </c>
      <c r="D317" s="120" t="str">
        <f t="shared" si="13"/>
        <v>Jan</v>
      </c>
      <c r="E317" s="7"/>
      <c r="F317" s="7"/>
      <c r="G317" s="120"/>
      <c r="H317" s="120"/>
      <c r="I317" s="132"/>
      <c r="J317" s="118"/>
      <c r="K317" s="115"/>
      <c r="L317" s="115"/>
      <c r="M317" s="8"/>
      <c r="N317" s="8" t="str">
        <f t="shared" si="14"/>
        <v>-</v>
      </c>
      <c r="O317" s="127"/>
      <c r="P317" s="127"/>
      <c r="Q317" s="127"/>
      <c r="R317" s="127"/>
      <c r="S317" s="127"/>
      <c r="T317" s="139"/>
      <c r="U317" s="187"/>
      <c r="V317" s="7"/>
      <c r="W317" s="7"/>
      <c r="X317" s="146"/>
      <c r="Y317" s="7"/>
      <c r="Z317" s="7"/>
      <c r="AA317" s="7" t="str">
        <f>IFERROR((VLOOKUP(F317,#REF!,2,FALSE)),"-")</f>
        <v>-</v>
      </c>
      <c r="AB317" s="119" t="e">
        <f>CONCATENATE(F317," - ",I317," - ",#REF!,)</f>
        <v>#REF!</v>
      </c>
    </row>
    <row r="318" spans="1:28" s="116" customFormat="1" ht="15">
      <c r="A318" s="114"/>
      <c r="B318" s="120"/>
      <c r="C318" s="129" t="str">
        <f t="shared" si="12"/>
        <v>week-0</v>
      </c>
      <c r="D318" s="120" t="str">
        <f t="shared" si="13"/>
        <v>Jan</v>
      </c>
      <c r="E318" s="7"/>
      <c r="F318" s="7"/>
      <c r="G318" s="120"/>
      <c r="H318" s="120"/>
      <c r="I318" s="118"/>
      <c r="J318" s="118"/>
      <c r="K318" s="115"/>
      <c r="L318" s="115"/>
      <c r="M318" s="8"/>
      <c r="N318" s="8" t="str">
        <f t="shared" si="14"/>
        <v>-</v>
      </c>
      <c r="O318" s="127"/>
      <c r="P318" s="127"/>
      <c r="Q318" s="127"/>
      <c r="R318" s="126"/>
      <c r="S318" s="127"/>
      <c r="T318" s="139"/>
      <c r="U318" s="158"/>
      <c r="V318" s="7"/>
      <c r="W318" s="7"/>
      <c r="X318" s="146"/>
      <c r="Y318" s="7"/>
      <c r="Z318" s="7"/>
      <c r="AA318" s="7"/>
      <c r="AB318" s="119" t="e">
        <f>CONCATENATE(F318," - ",I318," - ",#REF!,)</f>
        <v>#REF!</v>
      </c>
    </row>
    <row r="319" spans="1:28" s="116" customFormat="1" ht="15">
      <c r="A319" s="114"/>
      <c r="B319" s="120"/>
      <c r="C319" s="129" t="str">
        <f t="shared" si="12"/>
        <v>week-0</v>
      </c>
      <c r="D319" s="120" t="str">
        <f t="shared" si="13"/>
        <v>Jan</v>
      </c>
      <c r="E319" s="7"/>
      <c r="F319" s="7"/>
      <c r="G319" s="120"/>
      <c r="H319" s="120"/>
      <c r="I319" s="179"/>
      <c r="J319" s="118"/>
      <c r="K319" s="115"/>
      <c r="L319" s="115"/>
      <c r="M319" s="8"/>
      <c r="N319" s="8" t="str">
        <f t="shared" si="14"/>
        <v>-</v>
      </c>
      <c r="O319" s="127"/>
      <c r="P319" s="127"/>
      <c r="Q319" s="127"/>
      <c r="R319" s="126"/>
      <c r="S319" s="127"/>
      <c r="T319" s="139"/>
      <c r="U319" s="158"/>
      <c r="V319" s="7"/>
      <c r="W319" s="7"/>
      <c r="X319" s="146"/>
      <c r="Y319" s="7"/>
      <c r="Z319" s="7"/>
      <c r="AA319" s="7" t="str">
        <f>IFERROR((VLOOKUP(F319,#REF!,2,FALSE)),"-")</f>
        <v>-</v>
      </c>
      <c r="AB319" s="119" t="e">
        <f>CONCATENATE(F319," - ",I319," - ",#REF!,)</f>
        <v>#REF!</v>
      </c>
    </row>
    <row r="320" spans="1:28" s="116" customFormat="1" ht="15">
      <c r="A320" s="114"/>
      <c r="B320" s="120"/>
      <c r="C320" s="129" t="str">
        <f t="shared" si="12"/>
        <v>week-0</v>
      </c>
      <c r="D320" s="120" t="str">
        <f t="shared" si="13"/>
        <v>Jan</v>
      </c>
      <c r="E320" s="7"/>
      <c r="F320" s="7"/>
      <c r="G320" s="120"/>
      <c r="H320" s="120"/>
      <c r="I320" s="132"/>
      <c r="J320" s="118"/>
      <c r="K320" s="115"/>
      <c r="L320" s="115"/>
      <c r="M320" s="8"/>
      <c r="N320" s="8" t="str">
        <f t="shared" si="14"/>
        <v>-</v>
      </c>
      <c r="O320" s="127"/>
      <c r="P320" s="127"/>
      <c r="Q320" s="127"/>
      <c r="R320" s="127"/>
      <c r="S320" s="127"/>
      <c r="T320" s="139"/>
      <c r="U320" s="158"/>
      <c r="V320" s="7"/>
      <c r="W320" s="7"/>
      <c r="X320" s="146"/>
      <c r="Y320" s="7"/>
      <c r="Z320" s="7"/>
      <c r="AA320" s="7" t="str">
        <f>IFERROR((VLOOKUP(F320,#REF!,2,FALSE)),"-")</f>
        <v>-</v>
      </c>
      <c r="AB320" s="119" t="e">
        <f>CONCATENATE(F320," - ",I320," - ",#REF!,)</f>
        <v>#REF!</v>
      </c>
    </row>
    <row r="321" spans="1:28" s="116" customFormat="1" ht="15">
      <c r="A321" s="114"/>
      <c r="B321" s="120"/>
      <c r="C321" s="129" t="str">
        <f t="shared" si="12"/>
        <v>week-0</v>
      </c>
      <c r="D321" s="120" t="str">
        <f t="shared" si="13"/>
        <v>Jan</v>
      </c>
      <c r="E321" s="7"/>
      <c r="F321" s="7"/>
      <c r="G321" s="120"/>
      <c r="H321" s="120"/>
      <c r="I321" s="132"/>
      <c r="J321" s="118"/>
      <c r="K321" s="115"/>
      <c r="L321" s="115"/>
      <c r="M321" s="8"/>
      <c r="N321" s="8" t="str">
        <f t="shared" si="14"/>
        <v>-</v>
      </c>
      <c r="O321" s="127"/>
      <c r="P321" s="127"/>
      <c r="Q321" s="127"/>
      <c r="R321" s="127"/>
      <c r="S321" s="127"/>
      <c r="T321" s="139"/>
      <c r="U321" s="158"/>
      <c r="V321" s="7"/>
      <c r="W321" s="7"/>
      <c r="X321" s="146"/>
      <c r="Y321" s="7"/>
      <c r="Z321" s="7"/>
      <c r="AA321" s="7" t="str">
        <f>IFERROR((VLOOKUP(F321,#REF!,2,FALSE)),"-")</f>
        <v>-</v>
      </c>
      <c r="AB321" s="119" t="e">
        <f>CONCATENATE(F321," - ",I321," - ",#REF!,)</f>
        <v>#REF!</v>
      </c>
    </row>
    <row r="322" spans="1:28" s="116" customFormat="1" ht="15">
      <c r="A322" s="114"/>
      <c r="B322" s="120"/>
      <c r="C322" s="129" t="str">
        <f t="shared" si="12"/>
        <v>week-0</v>
      </c>
      <c r="D322" s="120" t="str">
        <f t="shared" si="13"/>
        <v>Jan</v>
      </c>
      <c r="E322" s="7"/>
      <c r="F322" s="7"/>
      <c r="G322" s="120"/>
      <c r="H322" s="120"/>
      <c r="I322" s="132"/>
      <c r="J322" s="118"/>
      <c r="K322" s="115"/>
      <c r="L322" s="115"/>
      <c r="M322" s="8"/>
      <c r="N322" s="8" t="str">
        <f t="shared" si="14"/>
        <v>-</v>
      </c>
      <c r="O322" s="127"/>
      <c r="P322" s="127"/>
      <c r="Q322" s="127"/>
      <c r="R322" s="127"/>
      <c r="S322" s="127"/>
      <c r="T322" s="139"/>
      <c r="U322" s="158"/>
      <c r="V322" s="7"/>
      <c r="W322" s="7"/>
      <c r="X322" s="146"/>
      <c r="Y322" s="7"/>
      <c r="Z322" s="7"/>
      <c r="AA322" s="7" t="str">
        <f>IFERROR((VLOOKUP(F322,#REF!,2,FALSE)),"-")</f>
        <v>-</v>
      </c>
      <c r="AB322" s="119" t="e">
        <f>CONCATENATE(F322," - ",I322," - ",#REF!,)</f>
        <v>#REF!</v>
      </c>
    </row>
    <row r="323" spans="1:28" s="116" customFormat="1" ht="15">
      <c r="A323" s="114"/>
      <c r="B323" s="120"/>
      <c r="C323" s="129" t="str">
        <f t="shared" si="12"/>
        <v>week-0</v>
      </c>
      <c r="D323" s="120" t="str">
        <f t="shared" si="13"/>
        <v>Jan</v>
      </c>
      <c r="E323" s="7"/>
      <c r="F323" s="7"/>
      <c r="G323" s="120"/>
      <c r="H323" s="120"/>
      <c r="I323" s="118"/>
      <c r="J323" s="118"/>
      <c r="K323" s="115"/>
      <c r="L323" s="115"/>
      <c r="M323" s="8"/>
      <c r="N323" s="8" t="str">
        <f t="shared" si="14"/>
        <v>-</v>
      </c>
      <c r="O323" s="127"/>
      <c r="P323" s="127"/>
      <c r="Q323" s="127"/>
      <c r="R323" s="127"/>
      <c r="S323" s="127"/>
      <c r="T323" s="139"/>
      <c r="U323" s="158"/>
      <c r="V323" s="7"/>
      <c r="W323" s="7"/>
      <c r="X323" s="146"/>
      <c r="Y323" s="7"/>
      <c r="Z323" s="7"/>
      <c r="AA323" s="7" t="str">
        <f>IFERROR((VLOOKUP(F323,#REF!,2,FALSE)),"-")</f>
        <v>-</v>
      </c>
      <c r="AB323" s="119" t="e">
        <f>CONCATENATE(F323," - ",I323," - ",#REF!,)</f>
        <v>#REF!</v>
      </c>
    </row>
    <row r="324" spans="1:28" s="116" customFormat="1" ht="15">
      <c r="A324" s="114"/>
      <c r="B324" s="120"/>
      <c r="C324" s="129" t="str">
        <f t="shared" ref="C324:C387" si="15">"week-"&amp;WEEKNUM(B324)</f>
        <v>week-0</v>
      </c>
      <c r="D324" s="120" t="str">
        <f t="shared" ref="D324:D387" si="16">TEXT(B324,"mmm")</f>
        <v>Jan</v>
      </c>
      <c r="E324" s="7"/>
      <c r="F324" s="7"/>
      <c r="G324" s="120"/>
      <c r="H324" s="120"/>
      <c r="I324" s="132"/>
      <c r="J324" s="118"/>
      <c r="K324" s="115"/>
      <c r="L324" s="115"/>
      <c r="M324" s="8"/>
      <c r="N324" s="8" t="str">
        <f t="shared" ref="N324:N387" si="17">IF(ISBLANK(M324),"-",(M324/60))</f>
        <v>-</v>
      </c>
      <c r="O324" s="127"/>
      <c r="P324" s="127"/>
      <c r="Q324" s="127"/>
      <c r="R324" s="127"/>
      <c r="S324" s="127"/>
      <c r="T324" s="139"/>
      <c r="U324" s="158"/>
      <c r="V324" s="7"/>
      <c r="W324" s="7"/>
      <c r="X324" s="146"/>
      <c r="Y324" s="7"/>
      <c r="Z324" s="7"/>
      <c r="AA324" s="7" t="str">
        <f>IFERROR((VLOOKUP(F324,#REF!,2,FALSE)),"-")</f>
        <v>-</v>
      </c>
      <c r="AB324" s="119" t="e">
        <f>CONCATENATE(F324," - ",I324," - ",#REF!,)</f>
        <v>#REF!</v>
      </c>
    </row>
    <row r="325" spans="1:28" s="116" customFormat="1" ht="15">
      <c r="A325" s="114"/>
      <c r="B325" s="120"/>
      <c r="C325" s="129" t="str">
        <f t="shared" si="15"/>
        <v>week-0</v>
      </c>
      <c r="D325" s="120" t="str">
        <f t="shared" si="16"/>
        <v>Jan</v>
      </c>
      <c r="E325" s="7"/>
      <c r="F325" s="7"/>
      <c r="G325" s="120"/>
      <c r="H325" s="120"/>
      <c r="I325" s="132"/>
      <c r="J325" s="118"/>
      <c r="K325" s="115"/>
      <c r="L325" s="115"/>
      <c r="M325" s="8"/>
      <c r="N325" s="8" t="str">
        <f t="shared" si="17"/>
        <v>-</v>
      </c>
      <c r="O325" s="127"/>
      <c r="P325" s="127"/>
      <c r="Q325" s="127"/>
      <c r="R325" s="126"/>
      <c r="S325" s="127"/>
      <c r="T325" s="139"/>
      <c r="U325" s="158"/>
      <c r="V325" s="7"/>
      <c r="W325" s="7"/>
      <c r="X325" s="146"/>
      <c r="Y325" s="7"/>
      <c r="Z325" s="7"/>
      <c r="AA325" s="7" t="str">
        <f>IFERROR((VLOOKUP(F325,#REF!,2,FALSE)),"-")</f>
        <v>-</v>
      </c>
      <c r="AB325" s="119" t="e">
        <f>CONCATENATE(F325," - ",I325," - ",#REF!,)</f>
        <v>#REF!</v>
      </c>
    </row>
    <row r="326" spans="1:28" s="116" customFormat="1" ht="15">
      <c r="A326" s="114"/>
      <c r="B326" s="120"/>
      <c r="C326" s="129" t="str">
        <f t="shared" si="15"/>
        <v>week-0</v>
      </c>
      <c r="D326" s="120" t="str">
        <f t="shared" si="16"/>
        <v>Jan</v>
      </c>
      <c r="E326" s="7"/>
      <c r="F326" s="7"/>
      <c r="G326" s="120"/>
      <c r="H326" s="120"/>
      <c r="I326" s="132"/>
      <c r="J326" s="118"/>
      <c r="K326" s="115"/>
      <c r="L326" s="115"/>
      <c r="M326" s="8"/>
      <c r="N326" s="8" t="str">
        <f t="shared" si="17"/>
        <v>-</v>
      </c>
      <c r="O326" s="127"/>
      <c r="P326" s="127"/>
      <c r="Q326" s="127"/>
      <c r="R326" s="127"/>
      <c r="S326" s="127"/>
      <c r="T326" s="139"/>
      <c r="U326" s="158"/>
      <c r="V326" s="7"/>
      <c r="W326" s="7"/>
      <c r="X326" s="146"/>
      <c r="Y326" s="7"/>
      <c r="Z326" s="7"/>
      <c r="AA326" s="7" t="str">
        <f>IFERROR((VLOOKUP(F326,#REF!,2,FALSE)),"-")</f>
        <v>-</v>
      </c>
      <c r="AB326" s="119" t="e">
        <f>CONCATENATE(F326," - ",I326," - ",#REF!,)</f>
        <v>#REF!</v>
      </c>
    </row>
    <row r="327" spans="1:28" s="116" customFormat="1" ht="15">
      <c r="A327" s="114"/>
      <c r="B327" s="120"/>
      <c r="C327" s="129" t="str">
        <f t="shared" si="15"/>
        <v>week-0</v>
      </c>
      <c r="D327" s="120" t="str">
        <f t="shared" si="16"/>
        <v>Jan</v>
      </c>
      <c r="E327" s="7"/>
      <c r="F327" s="7"/>
      <c r="G327" s="120"/>
      <c r="H327" s="120"/>
      <c r="I327" s="132"/>
      <c r="J327" s="118"/>
      <c r="K327" s="115"/>
      <c r="L327" s="115"/>
      <c r="M327" s="8"/>
      <c r="N327" s="8" t="str">
        <f t="shared" si="17"/>
        <v>-</v>
      </c>
      <c r="O327" s="127"/>
      <c r="P327" s="127"/>
      <c r="Q327" s="127"/>
      <c r="R327" s="127"/>
      <c r="S327" s="127"/>
      <c r="T327" s="139"/>
      <c r="U327" s="158"/>
      <c r="V327" s="7"/>
      <c r="W327" s="7"/>
      <c r="X327" s="146"/>
      <c r="Y327" s="7"/>
      <c r="Z327" s="7"/>
      <c r="AA327" s="7" t="str">
        <f>IFERROR((VLOOKUP(F327,#REF!,2,FALSE)),"-")</f>
        <v>-</v>
      </c>
      <c r="AB327" s="119" t="e">
        <f>CONCATENATE(F327," - ",I327," - ",#REF!,)</f>
        <v>#REF!</v>
      </c>
    </row>
    <row r="328" spans="1:28" s="116" customFormat="1" ht="15">
      <c r="A328" s="114"/>
      <c r="B328" s="120"/>
      <c r="C328" s="129" t="str">
        <f t="shared" si="15"/>
        <v>week-0</v>
      </c>
      <c r="D328" s="120" t="str">
        <f t="shared" si="16"/>
        <v>Jan</v>
      </c>
      <c r="E328" s="7"/>
      <c r="F328" s="7"/>
      <c r="G328" s="120"/>
      <c r="H328" s="120"/>
      <c r="I328" s="132"/>
      <c r="J328" s="118"/>
      <c r="K328" s="115"/>
      <c r="L328" s="115"/>
      <c r="M328" s="8"/>
      <c r="N328" s="8" t="str">
        <f t="shared" si="17"/>
        <v>-</v>
      </c>
      <c r="O328" s="127"/>
      <c r="P328" s="127"/>
      <c r="Q328" s="127"/>
      <c r="R328" s="126"/>
      <c r="S328" s="127"/>
      <c r="T328" s="139"/>
      <c r="U328" s="158"/>
      <c r="V328" s="7"/>
      <c r="W328" s="7"/>
      <c r="X328" s="146"/>
      <c r="Y328" s="7"/>
      <c r="Z328" s="7"/>
      <c r="AA328" s="7" t="str">
        <f>IFERROR((VLOOKUP(F328,#REF!,2,FALSE)),"-")</f>
        <v>-</v>
      </c>
      <c r="AB328" s="119" t="e">
        <f>CONCATENATE(F328," - ",I328," - ",#REF!,)</f>
        <v>#REF!</v>
      </c>
    </row>
    <row r="329" spans="1:28" s="116" customFormat="1" ht="15">
      <c r="A329" s="114"/>
      <c r="B329" s="120"/>
      <c r="C329" s="129" t="str">
        <f t="shared" si="15"/>
        <v>week-0</v>
      </c>
      <c r="D329" s="120" t="str">
        <f t="shared" si="16"/>
        <v>Jan</v>
      </c>
      <c r="E329" s="7"/>
      <c r="F329" s="7"/>
      <c r="G329" s="120"/>
      <c r="H329" s="120"/>
      <c r="I329" s="132"/>
      <c r="J329" s="118"/>
      <c r="K329" s="115"/>
      <c r="L329" s="115"/>
      <c r="M329" s="8"/>
      <c r="N329" s="8" t="str">
        <f t="shared" si="17"/>
        <v>-</v>
      </c>
      <c r="O329" s="127"/>
      <c r="P329" s="127"/>
      <c r="Q329" s="127"/>
      <c r="R329" s="127"/>
      <c r="S329" s="127"/>
      <c r="T329" s="139"/>
      <c r="U329" s="158"/>
      <c r="V329" s="7"/>
      <c r="W329" s="7"/>
      <c r="X329" s="146"/>
      <c r="Y329" s="7"/>
      <c r="Z329" s="7"/>
      <c r="AA329" s="7" t="str">
        <f>IFERROR((VLOOKUP(F329,#REF!,2,FALSE)),"-")</f>
        <v>-</v>
      </c>
      <c r="AB329" s="119" t="e">
        <f>CONCATENATE(F329," - ",I329," - ",#REF!,)</f>
        <v>#REF!</v>
      </c>
    </row>
    <row r="330" spans="1:28" s="116" customFormat="1" ht="15">
      <c r="A330" s="114"/>
      <c r="B330" s="120"/>
      <c r="C330" s="129" t="str">
        <f t="shared" si="15"/>
        <v>week-0</v>
      </c>
      <c r="D330" s="120" t="str">
        <f t="shared" si="16"/>
        <v>Jan</v>
      </c>
      <c r="E330" s="7"/>
      <c r="F330" s="7"/>
      <c r="G330" s="120"/>
      <c r="H330" s="120"/>
      <c r="I330" s="132"/>
      <c r="J330" s="118"/>
      <c r="K330" s="115"/>
      <c r="L330" s="115"/>
      <c r="M330" s="8"/>
      <c r="N330" s="8" t="str">
        <f t="shared" si="17"/>
        <v>-</v>
      </c>
      <c r="O330" s="127"/>
      <c r="P330" s="127"/>
      <c r="Q330" s="127"/>
      <c r="R330" s="127"/>
      <c r="S330" s="127"/>
      <c r="T330" s="139"/>
      <c r="U330" s="158"/>
      <c r="V330" s="7"/>
      <c r="W330" s="7"/>
      <c r="X330" s="146"/>
      <c r="Y330" s="7"/>
      <c r="Z330" s="7"/>
      <c r="AA330" s="7" t="str">
        <f>IFERROR((VLOOKUP(F330,#REF!,2,FALSE)),"-")</f>
        <v>-</v>
      </c>
      <c r="AB330" s="119" t="e">
        <f>CONCATENATE(F330," - ",I330," - ",#REF!,)</f>
        <v>#REF!</v>
      </c>
    </row>
    <row r="331" spans="1:28" s="116" customFormat="1" ht="15">
      <c r="A331" s="114"/>
      <c r="B331" s="120"/>
      <c r="C331" s="129" t="str">
        <f t="shared" si="15"/>
        <v>week-0</v>
      </c>
      <c r="D331" s="120" t="str">
        <f t="shared" si="16"/>
        <v>Jan</v>
      </c>
      <c r="E331" s="7"/>
      <c r="F331" s="7"/>
      <c r="G331" s="120"/>
      <c r="H331" s="120"/>
      <c r="I331" s="132"/>
      <c r="J331" s="118"/>
      <c r="K331" s="115"/>
      <c r="L331" s="115"/>
      <c r="M331" s="8"/>
      <c r="N331" s="8" t="str">
        <f t="shared" si="17"/>
        <v>-</v>
      </c>
      <c r="O331" s="127"/>
      <c r="P331" s="127"/>
      <c r="Q331" s="127"/>
      <c r="R331" s="127"/>
      <c r="S331" s="127"/>
      <c r="T331" s="139"/>
      <c r="U331" s="158"/>
      <c r="V331" s="7"/>
      <c r="W331" s="7"/>
      <c r="X331" s="146"/>
      <c r="Y331" s="7"/>
      <c r="Z331" s="7"/>
      <c r="AA331" s="7" t="str">
        <f>IFERROR((VLOOKUP(F331,#REF!,2,FALSE)),"-")</f>
        <v>-</v>
      </c>
      <c r="AB331" s="119" t="e">
        <f>CONCATENATE(F331," - ",I331," - ",#REF!,)</f>
        <v>#REF!</v>
      </c>
    </row>
    <row r="332" spans="1:28" s="116" customFormat="1" ht="15">
      <c r="A332" s="114"/>
      <c r="B332" s="120"/>
      <c r="C332" s="129" t="str">
        <f t="shared" si="15"/>
        <v>week-0</v>
      </c>
      <c r="D332" s="120" t="str">
        <f t="shared" si="16"/>
        <v>Jan</v>
      </c>
      <c r="E332" s="7"/>
      <c r="F332" s="7"/>
      <c r="G332" s="120"/>
      <c r="H332" s="120"/>
      <c r="I332" s="132"/>
      <c r="J332" s="118"/>
      <c r="K332" s="115"/>
      <c r="L332" s="115"/>
      <c r="M332" s="8"/>
      <c r="N332" s="8" t="str">
        <f t="shared" si="17"/>
        <v>-</v>
      </c>
      <c r="O332" s="127"/>
      <c r="P332" s="127"/>
      <c r="Q332" s="127"/>
      <c r="R332" s="127"/>
      <c r="S332" s="127"/>
      <c r="T332" s="139"/>
      <c r="U332" s="158"/>
      <c r="V332" s="7"/>
      <c r="W332" s="7"/>
      <c r="X332" s="146"/>
      <c r="Y332" s="7"/>
      <c r="Z332" s="7"/>
      <c r="AA332" s="7" t="str">
        <f>IFERROR((VLOOKUP(F332,#REF!,2,FALSE)),"-")</f>
        <v>-</v>
      </c>
      <c r="AB332" s="119" t="e">
        <f>CONCATENATE(F332," - ",I332," - ",#REF!,)</f>
        <v>#REF!</v>
      </c>
    </row>
    <row r="333" spans="1:28" s="116" customFormat="1" ht="15">
      <c r="A333" s="114"/>
      <c r="B333" s="120"/>
      <c r="C333" s="129" t="str">
        <f t="shared" si="15"/>
        <v>week-0</v>
      </c>
      <c r="D333" s="120" t="str">
        <f t="shared" si="16"/>
        <v>Jan</v>
      </c>
      <c r="E333" s="7"/>
      <c r="F333" s="7"/>
      <c r="G333" s="120"/>
      <c r="H333" s="120"/>
      <c r="I333" s="179"/>
      <c r="J333" s="118"/>
      <c r="K333" s="115"/>
      <c r="L333" s="115"/>
      <c r="M333" s="8"/>
      <c r="N333" s="8" t="str">
        <f t="shared" si="17"/>
        <v>-</v>
      </c>
      <c r="O333" s="127"/>
      <c r="P333" s="127"/>
      <c r="Q333" s="127"/>
      <c r="R333" s="127"/>
      <c r="S333" s="127"/>
      <c r="T333" s="139"/>
      <c r="U333" s="158"/>
      <c r="V333" s="7"/>
      <c r="W333" s="7"/>
      <c r="X333" s="146"/>
      <c r="Y333" s="7"/>
      <c r="Z333" s="7"/>
      <c r="AA333" s="7" t="str">
        <f>IFERROR((VLOOKUP(F333,#REF!,2,FALSE)),"-")</f>
        <v>-</v>
      </c>
      <c r="AB333" s="119" t="e">
        <f>CONCATENATE(F333," - ",I333," - ",#REF!,)</f>
        <v>#REF!</v>
      </c>
    </row>
    <row r="334" spans="1:28" s="116" customFormat="1" ht="15">
      <c r="A334" s="114"/>
      <c r="B334" s="120"/>
      <c r="C334" s="129" t="str">
        <f t="shared" si="15"/>
        <v>week-0</v>
      </c>
      <c r="D334" s="120" t="str">
        <f t="shared" si="16"/>
        <v>Jan</v>
      </c>
      <c r="E334" s="7"/>
      <c r="F334" s="7"/>
      <c r="G334" s="120"/>
      <c r="H334" s="120"/>
      <c r="I334" s="132"/>
      <c r="J334" s="118"/>
      <c r="K334" s="115"/>
      <c r="L334" s="115"/>
      <c r="M334" s="8"/>
      <c r="N334" s="8" t="str">
        <f t="shared" si="17"/>
        <v>-</v>
      </c>
      <c r="O334" s="127"/>
      <c r="P334" s="127"/>
      <c r="Q334" s="127"/>
      <c r="R334" s="126"/>
      <c r="S334" s="127"/>
      <c r="T334" s="139"/>
      <c r="U334" s="158"/>
      <c r="V334" s="7"/>
      <c r="W334" s="7"/>
      <c r="X334" s="146"/>
      <c r="Y334" s="7"/>
      <c r="Z334" s="7"/>
      <c r="AA334" s="7" t="str">
        <f>IFERROR((VLOOKUP(F334,#REF!,2,FALSE)),"-")</f>
        <v>-</v>
      </c>
      <c r="AB334" s="119" t="e">
        <f>CONCATENATE(F334," - ",I334," - ",#REF!,)</f>
        <v>#REF!</v>
      </c>
    </row>
    <row r="335" spans="1:28" s="116" customFormat="1" ht="15">
      <c r="A335" s="114"/>
      <c r="B335" s="120"/>
      <c r="C335" s="129" t="str">
        <f t="shared" si="15"/>
        <v>week-0</v>
      </c>
      <c r="D335" s="120" t="str">
        <f t="shared" si="16"/>
        <v>Jan</v>
      </c>
      <c r="E335" s="7"/>
      <c r="F335" s="7"/>
      <c r="G335" s="120"/>
      <c r="H335" s="120"/>
      <c r="I335" s="132"/>
      <c r="J335" s="118"/>
      <c r="K335" s="115"/>
      <c r="L335" s="115"/>
      <c r="M335" s="8"/>
      <c r="N335" s="8" t="str">
        <f t="shared" si="17"/>
        <v>-</v>
      </c>
      <c r="O335" s="127"/>
      <c r="P335" s="127"/>
      <c r="Q335" s="127"/>
      <c r="R335" s="126"/>
      <c r="S335" s="127"/>
      <c r="T335" s="139"/>
      <c r="U335" s="158"/>
      <c r="V335" s="7"/>
      <c r="W335" s="7"/>
      <c r="X335" s="146"/>
      <c r="Y335" s="7"/>
      <c r="Z335" s="7"/>
      <c r="AA335" s="7" t="str">
        <f>IFERROR((VLOOKUP(F335,#REF!,2,FALSE)),"-")</f>
        <v>-</v>
      </c>
      <c r="AB335" s="119" t="e">
        <f>CONCATENATE(F335," - ",I335," - ",#REF!,)</f>
        <v>#REF!</v>
      </c>
    </row>
    <row r="336" spans="1:28" s="116" customFormat="1" ht="15">
      <c r="A336" s="114"/>
      <c r="B336" s="120"/>
      <c r="C336" s="129" t="str">
        <f t="shared" si="15"/>
        <v>week-0</v>
      </c>
      <c r="D336" s="120" t="str">
        <f t="shared" si="16"/>
        <v>Jan</v>
      </c>
      <c r="E336" s="7"/>
      <c r="F336" s="7"/>
      <c r="G336" s="120"/>
      <c r="H336" s="120"/>
      <c r="I336" s="132"/>
      <c r="J336" s="118"/>
      <c r="K336" s="115"/>
      <c r="L336" s="115"/>
      <c r="M336" s="8"/>
      <c r="N336" s="8" t="str">
        <f t="shared" si="17"/>
        <v>-</v>
      </c>
      <c r="O336" s="127"/>
      <c r="P336" s="127"/>
      <c r="Q336" s="127"/>
      <c r="R336" s="126"/>
      <c r="S336" s="127"/>
      <c r="T336" s="139"/>
      <c r="U336" s="158"/>
      <c r="V336" s="7"/>
      <c r="W336" s="7"/>
      <c r="X336" s="146"/>
      <c r="Y336" s="7"/>
      <c r="Z336" s="7"/>
      <c r="AA336" s="7" t="str">
        <f>IFERROR((VLOOKUP(F336,#REF!,2,FALSE)),"-")</f>
        <v>-</v>
      </c>
      <c r="AB336" s="119" t="e">
        <f>CONCATENATE(F336," - ",I336," - ",#REF!,)</f>
        <v>#REF!</v>
      </c>
    </row>
    <row r="337" spans="1:28" s="116" customFormat="1" ht="15">
      <c r="A337" s="114"/>
      <c r="B337" s="120"/>
      <c r="C337" s="129" t="str">
        <f t="shared" si="15"/>
        <v>week-0</v>
      </c>
      <c r="D337" s="120" t="str">
        <f t="shared" si="16"/>
        <v>Jan</v>
      </c>
      <c r="E337" s="7"/>
      <c r="F337" s="7"/>
      <c r="G337" s="120"/>
      <c r="H337" s="120"/>
      <c r="I337" s="132"/>
      <c r="J337" s="118"/>
      <c r="K337" s="115"/>
      <c r="L337" s="115"/>
      <c r="M337" s="8"/>
      <c r="N337" s="8" t="str">
        <f t="shared" si="17"/>
        <v>-</v>
      </c>
      <c r="O337" s="127"/>
      <c r="P337" s="127"/>
      <c r="Q337" s="127"/>
      <c r="R337" s="127"/>
      <c r="S337" s="127"/>
      <c r="T337" s="139"/>
      <c r="U337" s="158"/>
      <c r="V337" s="7"/>
      <c r="W337" s="7"/>
      <c r="X337" s="146"/>
      <c r="Y337" s="7"/>
      <c r="Z337" s="7"/>
      <c r="AA337" s="7" t="str">
        <f>IFERROR((VLOOKUP(F337,#REF!,2,FALSE)),"-")</f>
        <v>-</v>
      </c>
      <c r="AB337" s="119" t="e">
        <f>CONCATENATE(F337," - ",I337," - ",#REF!,)</f>
        <v>#REF!</v>
      </c>
    </row>
    <row r="338" spans="1:28" s="116" customFormat="1" ht="15">
      <c r="A338" s="114"/>
      <c r="B338" s="120"/>
      <c r="C338" s="129" t="str">
        <f t="shared" si="15"/>
        <v>week-0</v>
      </c>
      <c r="D338" s="120" t="str">
        <f t="shared" si="16"/>
        <v>Jan</v>
      </c>
      <c r="E338" s="7"/>
      <c r="F338" s="7"/>
      <c r="G338" s="120"/>
      <c r="H338" s="120"/>
      <c r="I338" s="132"/>
      <c r="J338" s="118"/>
      <c r="K338" s="115"/>
      <c r="L338" s="115"/>
      <c r="M338" s="8"/>
      <c r="N338" s="8" t="str">
        <f t="shared" si="17"/>
        <v>-</v>
      </c>
      <c r="O338" s="127"/>
      <c r="P338" s="127"/>
      <c r="Q338" s="127"/>
      <c r="R338" s="127"/>
      <c r="S338" s="127"/>
      <c r="T338" s="139"/>
      <c r="U338" s="158"/>
      <c r="V338" s="7"/>
      <c r="W338" s="7"/>
      <c r="X338" s="146"/>
      <c r="Y338" s="7"/>
      <c r="Z338" s="7"/>
      <c r="AA338" s="7" t="str">
        <f>IFERROR((VLOOKUP(F338,#REF!,2,FALSE)),"-")</f>
        <v>-</v>
      </c>
      <c r="AB338" s="119" t="e">
        <f>CONCATENATE(F338," - ",I338," - ",#REF!,)</f>
        <v>#REF!</v>
      </c>
    </row>
    <row r="339" spans="1:28" s="116" customFormat="1" ht="15">
      <c r="A339" s="114"/>
      <c r="B339" s="120"/>
      <c r="C339" s="129" t="str">
        <f t="shared" si="15"/>
        <v>week-0</v>
      </c>
      <c r="D339" s="120" t="str">
        <f t="shared" si="16"/>
        <v>Jan</v>
      </c>
      <c r="E339" s="7"/>
      <c r="F339" s="7"/>
      <c r="G339" s="120"/>
      <c r="H339" s="120"/>
      <c r="I339" s="132"/>
      <c r="J339" s="118"/>
      <c r="K339" s="115"/>
      <c r="L339" s="115"/>
      <c r="M339" s="8"/>
      <c r="N339" s="8" t="str">
        <f t="shared" si="17"/>
        <v>-</v>
      </c>
      <c r="O339" s="127"/>
      <c r="P339" s="127"/>
      <c r="Q339" s="127"/>
      <c r="R339" s="127"/>
      <c r="S339" s="127"/>
      <c r="T339" s="139"/>
      <c r="U339" s="158"/>
      <c r="V339" s="7"/>
      <c r="W339" s="7"/>
      <c r="X339" s="146"/>
      <c r="Y339" s="7"/>
      <c r="Z339" s="7"/>
      <c r="AA339" s="7" t="str">
        <f>IFERROR((VLOOKUP(F339,#REF!,2,FALSE)),"-")</f>
        <v>-</v>
      </c>
      <c r="AB339" s="119" t="e">
        <f>CONCATENATE(F339," - ",I339," - ",#REF!,)</f>
        <v>#REF!</v>
      </c>
    </row>
    <row r="340" spans="1:28" s="116" customFormat="1" ht="15">
      <c r="A340" s="114"/>
      <c r="B340" s="120"/>
      <c r="C340" s="129" t="str">
        <f t="shared" si="15"/>
        <v>week-0</v>
      </c>
      <c r="D340" s="120" t="str">
        <f t="shared" si="16"/>
        <v>Jan</v>
      </c>
      <c r="E340" s="7"/>
      <c r="F340" s="7"/>
      <c r="G340" s="120"/>
      <c r="H340" s="120"/>
      <c r="I340" s="132"/>
      <c r="J340" s="118"/>
      <c r="K340" s="115"/>
      <c r="L340" s="115"/>
      <c r="M340" s="8"/>
      <c r="N340" s="8" t="str">
        <f t="shared" si="17"/>
        <v>-</v>
      </c>
      <c r="O340" s="127"/>
      <c r="P340" s="127"/>
      <c r="Q340" s="127"/>
      <c r="R340" s="127"/>
      <c r="S340" s="127"/>
      <c r="T340" s="139"/>
      <c r="U340" s="158"/>
      <c r="V340" s="7"/>
      <c r="W340" s="7"/>
      <c r="X340" s="146"/>
      <c r="Y340" s="7"/>
      <c r="Z340" s="7"/>
      <c r="AA340" s="7"/>
      <c r="AB340" s="119" t="e">
        <f>CONCATENATE(F340," - ",I340," - ",#REF!,)</f>
        <v>#REF!</v>
      </c>
    </row>
    <row r="341" spans="1:28" s="116" customFormat="1" ht="15">
      <c r="A341" s="114"/>
      <c r="B341" s="120"/>
      <c r="C341" s="129" t="str">
        <f t="shared" si="15"/>
        <v>week-0</v>
      </c>
      <c r="D341" s="120" t="str">
        <f t="shared" si="16"/>
        <v>Jan</v>
      </c>
      <c r="E341" s="7"/>
      <c r="F341" s="7"/>
      <c r="G341" s="120"/>
      <c r="H341" s="120"/>
      <c r="I341" s="118"/>
      <c r="J341" s="118"/>
      <c r="K341" s="115"/>
      <c r="L341" s="115"/>
      <c r="M341" s="8"/>
      <c r="N341" s="8" t="str">
        <f t="shared" si="17"/>
        <v>-</v>
      </c>
      <c r="O341" s="127"/>
      <c r="P341" s="127"/>
      <c r="Q341" s="127"/>
      <c r="R341" s="126"/>
      <c r="S341" s="127"/>
      <c r="T341" s="139"/>
      <c r="U341" s="158"/>
      <c r="V341" s="7"/>
      <c r="W341" s="7"/>
      <c r="X341" s="146"/>
      <c r="Y341" s="7"/>
      <c r="Z341" s="7"/>
      <c r="AA341" s="7" t="str">
        <f>IFERROR((VLOOKUP(F341,#REF!,2,FALSE)),"-")</f>
        <v>-</v>
      </c>
      <c r="AB341" s="119" t="e">
        <f>CONCATENATE(F341," - ",I341," - ",#REF!,)</f>
        <v>#REF!</v>
      </c>
    </row>
    <row r="342" spans="1:28" s="116" customFormat="1" ht="15">
      <c r="A342" s="114"/>
      <c r="B342" s="120"/>
      <c r="C342" s="129" t="str">
        <f t="shared" si="15"/>
        <v>week-0</v>
      </c>
      <c r="D342" s="120" t="str">
        <f t="shared" si="16"/>
        <v>Jan</v>
      </c>
      <c r="E342" s="7"/>
      <c r="F342" s="7"/>
      <c r="G342" s="120"/>
      <c r="H342" s="120"/>
      <c r="I342" s="179"/>
      <c r="J342" s="118"/>
      <c r="K342" s="115"/>
      <c r="L342" s="115"/>
      <c r="M342" s="8"/>
      <c r="N342" s="8" t="str">
        <f t="shared" si="17"/>
        <v>-</v>
      </c>
      <c r="O342" s="127"/>
      <c r="P342" s="127"/>
      <c r="Q342" s="127"/>
      <c r="R342" s="127"/>
      <c r="S342" s="127"/>
      <c r="T342" s="139"/>
      <c r="U342" s="158"/>
      <c r="V342" s="7"/>
      <c r="W342" s="7"/>
      <c r="X342" s="146"/>
      <c r="Y342" s="7"/>
      <c r="Z342" s="7"/>
      <c r="AA342" s="7" t="str">
        <f>IFERROR((VLOOKUP(F342,#REF!,2,FALSE)),"-")</f>
        <v>-</v>
      </c>
      <c r="AB342" s="119" t="e">
        <f>CONCATENATE(F342," - ",I342," - ",#REF!,)</f>
        <v>#REF!</v>
      </c>
    </row>
    <row r="343" spans="1:28" s="116" customFormat="1" ht="15">
      <c r="A343" s="114"/>
      <c r="B343" s="120"/>
      <c r="C343" s="129" t="str">
        <f t="shared" si="15"/>
        <v>week-0</v>
      </c>
      <c r="D343" s="120" t="str">
        <f t="shared" si="16"/>
        <v>Jan</v>
      </c>
      <c r="E343" s="7"/>
      <c r="F343" s="7"/>
      <c r="G343" s="120"/>
      <c r="H343" s="120"/>
      <c r="I343" s="132"/>
      <c r="J343" s="118"/>
      <c r="K343" s="115"/>
      <c r="L343" s="115"/>
      <c r="M343" s="8"/>
      <c r="N343" s="8" t="str">
        <f t="shared" si="17"/>
        <v>-</v>
      </c>
      <c r="O343" s="127"/>
      <c r="P343" s="127"/>
      <c r="Q343" s="127"/>
      <c r="R343" s="126"/>
      <c r="S343" s="127"/>
      <c r="T343" s="139"/>
      <c r="U343" s="158"/>
      <c r="V343" s="7"/>
      <c r="W343" s="7"/>
      <c r="X343" s="146"/>
      <c r="Y343" s="7"/>
      <c r="Z343" s="7"/>
      <c r="AA343" s="7" t="str">
        <f>IFERROR((VLOOKUP(F343,#REF!,2,FALSE)),"-")</f>
        <v>-</v>
      </c>
      <c r="AB343" s="119" t="e">
        <f>CONCATENATE(F343," - ",I343," - ",#REF!,)</f>
        <v>#REF!</v>
      </c>
    </row>
    <row r="344" spans="1:28" s="116" customFormat="1" ht="15">
      <c r="A344" s="114"/>
      <c r="B344" s="120"/>
      <c r="C344" s="129" t="str">
        <f t="shared" si="15"/>
        <v>week-0</v>
      </c>
      <c r="D344" s="120" t="str">
        <f t="shared" si="16"/>
        <v>Jan</v>
      </c>
      <c r="E344" s="7"/>
      <c r="F344" s="7"/>
      <c r="G344" s="120"/>
      <c r="H344" s="120"/>
      <c r="I344" s="132"/>
      <c r="J344" s="118"/>
      <c r="K344" s="115"/>
      <c r="L344" s="115"/>
      <c r="M344" s="8"/>
      <c r="N344" s="8" t="str">
        <f t="shared" si="17"/>
        <v>-</v>
      </c>
      <c r="O344" s="127"/>
      <c r="P344" s="127"/>
      <c r="Q344" s="127"/>
      <c r="R344" s="127"/>
      <c r="S344" s="127"/>
      <c r="T344" s="139"/>
      <c r="U344" s="158"/>
      <c r="V344" s="7"/>
      <c r="W344" s="7"/>
      <c r="X344" s="146"/>
      <c r="Y344" s="7"/>
      <c r="Z344" s="7"/>
      <c r="AA344" s="7" t="str">
        <f>IFERROR((VLOOKUP(F344,#REF!,2,FALSE)),"-")</f>
        <v>-</v>
      </c>
      <c r="AB344" s="119" t="e">
        <f>CONCATENATE(F344," - ",I344," - ",#REF!,)</f>
        <v>#REF!</v>
      </c>
    </row>
    <row r="345" spans="1:28" s="116" customFormat="1" ht="15">
      <c r="A345" s="114"/>
      <c r="B345" s="120"/>
      <c r="C345" s="129" t="str">
        <f t="shared" si="15"/>
        <v>week-0</v>
      </c>
      <c r="D345" s="120" t="str">
        <f t="shared" si="16"/>
        <v>Jan</v>
      </c>
      <c r="E345" s="7"/>
      <c r="F345" s="7"/>
      <c r="G345" s="120"/>
      <c r="H345" s="120"/>
      <c r="I345" s="179"/>
      <c r="J345" s="118"/>
      <c r="K345" s="115"/>
      <c r="L345" s="115"/>
      <c r="M345" s="8"/>
      <c r="N345" s="8" t="str">
        <f t="shared" si="17"/>
        <v>-</v>
      </c>
      <c r="O345" s="127"/>
      <c r="P345" s="127"/>
      <c r="Q345" s="127"/>
      <c r="R345" s="127"/>
      <c r="S345" s="127"/>
      <c r="T345" s="139"/>
      <c r="U345" s="158"/>
      <c r="V345" s="7"/>
      <c r="W345" s="7"/>
      <c r="X345" s="146"/>
      <c r="Y345" s="7"/>
      <c r="Z345" s="7"/>
      <c r="AA345" s="7" t="str">
        <f>IFERROR((VLOOKUP(F345,#REF!,2,FALSE)),"-")</f>
        <v>-</v>
      </c>
      <c r="AB345" s="119" t="e">
        <f>CONCATENATE(F345," - ",I345," - ",#REF!,)</f>
        <v>#REF!</v>
      </c>
    </row>
    <row r="346" spans="1:28" s="116" customFormat="1" ht="15">
      <c r="A346" s="114"/>
      <c r="B346" s="120"/>
      <c r="C346" s="129" t="str">
        <f t="shared" si="15"/>
        <v>week-0</v>
      </c>
      <c r="D346" s="120" t="str">
        <f t="shared" si="16"/>
        <v>Jan</v>
      </c>
      <c r="E346" s="7"/>
      <c r="F346" s="7"/>
      <c r="G346" s="120"/>
      <c r="H346" s="120"/>
      <c r="I346" s="132"/>
      <c r="J346" s="118"/>
      <c r="K346" s="115"/>
      <c r="L346" s="115"/>
      <c r="M346" s="8"/>
      <c r="N346" s="8" t="str">
        <f t="shared" si="17"/>
        <v>-</v>
      </c>
      <c r="O346" s="127"/>
      <c r="P346" s="127"/>
      <c r="Q346" s="127"/>
      <c r="R346" s="126"/>
      <c r="S346" s="127"/>
      <c r="T346" s="139"/>
      <c r="U346" s="158"/>
      <c r="V346" s="7"/>
      <c r="W346" s="7"/>
      <c r="X346" s="146"/>
      <c r="Y346" s="7"/>
      <c r="Z346" s="7"/>
      <c r="AA346" s="7" t="str">
        <f>IFERROR((VLOOKUP(F346,#REF!,2,FALSE)),"-")</f>
        <v>-</v>
      </c>
      <c r="AB346" s="119" t="e">
        <f>CONCATENATE(F346," - ",I346," - ",#REF!,)</f>
        <v>#REF!</v>
      </c>
    </row>
    <row r="347" spans="1:28" s="116" customFormat="1" ht="15">
      <c r="A347" s="114"/>
      <c r="B347" s="120"/>
      <c r="C347" s="129" t="str">
        <f t="shared" si="15"/>
        <v>week-0</v>
      </c>
      <c r="D347" s="120" t="str">
        <f t="shared" si="16"/>
        <v>Jan</v>
      </c>
      <c r="E347" s="7"/>
      <c r="F347" s="7"/>
      <c r="G347" s="120"/>
      <c r="H347" s="120"/>
      <c r="I347" s="132"/>
      <c r="J347" s="118"/>
      <c r="K347" s="115"/>
      <c r="L347" s="115"/>
      <c r="M347" s="8"/>
      <c r="N347" s="8" t="str">
        <f t="shared" si="17"/>
        <v>-</v>
      </c>
      <c r="O347" s="127"/>
      <c r="P347" s="127"/>
      <c r="Q347" s="127"/>
      <c r="R347" s="127"/>
      <c r="S347" s="127"/>
      <c r="T347" s="139"/>
      <c r="U347" s="188"/>
      <c r="V347" s="7"/>
      <c r="W347" s="7"/>
      <c r="X347" s="146"/>
      <c r="Y347" s="7"/>
      <c r="Z347" s="7"/>
      <c r="AA347" s="7" t="str">
        <f>IFERROR((VLOOKUP(F347,#REF!,2,FALSE)),"-")</f>
        <v>-</v>
      </c>
      <c r="AB347" s="119" t="e">
        <f>CONCATENATE(F347," - ",I347," - ",#REF!,)</f>
        <v>#REF!</v>
      </c>
    </row>
    <row r="348" spans="1:28" s="116" customFormat="1" ht="15">
      <c r="A348" s="114"/>
      <c r="B348" s="120"/>
      <c r="C348" s="129" t="str">
        <f t="shared" si="15"/>
        <v>week-0</v>
      </c>
      <c r="D348" s="120" t="str">
        <f t="shared" si="16"/>
        <v>Jan</v>
      </c>
      <c r="E348" s="7"/>
      <c r="F348" s="7"/>
      <c r="G348" s="120"/>
      <c r="H348" s="120"/>
      <c r="I348" s="132"/>
      <c r="J348" s="118"/>
      <c r="K348" s="115"/>
      <c r="L348" s="115"/>
      <c r="M348" s="8"/>
      <c r="N348" s="8" t="str">
        <f t="shared" si="17"/>
        <v>-</v>
      </c>
      <c r="O348" s="127"/>
      <c r="P348" s="127"/>
      <c r="Q348" s="127"/>
      <c r="R348" s="127"/>
      <c r="S348" s="127"/>
      <c r="T348" s="139"/>
      <c r="U348" s="158"/>
      <c r="V348" s="7"/>
      <c r="W348" s="7"/>
      <c r="X348" s="146"/>
      <c r="Y348" s="7"/>
      <c r="Z348" s="7"/>
      <c r="AA348" s="7" t="str">
        <f>IFERROR((VLOOKUP(F348,#REF!,2,FALSE)),"-")</f>
        <v>-</v>
      </c>
      <c r="AB348" s="119" t="e">
        <f>CONCATENATE(F348," - ",I348," - ",#REF!,)</f>
        <v>#REF!</v>
      </c>
    </row>
    <row r="349" spans="1:28" s="116" customFormat="1" ht="15">
      <c r="A349" s="114"/>
      <c r="B349" s="120"/>
      <c r="C349" s="129" t="str">
        <f t="shared" si="15"/>
        <v>week-0</v>
      </c>
      <c r="D349" s="120" t="str">
        <f t="shared" si="16"/>
        <v>Jan</v>
      </c>
      <c r="E349" s="7"/>
      <c r="F349" s="7"/>
      <c r="G349" s="120"/>
      <c r="H349" s="120"/>
      <c r="I349" s="118"/>
      <c r="J349" s="118"/>
      <c r="K349" s="115"/>
      <c r="L349" s="115"/>
      <c r="M349" s="8"/>
      <c r="N349" s="8" t="str">
        <f t="shared" si="17"/>
        <v>-</v>
      </c>
      <c r="O349" s="127"/>
      <c r="P349" s="127"/>
      <c r="Q349" s="127"/>
      <c r="R349" s="127"/>
      <c r="S349" s="127"/>
      <c r="T349" s="139"/>
      <c r="U349" s="158"/>
      <c r="V349" s="7"/>
      <c r="W349" s="7"/>
      <c r="X349" s="146"/>
      <c r="Y349" s="7"/>
      <c r="Z349" s="7"/>
      <c r="AA349" s="7" t="str">
        <f>IFERROR((VLOOKUP(F349,#REF!,2,FALSE)),"-")</f>
        <v>-</v>
      </c>
      <c r="AB349" s="119" t="e">
        <f>CONCATENATE(F349," - ",I349," - ",#REF!,)</f>
        <v>#REF!</v>
      </c>
    </row>
    <row r="350" spans="1:28" s="116" customFormat="1" ht="15">
      <c r="A350" s="114"/>
      <c r="B350" s="120"/>
      <c r="C350" s="129" t="str">
        <f t="shared" si="15"/>
        <v>week-0</v>
      </c>
      <c r="D350" s="120" t="str">
        <f t="shared" si="16"/>
        <v>Jan</v>
      </c>
      <c r="E350" s="7"/>
      <c r="F350" s="7"/>
      <c r="G350" s="120"/>
      <c r="H350" s="120"/>
      <c r="I350" s="118"/>
      <c r="J350" s="118"/>
      <c r="K350" s="115"/>
      <c r="L350" s="115"/>
      <c r="M350" s="8"/>
      <c r="N350" s="8" t="str">
        <f t="shared" si="17"/>
        <v>-</v>
      </c>
      <c r="O350" s="127"/>
      <c r="P350" s="127"/>
      <c r="Q350" s="127"/>
      <c r="R350" s="127"/>
      <c r="S350" s="127"/>
      <c r="T350" s="139"/>
      <c r="U350" s="158"/>
      <c r="V350" s="7"/>
      <c r="W350" s="7"/>
      <c r="X350" s="146"/>
      <c r="Y350" s="7"/>
      <c r="Z350" s="7"/>
      <c r="AA350" s="7" t="str">
        <f>IFERROR((VLOOKUP(F350,#REF!,2,FALSE)),"-")</f>
        <v>-</v>
      </c>
      <c r="AB350" s="119" t="e">
        <f>CONCATENATE(F350," - ",I350," - ",#REF!,)</f>
        <v>#REF!</v>
      </c>
    </row>
    <row r="351" spans="1:28" s="116" customFormat="1" ht="15">
      <c r="A351" s="114"/>
      <c r="B351" s="120"/>
      <c r="C351" s="129" t="str">
        <f t="shared" si="15"/>
        <v>week-0</v>
      </c>
      <c r="D351" s="120" t="str">
        <f t="shared" si="16"/>
        <v>Jan</v>
      </c>
      <c r="E351" s="7"/>
      <c r="F351" s="7"/>
      <c r="G351" s="120"/>
      <c r="H351" s="120"/>
      <c r="I351" s="118"/>
      <c r="J351" s="118"/>
      <c r="K351" s="115"/>
      <c r="L351" s="115"/>
      <c r="M351" s="8"/>
      <c r="N351" s="8" t="str">
        <f t="shared" si="17"/>
        <v>-</v>
      </c>
      <c r="O351" s="127"/>
      <c r="P351" s="127"/>
      <c r="Q351" s="127"/>
      <c r="R351" s="127"/>
      <c r="S351" s="127"/>
      <c r="T351" s="139"/>
      <c r="U351" s="158"/>
      <c r="V351" s="7"/>
      <c r="W351" s="7"/>
      <c r="X351" s="146"/>
      <c r="Y351" s="7"/>
      <c r="Z351" s="7"/>
      <c r="AA351" s="7" t="str">
        <f>IFERROR((VLOOKUP(F351,#REF!,2,FALSE)),"-")</f>
        <v>-</v>
      </c>
      <c r="AB351" s="119" t="e">
        <f>CONCATENATE(F351," - ",I351," - ",#REF!,)</f>
        <v>#REF!</v>
      </c>
    </row>
    <row r="352" spans="1:28" s="116" customFormat="1" ht="15">
      <c r="A352" s="114"/>
      <c r="B352" s="120"/>
      <c r="C352" s="129" t="str">
        <f t="shared" si="15"/>
        <v>week-0</v>
      </c>
      <c r="D352" s="120" t="str">
        <f t="shared" si="16"/>
        <v>Jan</v>
      </c>
      <c r="E352" s="7"/>
      <c r="F352" s="7"/>
      <c r="G352" s="120"/>
      <c r="H352" s="120"/>
      <c r="I352" s="118"/>
      <c r="J352" s="118"/>
      <c r="K352" s="115"/>
      <c r="L352" s="115"/>
      <c r="M352" s="8"/>
      <c r="N352" s="8" t="str">
        <f t="shared" si="17"/>
        <v>-</v>
      </c>
      <c r="O352" s="127"/>
      <c r="P352" s="127"/>
      <c r="Q352" s="127"/>
      <c r="R352" s="127"/>
      <c r="S352" s="127"/>
      <c r="T352" s="139"/>
      <c r="U352" s="158"/>
      <c r="V352" s="7"/>
      <c r="W352" s="7"/>
      <c r="X352" s="146"/>
      <c r="Y352" s="7"/>
      <c r="Z352" s="7"/>
      <c r="AA352" s="7" t="str">
        <f>IFERROR((VLOOKUP(F352,#REF!,2,FALSE)),"-")</f>
        <v>-</v>
      </c>
      <c r="AB352" s="119" t="e">
        <f>CONCATENATE(F352," - ",I352," - ",#REF!,)</f>
        <v>#REF!</v>
      </c>
    </row>
    <row r="353" spans="1:28" s="116" customFormat="1" ht="15">
      <c r="A353" s="114"/>
      <c r="B353" s="120"/>
      <c r="C353" s="129" t="str">
        <f t="shared" si="15"/>
        <v>week-0</v>
      </c>
      <c r="D353" s="120" t="str">
        <f t="shared" si="16"/>
        <v>Jan</v>
      </c>
      <c r="E353" s="7"/>
      <c r="F353" s="7"/>
      <c r="G353" s="120"/>
      <c r="H353" s="120"/>
      <c r="I353" s="118"/>
      <c r="J353" s="118"/>
      <c r="K353" s="115"/>
      <c r="L353" s="115"/>
      <c r="M353" s="8"/>
      <c r="N353" s="8" t="str">
        <f t="shared" si="17"/>
        <v>-</v>
      </c>
      <c r="O353" s="127"/>
      <c r="P353" s="127"/>
      <c r="Q353" s="127"/>
      <c r="R353" s="127"/>
      <c r="S353" s="127"/>
      <c r="T353" s="139"/>
      <c r="U353" s="158"/>
      <c r="V353" s="7"/>
      <c r="W353" s="7"/>
      <c r="X353" s="146"/>
      <c r="Y353" s="7"/>
      <c r="Z353" s="7"/>
      <c r="AA353" s="7" t="str">
        <f>IFERROR((VLOOKUP(F353,#REF!,2,FALSE)),"-")</f>
        <v>-</v>
      </c>
      <c r="AB353" s="119" t="e">
        <f>CONCATENATE(F353," - ",I353," - ",#REF!,)</f>
        <v>#REF!</v>
      </c>
    </row>
    <row r="354" spans="1:28" s="116" customFormat="1" ht="15">
      <c r="A354" s="114"/>
      <c r="B354" s="120"/>
      <c r="C354" s="129" t="str">
        <f t="shared" si="15"/>
        <v>week-0</v>
      </c>
      <c r="D354" s="120" t="str">
        <f t="shared" si="16"/>
        <v>Jan</v>
      </c>
      <c r="E354" s="7"/>
      <c r="F354" s="7"/>
      <c r="G354" s="120"/>
      <c r="H354" s="120"/>
      <c r="I354" s="118"/>
      <c r="J354" s="118"/>
      <c r="K354" s="115"/>
      <c r="L354" s="115"/>
      <c r="M354" s="8"/>
      <c r="N354" s="8" t="str">
        <f t="shared" si="17"/>
        <v>-</v>
      </c>
      <c r="O354" s="127"/>
      <c r="P354" s="127"/>
      <c r="Q354" s="127"/>
      <c r="R354" s="127"/>
      <c r="S354" s="127"/>
      <c r="T354" s="139"/>
      <c r="U354" s="158"/>
      <c r="V354" s="7"/>
      <c r="W354" s="7"/>
      <c r="X354" s="146"/>
      <c r="Y354" s="7"/>
      <c r="Z354" s="7"/>
      <c r="AA354" s="7" t="str">
        <f>IFERROR((VLOOKUP(F354,#REF!,2,FALSE)),"-")</f>
        <v>-</v>
      </c>
      <c r="AB354" s="119" t="e">
        <f>CONCATENATE(F354," - ",I354," - ",#REF!,)</f>
        <v>#REF!</v>
      </c>
    </row>
    <row r="355" spans="1:28" s="116" customFormat="1" ht="15">
      <c r="A355" s="114"/>
      <c r="B355" s="120"/>
      <c r="C355" s="129" t="str">
        <f t="shared" si="15"/>
        <v>week-0</v>
      </c>
      <c r="D355" s="120" t="str">
        <f t="shared" si="16"/>
        <v>Jan</v>
      </c>
      <c r="E355" s="7"/>
      <c r="F355" s="7"/>
      <c r="G355" s="120"/>
      <c r="H355" s="120"/>
      <c r="I355" s="118"/>
      <c r="J355" s="118"/>
      <c r="K355" s="115"/>
      <c r="L355" s="115"/>
      <c r="M355" s="8"/>
      <c r="N355" s="8" t="str">
        <f t="shared" si="17"/>
        <v>-</v>
      </c>
      <c r="O355" s="127"/>
      <c r="P355" s="127"/>
      <c r="Q355" s="127"/>
      <c r="R355" s="127"/>
      <c r="S355" s="127"/>
      <c r="T355" s="139"/>
      <c r="U355" s="158"/>
      <c r="V355" s="7"/>
      <c r="W355" s="7"/>
      <c r="X355" s="146"/>
      <c r="Y355" s="7"/>
      <c r="Z355" s="7"/>
      <c r="AA355" s="7" t="str">
        <f>IFERROR((VLOOKUP(F355,#REF!,2,FALSE)),"-")</f>
        <v>-</v>
      </c>
      <c r="AB355" s="119" t="e">
        <f>CONCATENATE(F355," - ",I355," - ",#REF!,)</f>
        <v>#REF!</v>
      </c>
    </row>
    <row r="356" spans="1:28" s="116" customFormat="1" ht="15">
      <c r="A356" s="114"/>
      <c r="B356" s="120"/>
      <c r="C356" s="129" t="str">
        <f t="shared" si="15"/>
        <v>week-0</v>
      </c>
      <c r="D356" s="120" t="str">
        <f t="shared" si="16"/>
        <v>Jan</v>
      </c>
      <c r="E356" s="7"/>
      <c r="F356" s="7"/>
      <c r="G356" s="120"/>
      <c r="H356" s="120"/>
      <c r="I356" s="118"/>
      <c r="J356" s="118"/>
      <c r="K356" s="115"/>
      <c r="L356" s="115"/>
      <c r="M356" s="8"/>
      <c r="N356" s="8" t="str">
        <f t="shared" si="17"/>
        <v>-</v>
      </c>
      <c r="O356" s="127"/>
      <c r="P356" s="127"/>
      <c r="Q356" s="127"/>
      <c r="R356" s="127"/>
      <c r="S356" s="127"/>
      <c r="T356" s="139"/>
      <c r="U356" s="158"/>
      <c r="V356" s="7"/>
      <c r="W356" s="7"/>
      <c r="X356" s="146"/>
      <c r="Y356" s="7"/>
      <c r="Z356" s="7"/>
      <c r="AA356" s="7" t="str">
        <f>IFERROR((VLOOKUP(F356,#REF!,2,FALSE)),"-")</f>
        <v>-</v>
      </c>
      <c r="AB356" s="119" t="e">
        <f>CONCATENATE(F356," - ",I356," - ",#REF!,)</f>
        <v>#REF!</v>
      </c>
    </row>
    <row r="357" spans="1:28" s="116" customFormat="1" ht="15">
      <c r="A357" s="114"/>
      <c r="B357" s="120"/>
      <c r="C357" s="129" t="str">
        <f t="shared" si="15"/>
        <v>week-0</v>
      </c>
      <c r="D357" s="120" t="str">
        <f t="shared" si="16"/>
        <v>Jan</v>
      </c>
      <c r="E357" s="7"/>
      <c r="F357" s="7"/>
      <c r="G357" s="120"/>
      <c r="H357" s="120"/>
      <c r="I357" s="118"/>
      <c r="J357" s="118"/>
      <c r="K357" s="115"/>
      <c r="L357" s="115"/>
      <c r="M357" s="8"/>
      <c r="N357" s="8" t="str">
        <f t="shared" si="17"/>
        <v>-</v>
      </c>
      <c r="O357" s="127"/>
      <c r="P357" s="127"/>
      <c r="Q357" s="127"/>
      <c r="R357" s="127"/>
      <c r="S357" s="127"/>
      <c r="T357" s="139"/>
      <c r="U357" s="158"/>
      <c r="V357" s="7"/>
      <c r="W357" s="7"/>
      <c r="X357" s="146"/>
      <c r="Y357" s="7"/>
      <c r="Z357" s="7"/>
      <c r="AA357" s="7" t="str">
        <f>IFERROR((VLOOKUP(F357,#REF!,2,FALSE)),"-")</f>
        <v>-</v>
      </c>
      <c r="AB357" s="119" t="e">
        <f>CONCATENATE(F357," - ",I357," - ",#REF!,)</f>
        <v>#REF!</v>
      </c>
    </row>
    <row r="358" spans="1:28" s="116" customFormat="1" ht="15">
      <c r="A358" s="114"/>
      <c r="B358" s="120"/>
      <c r="C358" s="129" t="str">
        <f t="shared" si="15"/>
        <v>week-0</v>
      </c>
      <c r="D358" s="120" t="str">
        <f t="shared" si="16"/>
        <v>Jan</v>
      </c>
      <c r="E358" s="7"/>
      <c r="F358" s="7"/>
      <c r="G358" s="120"/>
      <c r="H358" s="120"/>
      <c r="I358" s="118"/>
      <c r="J358" s="118"/>
      <c r="K358" s="115"/>
      <c r="L358" s="115"/>
      <c r="M358" s="8"/>
      <c r="N358" s="8" t="str">
        <f t="shared" si="17"/>
        <v>-</v>
      </c>
      <c r="O358" s="127"/>
      <c r="P358" s="127"/>
      <c r="Q358" s="127"/>
      <c r="R358" s="127"/>
      <c r="S358" s="127"/>
      <c r="T358" s="139"/>
      <c r="U358" s="158"/>
      <c r="V358" s="7"/>
      <c r="W358" s="7"/>
      <c r="X358" s="146"/>
      <c r="Y358" s="7"/>
      <c r="Z358" s="7"/>
      <c r="AA358" s="7" t="str">
        <f>IFERROR((VLOOKUP(F358,#REF!,2,FALSE)),"-")</f>
        <v>-</v>
      </c>
      <c r="AB358" s="119" t="e">
        <f>CONCATENATE(F358," - ",I358," - ",#REF!,)</f>
        <v>#REF!</v>
      </c>
    </row>
    <row r="359" spans="1:28" s="116" customFormat="1" ht="15">
      <c r="A359" s="114"/>
      <c r="B359" s="120"/>
      <c r="C359" s="129" t="str">
        <f t="shared" si="15"/>
        <v>week-0</v>
      </c>
      <c r="D359" s="120" t="str">
        <f t="shared" si="16"/>
        <v>Jan</v>
      </c>
      <c r="E359" s="7"/>
      <c r="F359" s="7"/>
      <c r="G359" s="120"/>
      <c r="H359" s="120"/>
      <c r="I359" s="118"/>
      <c r="J359" s="118"/>
      <c r="K359" s="115"/>
      <c r="L359" s="115"/>
      <c r="M359" s="8"/>
      <c r="N359" s="8" t="str">
        <f t="shared" si="17"/>
        <v>-</v>
      </c>
      <c r="O359" s="127"/>
      <c r="P359" s="127"/>
      <c r="Q359" s="127"/>
      <c r="R359" s="127"/>
      <c r="S359" s="127"/>
      <c r="T359" s="139"/>
      <c r="U359" s="158"/>
      <c r="V359" s="7"/>
      <c r="W359" s="7"/>
      <c r="X359" s="146"/>
      <c r="Y359" s="7"/>
      <c r="Z359" s="7"/>
      <c r="AA359" s="7" t="str">
        <f>IFERROR((VLOOKUP(F359,#REF!,2,FALSE)),"-")</f>
        <v>-</v>
      </c>
      <c r="AB359" s="119" t="e">
        <f>CONCATENATE(F359," - ",I359," - ",#REF!,)</f>
        <v>#REF!</v>
      </c>
    </row>
    <row r="360" spans="1:28" s="116" customFormat="1" ht="15">
      <c r="A360" s="114"/>
      <c r="B360" s="120"/>
      <c r="C360" s="129" t="str">
        <f t="shared" si="15"/>
        <v>week-0</v>
      </c>
      <c r="D360" s="120" t="str">
        <f t="shared" si="16"/>
        <v>Jan</v>
      </c>
      <c r="E360" s="7"/>
      <c r="F360" s="7"/>
      <c r="G360" s="120"/>
      <c r="H360" s="120"/>
      <c r="I360" s="118"/>
      <c r="J360" s="118"/>
      <c r="K360" s="115"/>
      <c r="L360" s="115"/>
      <c r="M360" s="8"/>
      <c r="N360" s="8" t="str">
        <f t="shared" si="17"/>
        <v>-</v>
      </c>
      <c r="O360" s="127"/>
      <c r="P360" s="127"/>
      <c r="Q360" s="127"/>
      <c r="R360" s="127"/>
      <c r="S360" s="127"/>
      <c r="T360" s="139"/>
      <c r="U360" s="158"/>
      <c r="V360" s="7"/>
      <c r="W360" s="7"/>
      <c r="X360" s="146"/>
      <c r="Y360" s="7"/>
      <c r="Z360" s="7"/>
      <c r="AA360" s="7" t="str">
        <f>IFERROR((VLOOKUP(F360,#REF!,2,FALSE)),"-")</f>
        <v>-</v>
      </c>
      <c r="AB360" s="119" t="e">
        <f>CONCATENATE(F360," - ",I360," - ",#REF!,)</f>
        <v>#REF!</v>
      </c>
    </row>
    <row r="361" spans="1:28" s="116" customFormat="1" ht="15">
      <c r="A361" s="114"/>
      <c r="B361" s="120"/>
      <c r="C361" s="129" t="str">
        <f t="shared" si="15"/>
        <v>week-0</v>
      </c>
      <c r="D361" s="120" t="str">
        <f t="shared" si="16"/>
        <v>Jan</v>
      </c>
      <c r="E361" s="7"/>
      <c r="F361" s="7"/>
      <c r="G361" s="120"/>
      <c r="H361" s="120"/>
      <c r="I361" s="118"/>
      <c r="J361" s="118"/>
      <c r="K361" s="115"/>
      <c r="L361" s="115"/>
      <c r="M361" s="8"/>
      <c r="N361" s="8" t="str">
        <f t="shared" si="17"/>
        <v>-</v>
      </c>
      <c r="O361" s="127"/>
      <c r="P361" s="127"/>
      <c r="Q361" s="127"/>
      <c r="R361" s="127"/>
      <c r="S361" s="127"/>
      <c r="T361" s="139"/>
      <c r="U361" s="158"/>
      <c r="V361" s="7"/>
      <c r="W361" s="7"/>
      <c r="X361" s="146"/>
      <c r="Y361" s="7"/>
      <c r="Z361" s="7"/>
      <c r="AA361" s="7" t="str">
        <f>IFERROR((VLOOKUP(F361,#REF!,2,FALSE)),"-")</f>
        <v>-</v>
      </c>
      <c r="AB361" s="119" t="e">
        <f>CONCATENATE(F361," - ",I361," - ",#REF!,)</f>
        <v>#REF!</v>
      </c>
    </row>
    <row r="362" spans="1:28" s="116" customFormat="1" ht="15">
      <c r="A362" s="114"/>
      <c r="B362" s="120"/>
      <c r="C362" s="129" t="str">
        <f t="shared" si="15"/>
        <v>week-0</v>
      </c>
      <c r="D362" s="120" t="str">
        <f t="shared" si="16"/>
        <v>Jan</v>
      </c>
      <c r="E362" s="7"/>
      <c r="F362" s="7"/>
      <c r="G362" s="120"/>
      <c r="H362" s="120"/>
      <c r="I362" s="118"/>
      <c r="J362" s="118"/>
      <c r="K362" s="115"/>
      <c r="L362" s="115"/>
      <c r="M362" s="8"/>
      <c r="N362" s="8" t="str">
        <f t="shared" si="17"/>
        <v>-</v>
      </c>
      <c r="O362" s="127"/>
      <c r="P362" s="127"/>
      <c r="Q362" s="127"/>
      <c r="R362" s="127"/>
      <c r="S362" s="127"/>
      <c r="T362" s="139"/>
      <c r="U362" s="158"/>
      <c r="V362" s="7"/>
      <c r="W362" s="7"/>
      <c r="X362" s="146"/>
      <c r="Y362" s="7"/>
      <c r="Z362" s="7"/>
      <c r="AA362" s="7" t="str">
        <f>IFERROR((VLOOKUP(F362,#REF!,2,FALSE)),"-")</f>
        <v>-</v>
      </c>
      <c r="AB362" s="119" t="e">
        <f>CONCATENATE(F362," - ",I362," - ",#REF!,)</f>
        <v>#REF!</v>
      </c>
    </row>
    <row r="363" spans="1:28" s="116" customFormat="1" ht="15">
      <c r="A363" s="114"/>
      <c r="B363" s="120"/>
      <c r="C363" s="129" t="str">
        <f t="shared" si="15"/>
        <v>week-0</v>
      </c>
      <c r="D363" s="120" t="str">
        <f t="shared" si="16"/>
        <v>Jan</v>
      </c>
      <c r="E363" s="7"/>
      <c r="F363" s="7"/>
      <c r="G363" s="120"/>
      <c r="H363" s="120"/>
      <c r="I363" s="118"/>
      <c r="J363" s="118"/>
      <c r="K363" s="115"/>
      <c r="L363" s="115"/>
      <c r="M363" s="8"/>
      <c r="N363" s="8" t="str">
        <f t="shared" si="17"/>
        <v>-</v>
      </c>
      <c r="O363" s="127"/>
      <c r="P363" s="127"/>
      <c r="Q363" s="127"/>
      <c r="R363" s="127"/>
      <c r="S363" s="127"/>
      <c r="T363" s="139"/>
      <c r="U363" s="158"/>
      <c r="V363" s="7"/>
      <c r="W363" s="7"/>
      <c r="X363" s="146"/>
      <c r="Y363" s="7"/>
      <c r="Z363" s="7"/>
      <c r="AA363" s="7" t="str">
        <f>IFERROR((VLOOKUP(F363,#REF!,2,FALSE)),"-")</f>
        <v>-</v>
      </c>
      <c r="AB363" s="119" t="e">
        <f>CONCATENATE(F363," - ",I363," - ",#REF!,)</f>
        <v>#REF!</v>
      </c>
    </row>
    <row r="364" spans="1:28" s="116" customFormat="1" ht="15">
      <c r="A364" s="114"/>
      <c r="B364" s="120"/>
      <c r="C364" s="129" t="str">
        <f t="shared" si="15"/>
        <v>week-0</v>
      </c>
      <c r="D364" s="120" t="str">
        <f t="shared" si="16"/>
        <v>Jan</v>
      </c>
      <c r="E364" s="7"/>
      <c r="F364" s="7"/>
      <c r="G364" s="120"/>
      <c r="H364" s="120"/>
      <c r="I364" s="118"/>
      <c r="J364" s="118"/>
      <c r="K364" s="115"/>
      <c r="L364" s="115"/>
      <c r="M364" s="8"/>
      <c r="N364" s="8" t="str">
        <f t="shared" si="17"/>
        <v>-</v>
      </c>
      <c r="O364" s="127"/>
      <c r="P364" s="127"/>
      <c r="Q364" s="127"/>
      <c r="R364" s="127"/>
      <c r="S364" s="127"/>
      <c r="T364" s="139"/>
      <c r="U364" s="158"/>
      <c r="V364" s="7"/>
      <c r="W364" s="7"/>
      <c r="X364" s="146"/>
      <c r="Y364" s="7"/>
      <c r="Z364" s="7"/>
      <c r="AA364" s="7" t="str">
        <f>IFERROR((VLOOKUP(F364,#REF!,2,FALSE)),"-")</f>
        <v>-</v>
      </c>
      <c r="AB364" s="119" t="e">
        <f>CONCATENATE(F364," - ",I364," - ",#REF!,)</f>
        <v>#REF!</v>
      </c>
    </row>
    <row r="365" spans="1:28" s="116" customFormat="1" ht="15">
      <c r="A365" s="114"/>
      <c r="B365" s="120"/>
      <c r="C365" s="129" t="str">
        <f t="shared" si="15"/>
        <v>week-0</v>
      </c>
      <c r="D365" s="120" t="str">
        <f t="shared" si="16"/>
        <v>Jan</v>
      </c>
      <c r="E365" s="7"/>
      <c r="F365" s="7"/>
      <c r="G365" s="120"/>
      <c r="H365" s="120"/>
      <c r="I365" s="118"/>
      <c r="J365" s="118"/>
      <c r="K365" s="115"/>
      <c r="L365" s="115"/>
      <c r="M365" s="8"/>
      <c r="N365" s="8" t="str">
        <f t="shared" si="17"/>
        <v>-</v>
      </c>
      <c r="O365" s="127"/>
      <c r="P365" s="127"/>
      <c r="Q365" s="127"/>
      <c r="R365" s="127"/>
      <c r="S365" s="127"/>
      <c r="T365" s="139"/>
      <c r="U365" s="158"/>
      <c r="V365" s="7"/>
      <c r="W365" s="7"/>
      <c r="X365" s="146"/>
      <c r="Y365" s="7"/>
      <c r="Z365" s="7"/>
      <c r="AA365" s="7" t="str">
        <f>IFERROR((VLOOKUP(F365,#REF!,2,FALSE)),"-")</f>
        <v>-</v>
      </c>
      <c r="AB365" s="119" t="e">
        <f>CONCATENATE(F365," - ",I365," - ",#REF!,)</f>
        <v>#REF!</v>
      </c>
    </row>
    <row r="366" spans="1:28" s="116" customFormat="1" ht="15">
      <c r="A366" s="114"/>
      <c r="B366" s="120"/>
      <c r="C366" s="129" t="str">
        <f t="shared" si="15"/>
        <v>week-0</v>
      </c>
      <c r="D366" s="120" t="str">
        <f t="shared" si="16"/>
        <v>Jan</v>
      </c>
      <c r="E366" s="7"/>
      <c r="F366" s="7"/>
      <c r="G366" s="120"/>
      <c r="H366" s="120"/>
      <c r="I366" s="118"/>
      <c r="J366" s="118"/>
      <c r="K366" s="115"/>
      <c r="L366" s="115"/>
      <c r="M366" s="8"/>
      <c r="N366" s="8" t="str">
        <f t="shared" si="17"/>
        <v>-</v>
      </c>
      <c r="O366" s="127"/>
      <c r="P366" s="127"/>
      <c r="Q366" s="127"/>
      <c r="R366" s="127"/>
      <c r="S366" s="127"/>
      <c r="T366" s="139"/>
      <c r="U366" s="158"/>
      <c r="V366" s="7"/>
      <c r="W366" s="7"/>
      <c r="X366" s="146"/>
      <c r="Y366" s="7"/>
      <c r="Z366" s="7"/>
      <c r="AA366" s="7" t="str">
        <f>IFERROR((VLOOKUP(F366,#REF!,2,FALSE)),"-")</f>
        <v>-</v>
      </c>
      <c r="AB366" s="119" t="e">
        <f>CONCATENATE(F366," - ",I366," - ",#REF!,)</f>
        <v>#REF!</v>
      </c>
    </row>
    <row r="367" spans="1:28" s="116" customFormat="1" ht="15">
      <c r="A367" s="114"/>
      <c r="B367" s="120"/>
      <c r="C367" s="129" t="str">
        <f t="shared" si="15"/>
        <v>week-0</v>
      </c>
      <c r="D367" s="120" t="str">
        <f t="shared" si="16"/>
        <v>Jan</v>
      </c>
      <c r="E367" s="7"/>
      <c r="F367" s="7"/>
      <c r="G367" s="120"/>
      <c r="H367" s="120"/>
      <c r="I367" s="118"/>
      <c r="J367" s="118"/>
      <c r="K367" s="115"/>
      <c r="L367" s="115"/>
      <c r="M367" s="8"/>
      <c r="N367" s="8" t="str">
        <f t="shared" si="17"/>
        <v>-</v>
      </c>
      <c r="O367" s="127"/>
      <c r="P367" s="127"/>
      <c r="Q367" s="127"/>
      <c r="R367" s="127"/>
      <c r="S367" s="127"/>
      <c r="T367" s="139"/>
      <c r="U367" s="158"/>
      <c r="V367" s="7"/>
      <c r="W367" s="7"/>
      <c r="X367" s="146"/>
      <c r="Y367" s="7"/>
      <c r="Z367" s="7"/>
      <c r="AA367" s="7" t="str">
        <f>IFERROR((VLOOKUP(F367,#REF!,2,FALSE)),"-")</f>
        <v>-</v>
      </c>
      <c r="AB367" s="119" t="e">
        <f>CONCATENATE(F367," - ",I367," - ",#REF!,)</f>
        <v>#REF!</v>
      </c>
    </row>
    <row r="368" spans="1:28" s="116" customFormat="1" ht="15">
      <c r="A368" s="114"/>
      <c r="B368" s="120"/>
      <c r="C368" s="129" t="str">
        <f t="shared" si="15"/>
        <v>week-0</v>
      </c>
      <c r="D368" s="120" t="str">
        <f t="shared" si="16"/>
        <v>Jan</v>
      </c>
      <c r="E368" s="7"/>
      <c r="F368" s="7"/>
      <c r="G368" s="120"/>
      <c r="H368" s="120"/>
      <c r="I368" s="118"/>
      <c r="J368" s="118"/>
      <c r="K368" s="115"/>
      <c r="L368" s="115"/>
      <c r="M368" s="8"/>
      <c r="N368" s="8" t="str">
        <f t="shared" si="17"/>
        <v>-</v>
      </c>
      <c r="O368" s="127"/>
      <c r="P368" s="127"/>
      <c r="Q368" s="127"/>
      <c r="R368" s="127"/>
      <c r="S368" s="127"/>
      <c r="T368" s="139"/>
      <c r="U368" s="158"/>
      <c r="V368" s="7"/>
      <c r="W368" s="7"/>
      <c r="X368" s="146"/>
      <c r="Y368" s="7"/>
      <c r="Z368" s="7"/>
      <c r="AA368" s="7" t="str">
        <f>IFERROR((VLOOKUP(F368,#REF!,2,FALSE)),"-")</f>
        <v>-</v>
      </c>
      <c r="AB368" s="119" t="e">
        <f>CONCATENATE(F368," - ",I368," - ",#REF!,)</f>
        <v>#REF!</v>
      </c>
    </row>
    <row r="369" spans="1:28" s="116" customFormat="1" ht="15">
      <c r="A369" s="114"/>
      <c r="B369" s="120"/>
      <c r="C369" s="129" t="str">
        <f t="shared" si="15"/>
        <v>week-0</v>
      </c>
      <c r="D369" s="120" t="str">
        <f t="shared" si="16"/>
        <v>Jan</v>
      </c>
      <c r="E369" s="7"/>
      <c r="F369" s="7"/>
      <c r="G369" s="120"/>
      <c r="H369" s="120"/>
      <c r="I369" s="118"/>
      <c r="J369" s="118"/>
      <c r="K369" s="115"/>
      <c r="L369" s="115"/>
      <c r="M369" s="8"/>
      <c r="N369" s="8" t="str">
        <f t="shared" si="17"/>
        <v>-</v>
      </c>
      <c r="O369" s="127"/>
      <c r="P369" s="127"/>
      <c r="Q369" s="127"/>
      <c r="R369" s="127"/>
      <c r="S369" s="127"/>
      <c r="T369" s="139"/>
      <c r="U369" s="158"/>
      <c r="V369" s="7"/>
      <c r="W369" s="7"/>
      <c r="X369" s="146"/>
      <c r="Y369" s="7"/>
      <c r="Z369" s="7"/>
      <c r="AA369" s="7"/>
      <c r="AB369" s="119" t="e">
        <f>CONCATENATE(F369," - ",I369," - ",#REF!,)</f>
        <v>#REF!</v>
      </c>
    </row>
    <row r="370" spans="1:28" s="116" customFormat="1" ht="15">
      <c r="A370" s="114"/>
      <c r="B370" s="120"/>
      <c r="C370" s="129" t="str">
        <f t="shared" si="15"/>
        <v>week-0</v>
      </c>
      <c r="D370" s="120" t="str">
        <f t="shared" si="16"/>
        <v>Jan</v>
      </c>
      <c r="E370" s="125"/>
      <c r="F370" s="7"/>
      <c r="G370" s="120"/>
      <c r="H370" s="120"/>
      <c r="I370" s="118"/>
      <c r="J370" s="118"/>
      <c r="K370" s="115"/>
      <c r="L370" s="115"/>
      <c r="M370" s="8"/>
      <c r="N370" s="8" t="str">
        <f t="shared" si="17"/>
        <v>-</v>
      </c>
      <c r="O370" s="127"/>
      <c r="P370" s="127"/>
      <c r="Q370" s="127"/>
      <c r="R370" s="127"/>
      <c r="S370" s="127"/>
      <c r="T370" s="139"/>
      <c r="U370" s="158"/>
      <c r="V370" s="7"/>
      <c r="W370" s="7"/>
      <c r="X370" s="146"/>
      <c r="Y370" s="7"/>
      <c r="Z370" s="7"/>
      <c r="AA370" s="7"/>
      <c r="AB370" s="119" t="e">
        <f>CONCATENATE(F370," - ",I370," - ",#REF!,)</f>
        <v>#REF!</v>
      </c>
    </row>
    <row r="371" spans="1:28" s="116" customFormat="1" ht="15">
      <c r="A371" s="114"/>
      <c r="B371" s="120"/>
      <c r="C371" s="129" t="str">
        <f t="shared" si="15"/>
        <v>week-0</v>
      </c>
      <c r="D371" s="120" t="str">
        <f t="shared" si="16"/>
        <v>Jan</v>
      </c>
      <c r="E371" s="125"/>
      <c r="F371" s="7"/>
      <c r="G371" s="120"/>
      <c r="H371" s="120"/>
      <c r="I371" s="118"/>
      <c r="J371" s="118"/>
      <c r="K371" s="115"/>
      <c r="L371" s="115"/>
      <c r="M371" s="8"/>
      <c r="N371" s="8" t="str">
        <f t="shared" si="17"/>
        <v>-</v>
      </c>
      <c r="O371" s="127"/>
      <c r="P371" s="127"/>
      <c r="Q371" s="127"/>
      <c r="R371" s="127"/>
      <c r="S371" s="127"/>
      <c r="T371" s="139"/>
      <c r="U371" s="158"/>
      <c r="V371" s="7"/>
      <c r="W371" s="7"/>
      <c r="X371" s="146"/>
      <c r="Y371" s="7"/>
      <c r="Z371" s="7"/>
      <c r="AA371" s="7" t="str">
        <f>IFERROR((VLOOKUP(F371,#REF!,2,FALSE)),"-")</f>
        <v>-</v>
      </c>
      <c r="AB371" s="119" t="e">
        <f>CONCATENATE(F371," - ",I371," - ",#REF!,)</f>
        <v>#REF!</v>
      </c>
    </row>
    <row r="372" spans="1:28" s="116" customFormat="1" ht="15">
      <c r="A372" s="114"/>
      <c r="B372" s="120"/>
      <c r="C372" s="129" t="str">
        <f t="shared" si="15"/>
        <v>week-0</v>
      </c>
      <c r="D372" s="120" t="str">
        <f t="shared" si="16"/>
        <v>Jan</v>
      </c>
      <c r="E372" s="7"/>
      <c r="F372" s="7"/>
      <c r="G372" s="120"/>
      <c r="H372" s="120"/>
      <c r="I372" s="118"/>
      <c r="J372" s="118"/>
      <c r="K372" s="115"/>
      <c r="L372" s="115"/>
      <c r="M372" s="8"/>
      <c r="N372" s="8" t="str">
        <f t="shared" si="17"/>
        <v>-</v>
      </c>
      <c r="O372" s="127"/>
      <c r="P372" s="127"/>
      <c r="Q372" s="127"/>
      <c r="R372" s="127"/>
      <c r="S372" s="127"/>
      <c r="T372" s="139"/>
      <c r="U372" s="158"/>
      <c r="V372" s="7"/>
      <c r="W372" s="7"/>
      <c r="X372" s="146"/>
      <c r="Y372" s="7"/>
      <c r="Z372" s="7"/>
      <c r="AA372" s="7" t="str">
        <f>IFERROR((VLOOKUP(F372,#REF!,2,FALSE)),"-")</f>
        <v>-</v>
      </c>
      <c r="AB372" s="119" t="e">
        <f>CONCATENATE(F372," - ",I372," - ",#REF!,)</f>
        <v>#REF!</v>
      </c>
    </row>
    <row r="373" spans="1:28" s="116" customFormat="1" ht="15">
      <c r="A373" s="114"/>
      <c r="B373" s="120"/>
      <c r="C373" s="129" t="str">
        <f t="shared" si="15"/>
        <v>week-0</v>
      </c>
      <c r="D373" s="120" t="str">
        <f t="shared" si="16"/>
        <v>Jan</v>
      </c>
      <c r="E373" s="7"/>
      <c r="F373" s="7"/>
      <c r="G373" s="120"/>
      <c r="H373" s="120"/>
      <c r="I373" s="118"/>
      <c r="J373" s="118"/>
      <c r="K373" s="115"/>
      <c r="L373" s="115"/>
      <c r="M373" s="8"/>
      <c r="N373" s="8" t="str">
        <f t="shared" si="17"/>
        <v>-</v>
      </c>
      <c r="O373" s="127"/>
      <c r="P373" s="127"/>
      <c r="Q373" s="127"/>
      <c r="R373" s="127"/>
      <c r="S373" s="127"/>
      <c r="T373" s="139"/>
      <c r="U373" s="158"/>
      <c r="V373" s="7"/>
      <c r="W373" s="7"/>
      <c r="X373" s="146"/>
      <c r="Y373" s="7"/>
      <c r="Z373" s="7"/>
      <c r="AA373" s="7" t="str">
        <f>IFERROR((VLOOKUP(F373,#REF!,2,FALSE)),"-")</f>
        <v>-</v>
      </c>
      <c r="AB373" s="119" t="e">
        <f>CONCATENATE(F373," - ",I373," - ",#REF!,)</f>
        <v>#REF!</v>
      </c>
    </row>
    <row r="374" spans="1:28" s="116" customFormat="1" ht="15">
      <c r="A374" s="114"/>
      <c r="B374" s="120"/>
      <c r="C374" s="129" t="str">
        <f t="shared" si="15"/>
        <v>week-0</v>
      </c>
      <c r="D374" s="120" t="str">
        <f t="shared" si="16"/>
        <v>Jan</v>
      </c>
      <c r="E374" s="7"/>
      <c r="F374" s="7"/>
      <c r="G374" s="120"/>
      <c r="H374" s="120"/>
      <c r="I374" s="118"/>
      <c r="J374" s="118"/>
      <c r="K374" s="115"/>
      <c r="L374" s="115"/>
      <c r="M374" s="8"/>
      <c r="N374" s="8" t="str">
        <f t="shared" si="17"/>
        <v>-</v>
      </c>
      <c r="O374" s="127"/>
      <c r="P374" s="127"/>
      <c r="Q374" s="127"/>
      <c r="R374" s="127"/>
      <c r="S374" s="127"/>
      <c r="T374" s="139"/>
      <c r="U374" s="158"/>
      <c r="V374" s="7"/>
      <c r="W374" s="7"/>
      <c r="X374" s="146"/>
      <c r="Y374" s="7"/>
      <c r="Z374" s="7"/>
      <c r="AA374" s="7" t="str">
        <f>IFERROR((VLOOKUP(F374,#REF!,2,FALSE)),"-")</f>
        <v>-</v>
      </c>
      <c r="AB374" s="119" t="e">
        <f>CONCATENATE(F374," - ",I374," - ",#REF!,)</f>
        <v>#REF!</v>
      </c>
    </row>
    <row r="375" spans="1:28" s="116" customFormat="1" ht="15">
      <c r="A375" s="114"/>
      <c r="B375" s="120"/>
      <c r="C375" s="129" t="str">
        <f t="shared" si="15"/>
        <v>week-0</v>
      </c>
      <c r="D375" s="120" t="str">
        <f t="shared" si="16"/>
        <v>Jan</v>
      </c>
      <c r="E375" s="7"/>
      <c r="F375" s="7"/>
      <c r="G375" s="120"/>
      <c r="H375" s="120"/>
      <c r="I375" s="118"/>
      <c r="J375" s="118"/>
      <c r="K375" s="115"/>
      <c r="L375" s="115"/>
      <c r="M375" s="8"/>
      <c r="N375" s="8" t="str">
        <f t="shared" si="17"/>
        <v>-</v>
      </c>
      <c r="O375" s="127"/>
      <c r="P375" s="127"/>
      <c r="Q375" s="127"/>
      <c r="R375" s="127"/>
      <c r="S375" s="127"/>
      <c r="T375" s="139"/>
      <c r="U375" s="158"/>
      <c r="V375" s="7"/>
      <c r="W375" s="7"/>
      <c r="X375" s="146"/>
      <c r="Y375" s="7"/>
      <c r="Z375" s="7"/>
      <c r="AA375" s="7" t="str">
        <f>IFERROR((VLOOKUP(F375,#REF!,2,FALSE)),"-")</f>
        <v>-</v>
      </c>
      <c r="AB375" s="119" t="e">
        <f>CONCATENATE(F375," - ",I375," - ",#REF!,)</f>
        <v>#REF!</v>
      </c>
    </row>
    <row r="376" spans="1:28" s="116" customFormat="1" ht="15">
      <c r="A376" s="114"/>
      <c r="B376" s="120"/>
      <c r="C376" s="129" t="str">
        <f t="shared" si="15"/>
        <v>week-0</v>
      </c>
      <c r="D376" s="120" t="str">
        <f t="shared" si="16"/>
        <v>Jan</v>
      </c>
      <c r="E376" s="7"/>
      <c r="F376" s="7"/>
      <c r="G376" s="120"/>
      <c r="H376" s="120"/>
      <c r="I376" s="118"/>
      <c r="J376" s="118"/>
      <c r="K376" s="115"/>
      <c r="L376" s="115"/>
      <c r="M376" s="8"/>
      <c r="N376" s="8" t="str">
        <f t="shared" si="17"/>
        <v>-</v>
      </c>
      <c r="O376" s="127"/>
      <c r="P376" s="127"/>
      <c r="Q376" s="127"/>
      <c r="R376" s="127"/>
      <c r="S376" s="127"/>
      <c r="T376" s="139"/>
      <c r="U376" s="158"/>
      <c r="V376" s="7"/>
      <c r="W376" s="7"/>
      <c r="X376" s="146"/>
      <c r="Y376" s="7"/>
      <c r="Z376" s="7"/>
      <c r="AA376" s="7" t="str">
        <f>IFERROR((VLOOKUP(F376,#REF!,2,FALSE)),"-")</f>
        <v>-</v>
      </c>
      <c r="AB376" s="119" t="e">
        <f>CONCATENATE(F376," - ",I376," - ",#REF!,)</f>
        <v>#REF!</v>
      </c>
    </row>
    <row r="377" spans="1:28" s="116" customFormat="1" ht="15">
      <c r="A377" s="114"/>
      <c r="B377" s="120"/>
      <c r="C377" s="129" t="str">
        <f t="shared" si="15"/>
        <v>week-0</v>
      </c>
      <c r="D377" s="120" t="str">
        <f t="shared" si="16"/>
        <v>Jan</v>
      </c>
      <c r="E377" s="7"/>
      <c r="F377" s="7"/>
      <c r="G377" s="120"/>
      <c r="H377" s="120"/>
      <c r="I377" s="118"/>
      <c r="J377" s="118"/>
      <c r="K377" s="115"/>
      <c r="L377" s="115"/>
      <c r="M377" s="8"/>
      <c r="N377" s="8" t="str">
        <f t="shared" si="17"/>
        <v>-</v>
      </c>
      <c r="O377" s="127"/>
      <c r="P377" s="127"/>
      <c r="Q377" s="127"/>
      <c r="R377" s="127"/>
      <c r="S377" s="127"/>
      <c r="T377" s="139"/>
      <c r="U377" s="158"/>
      <c r="V377" s="7"/>
      <c r="W377" s="7"/>
      <c r="X377" s="146"/>
      <c r="Y377" s="7"/>
      <c r="Z377" s="7"/>
      <c r="AA377" s="7" t="str">
        <f>IFERROR((VLOOKUP(F377,#REF!,2,FALSE)),"-")</f>
        <v>-</v>
      </c>
      <c r="AB377" s="119" t="e">
        <f>CONCATENATE(F377," - ",I377," - ",#REF!,)</f>
        <v>#REF!</v>
      </c>
    </row>
    <row r="378" spans="1:28" s="116" customFormat="1" ht="15">
      <c r="A378" s="114"/>
      <c r="B378" s="120"/>
      <c r="C378" s="129" t="str">
        <f t="shared" si="15"/>
        <v>week-0</v>
      </c>
      <c r="D378" s="120" t="str">
        <f t="shared" si="16"/>
        <v>Jan</v>
      </c>
      <c r="E378" s="7"/>
      <c r="F378" s="7"/>
      <c r="G378" s="120"/>
      <c r="H378" s="120"/>
      <c r="I378" s="118"/>
      <c r="J378" s="118"/>
      <c r="K378" s="115"/>
      <c r="L378" s="115"/>
      <c r="M378" s="8"/>
      <c r="N378" s="8" t="str">
        <f t="shared" si="17"/>
        <v>-</v>
      </c>
      <c r="O378" s="127"/>
      <c r="P378" s="127"/>
      <c r="Q378" s="127"/>
      <c r="R378" s="127"/>
      <c r="S378" s="127"/>
      <c r="T378" s="139"/>
      <c r="U378" s="158"/>
      <c r="V378" s="7"/>
      <c r="W378" s="7"/>
      <c r="X378" s="146"/>
      <c r="Y378" s="7"/>
      <c r="Z378" s="7"/>
      <c r="AA378" s="7" t="str">
        <f>IFERROR((VLOOKUP(F378,#REF!,2,FALSE)),"-")</f>
        <v>-</v>
      </c>
      <c r="AB378" s="119" t="e">
        <f>CONCATENATE(F378," - ",I378," - ",#REF!,)</f>
        <v>#REF!</v>
      </c>
    </row>
    <row r="379" spans="1:28" s="116" customFormat="1" ht="15">
      <c r="A379" s="114"/>
      <c r="B379" s="120"/>
      <c r="C379" s="129" t="str">
        <f t="shared" si="15"/>
        <v>week-0</v>
      </c>
      <c r="D379" s="120" t="str">
        <f t="shared" si="16"/>
        <v>Jan</v>
      </c>
      <c r="E379" s="7"/>
      <c r="F379" s="7"/>
      <c r="G379" s="120"/>
      <c r="H379" s="120"/>
      <c r="I379" s="118"/>
      <c r="J379" s="118"/>
      <c r="K379" s="115"/>
      <c r="L379" s="115"/>
      <c r="M379" s="8"/>
      <c r="N379" s="8" t="str">
        <f t="shared" si="17"/>
        <v>-</v>
      </c>
      <c r="O379" s="127"/>
      <c r="P379" s="127"/>
      <c r="Q379" s="127"/>
      <c r="R379" s="127"/>
      <c r="S379" s="127"/>
      <c r="T379" s="139"/>
      <c r="U379" s="158"/>
      <c r="V379" s="7"/>
      <c r="W379" s="7"/>
      <c r="X379" s="146"/>
      <c r="Y379" s="7"/>
      <c r="Z379" s="7"/>
      <c r="AA379" s="7" t="str">
        <f>IFERROR((VLOOKUP(F379,#REF!,2,FALSE)),"-")</f>
        <v>-</v>
      </c>
      <c r="AB379" s="119" t="e">
        <f>CONCATENATE(F379," - ",I379," - ",#REF!,)</f>
        <v>#REF!</v>
      </c>
    </row>
    <row r="380" spans="1:28" s="116" customFormat="1" ht="15">
      <c r="A380" s="114"/>
      <c r="B380" s="120"/>
      <c r="C380" s="129" t="str">
        <f t="shared" si="15"/>
        <v>week-0</v>
      </c>
      <c r="D380" s="120" t="str">
        <f t="shared" si="16"/>
        <v>Jan</v>
      </c>
      <c r="E380" s="7"/>
      <c r="F380" s="7"/>
      <c r="G380" s="120"/>
      <c r="H380" s="120"/>
      <c r="I380" s="118"/>
      <c r="J380" s="118"/>
      <c r="K380" s="115"/>
      <c r="L380" s="115"/>
      <c r="M380" s="8"/>
      <c r="N380" s="8" t="str">
        <f t="shared" si="17"/>
        <v>-</v>
      </c>
      <c r="O380" s="127"/>
      <c r="P380" s="127"/>
      <c r="Q380" s="127"/>
      <c r="R380" s="127"/>
      <c r="S380" s="127"/>
      <c r="T380" s="139"/>
      <c r="U380" s="158"/>
      <c r="V380" s="7"/>
      <c r="W380" s="7"/>
      <c r="X380" s="146"/>
      <c r="Y380" s="7"/>
      <c r="Z380" s="7"/>
      <c r="AA380" s="7" t="str">
        <f>IFERROR((VLOOKUP(F380,#REF!,2,FALSE)),"-")</f>
        <v>-</v>
      </c>
      <c r="AB380" s="119" t="e">
        <f>CONCATENATE(F380," - ",I380," - ",#REF!,)</f>
        <v>#REF!</v>
      </c>
    </row>
    <row r="381" spans="1:28" s="116" customFormat="1" ht="15">
      <c r="A381" s="114"/>
      <c r="B381" s="120"/>
      <c r="C381" s="129" t="str">
        <f t="shared" si="15"/>
        <v>week-0</v>
      </c>
      <c r="D381" s="120" t="str">
        <f t="shared" si="16"/>
        <v>Jan</v>
      </c>
      <c r="E381" s="7"/>
      <c r="F381" s="7"/>
      <c r="G381" s="120"/>
      <c r="H381" s="120"/>
      <c r="I381" s="118"/>
      <c r="J381" s="118"/>
      <c r="K381" s="115"/>
      <c r="L381" s="115"/>
      <c r="M381" s="8"/>
      <c r="N381" s="8" t="str">
        <f t="shared" si="17"/>
        <v>-</v>
      </c>
      <c r="O381" s="127"/>
      <c r="P381" s="127"/>
      <c r="Q381" s="127"/>
      <c r="R381" s="127"/>
      <c r="S381" s="127"/>
      <c r="T381" s="139"/>
      <c r="U381" s="158"/>
      <c r="V381" s="7"/>
      <c r="W381" s="7"/>
      <c r="X381" s="146"/>
      <c r="Y381" s="7"/>
      <c r="Z381" s="7"/>
      <c r="AA381" s="7" t="str">
        <f>IFERROR((VLOOKUP(F381,#REF!,2,FALSE)),"-")</f>
        <v>-</v>
      </c>
      <c r="AB381" s="119" t="e">
        <f>CONCATENATE(F381," - ",I381," - ",#REF!,)</f>
        <v>#REF!</v>
      </c>
    </row>
    <row r="382" spans="1:28" s="116" customFormat="1" ht="15">
      <c r="A382" s="114"/>
      <c r="B382" s="120"/>
      <c r="C382" s="129" t="str">
        <f t="shared" si="15"/>
        <v>week-0</v>
      </c>
      <c r="D382" s="120" t="str">
        <f t="shared" si="16"/>
        <v>Jan</v>
      </c>
      <c r="E382" s="7"/>
      <c r="F382" s="7"/>
      <c r="G382" s="120"/>
      <c r="H382" s="120"/>
      <c r="I382" s="118"/>
      <c r="J382" s="118"/>
      <c r="K382" s="115"/>
      <c r="L382" s="115"/>
      <c r="M382" s="8"/>
      <c r="N382" s="8" t="str">
        <f t="shared" si="17"/>
        <v>-</v>
      </c>
      <c r="O382" s="127"/>
      <c r="P382" s="127"/>
      <c r="Q382" s="127"/>
      <c r="R382" s="127"/>
      <c r="S382" s="127"/>
      <c r="T382" s="139"/>
      <c r="U382" s="158"/>
      <c r="V382" s="7"/>
      <c r="W382" s="7"/>
      <c r="X382" s="146"/>
      <c r="Y382" s="7"/>
      <c r="Z382" s="7"/>
      <c r="AA382" s="7" t="str">
        <f>IFERROR((VLOOKUP(F382,#REF!,2,FALSE)),"-")</f>
        <v>-</v>
      </c>
      <c r="AB382" s="119" t="e">
        <f>CONCATENATE(F382," - ",I382," - ",#REF!,)</f>
        <v>#REF!</v>
      </c>
    </row>
    <row r="383" spans="1:28" s="116" customFormat="1" ht="15">
      <c r="A383" s="114"/>
      <c r="B383" s="120"/>
      <c r="C383" s="129" t="str">
        <f t="shared" si="15"/>
        <v>week-0</v>
      </c>
      <c r="D383" s="120" t="str">
        <f t="shared" si="16"/>
        <v>Jan</v>
      </c>
      <c r="E383" s="7"/>
      <c r="F383" s="7"/>
      <c r="G383" s="120"/>
      <c r="H383" s="120"/>
      <c r="I383" s="118"/>
      <c r="J383" s="118"/>
      <c r="K383" s="115"/>
      <c r="L383" s="115"/>
      <c r="M383" s="8"/>
      <c r="N383" s="8" t="str">
        <f t="shared" si="17"/>
        <v>-</v>
      </c>
      <c r="O383" s="127"/>
      <c r="P383" s="127"/>
      <c r="Q383" s="127"/>
      <c r="R383" s="127"/>
      <c r="S383" s="127"/>
      <c r="T383" s="139"/>
      <c r="U383" s="158"/>
      <c r="V383" s="7"/>
      <c r="W383" s="7"/>
      <c r="X383" s="146"/>
      <c r="Y383" s="7"/>
      <c r="Z383" s="7"/>
      <c r="AA383" s="7" t="str">
        <f>IFERROR((VLOOKUP(F383,#REF!,2,FALSE)),"-")</f>
        <v>-</v>
      </c>
      <c r="AB383" s="119" t="e">
        <f>CONCATENATE(F383," - ",I383," - ",#REF!,)</f>
        <v>#REF!</v>
      </c>
    </row>
    <row r="384" spans="1:28" s="116" customFormat="1" ht="15">
      <c r="A384" s="114"/>
      <c r="B384" s="120"/>
      <c r="C384" s="129" t="str">
        <f t="shared" si="15"/>
        <v>week-0</v>
      </c>
      <c r="D384" s="120" t="str">
        <f t="shared" si="16"/>
        <v>Jan</v>
      </c>
      <c r="E384" s="7"/>
      <c r="F384" s="7"/>
      <c r="G384" s="120"/>
      <c r="H384" s="120"/>
      <c r="I384" s="118"/>
      <c r="J384" s="118"/>
      <c r="K384" s="115"/>
      <c r="L384" s="115"/>
      <c r="M384" s="8"/>
      <c r="N384" s="8" t="str">
        <f t="shared" si="17"/>
        <v>-</v>
      </c>
      <c r="O384" s="127"/>
      <c r="P384" s="127"/>
      <c r="Q384" s="127"/>
      <c r="R384" s="127"/>
      <c r="S384" s="127"/>
      <c r="T384" s="139"/>
      <c r="U384" s="158"/>
      <c r="V384" s="7"/>
      <c r="W384" s="7"/>
      <c r="X384" s="146"/>
      <c r="Y384" s="7"/>
      <c r="Z384" s="7"/>
      <c r="AA384" s="7" t="str">
        <f>IFERROR((VLOOKUP(F384,#REF!,2,FALSE)),"-")</f>
        <v>-</v>
      </c>
      <c r="AB384" s="119" t="e">
        <f>CONCATENATE(F384," - ",I384," - ",#REF!,)</f>
        <v>#REF!</v>
      </c>
    </row>
    <row r="385" spans="1:28" s="116" customFormat="1" ht="15">
      <c r="A385" s="114"/>
      <c r="B385" s="120"/>
      <c r="C385" s="129" t="str">
        <f t="shared" si="15"/>
        <v>week-0</v>
      </c>
      <c r="D385" s="120" t="str">
        <f t="shared" si="16"/>
        <v>Jan</v>
      </c>
      <c r="E385" s="7"/>
      <c r="F385" s="7"/>
      <c r="G385" s="120"/>
      <c r="H385" s="120"/>
      <c r="I385" s="118"/>
      <c r="J385" s="118"/>
      <c r="K385" s="115"/>
      <c r="L385" s="115"/>
      <c r="M385" s="8"/>
      <c r="N385" s="8" t="str">
        <f t="shared" si="17"/>
        <v>-</v>
      </c>
      <c r="O385" s="127"/>
      <c r="P385" s="127"/>
      <c r="Q385" s="127"/>
      <c r="R385" s="127"/>
      <c r="S385" s="127"/>
      <c r="T385" s="139"/>
      <c r="U385" s="158"/>
      <c r="V385" s="7"/>
      <c r="W385" s="7"/>
      <c r="X385" s="146"/>
      <c r="Y385" s="7"/>
      <c r="Z385" s="7"/>
      <c r="AA385" s="7" t="str">
        <f>IFERROR((VLOOKUP(F385,#REF!,2,FALSE)),"-")</f>
        <v>-</v>
      </c>
      <c r="AB385" s="119" t="e">
        <f>CONCATENATE(F385," - ",I385," - ",#REF!,)</f>
        <v>#REF!</v>
      </c>
    </row>
    <row r="386" spans="1:28" s="116" customFormat="1" ht="15">
      <c r="A386" s="114"/>
      <c r="B386" s="120"/>
      <c r="C386" s="129" t="str">
        <f t="shared" si="15"/>
        <v>week-0</v>
      </c>
      <c r="D386" s="120" t="str">
        <f t="shared" si="16"/>
        <v>Jan</v>
      </c>
      <c r="E386" s="7"/>
      <c r="F386" s="7"/>
      <c r="G386" s="120"/>
      <c r="H386" s="120"/>
      <c r="I386" s="118"/>
      <c r="J386" s="118"/>
      <c r="K386" s="115"/>
      <c r="L386" s="115"/>
      <c r="M386" s="8"/>
      <c r="N386" s="8" t="str">
        <f t="shared" si="17"/>
        <v>-</v>
      </c>
      <c r="O386" s="127"/>
      <c r="P386" s="127"/>
      <c r="Q386" s="127"/>
      <c r="R386" s="127"/>
      <c r="S386" s="127"/>
      <c r="T386" s="139"/>
      <c r="U386" s="158"/>
      <c r="V386" s="7"/>
      <c r="W386" s="7"/>
      <c r="X386" s="146"/>
      <c r="Y386" s="7"/>
      <c r="Z386" s="7"/>
      <c r="AA386" s="7" t="str">
        <f>IFERROR((VLOOKUP(F386,#REF!,2,FALSE)),"-")</f>
        <v>-</v>
      </c>
      <c r="AB386" s="119" t="e">
        <f>CONCATENATE(F386," - ",I386," - ",#REF!,)</f>
        <v>#REF!</v>
      </c>
    </row>
    <row r="387" spans="1:28" s="116" customFormat="1" ht="15">
      <c r="A387" s="114"/>
      <c r="B387" s="120"/>
      <c r="C387" s="129" t="str">
        <f t="shared" si="15"/>
        <v>week-0</v>
      </c>
      <c r="D387" s="120" t="str">
        <f t="shared" si="16"/>
        <v>Jan</v>
      </c>
      <c r="E387" s="7"/>
      <c r="F387" s="7"/>
      <c r="G387" s="120"/>
      <c r="H387" s="120"/>
      <c r="I387" s="118"/>
      <c r="J387" s="118"/>
      <c r="K387" s="115"/>
      <c r="L387" s="115"/>
      <c r="M387" s="8"/>
      <c r="N387" s="8" t="str">
        <f t="shared" si="17"/>
        <v>-</v>
      </c>
      <c r="O387" s="127"/>
      <c r="P387" s="127"/>
      <c r="Q387" s="127"/>
      <c r="R387" s="127"/>
      <c r="S387" s="127"/>
      <c r="T387" s="139"/>
      <c r="U387" s="158"/>
      <c r="V387" s="7"/>
      <c r="W387" s="7"/>
      <c r="X387" s="146"/>
      <c r="Y387" s="7"/>
      <c r="Z387" s="7"/>
      <c r="AA387" s="7" t="str">
        <f>IFERROR((VLOOKUP(F387,#REF!,2,FALSE)),"-")</f>
        <v>-</v>
      </c>
      <c r="AB387" s="119" t="e">
        <f>CONCATENATE(F387," - ",I387," - ",#REF!,)</f>
        <v>#REF!</v>
      </c>
    </row>
    <row r="388" spans="1:28" s="116" customFormat="1" ht="15">
      <c r="A388" s="114"/>
      <c r="B388" s="120"/>
      <c r="C388" s="129" t="str">
        <f t="shared" ref="C388:C451" si="18">"week-"&amp;WEEKNUM(B388)</f>
        <v>week-0</v>
      </c>
      <c r="D388" s="120" t="str">
        <f t="shared" ref="D388:D451" si="19">TEXT(B388,"mmm")</f>
        <v>Jan</v>
      </c>
      <c r="E388" s="7"/>
      <c r="F388" s="7"/>
      <c r="G388" s="120"/>
      <c r="H388" s="120"/>
      <c r="I388" s="118"/>
      <c r="J388" s="118"/>
      <c r="K388" s="115"/>
      <c r="L388" s="115"/>
      <c r="M388" s="8"/>
      <c r="N388" s="8" t="str">
        <f t="shared" ref="N388:N451" si="20">IF(ISBLANK(M388),"-",(M388/60))</f>
        <v>-</v>
      </c>
      <c r="O388" s="127"/>
      <c r="P388" s="127"/>
      <c r="Q388" s="127"/>
      <c r="R388" s="127"/>
      <c r="S388" s="127"/>
      <c r="T388" s="139"/>
      <c r="U388" s="158"/>
      <c r="V388" s="7"/>
      <c r="W388" s="7"/>
      <c r="X388" s="146"/>
      <c r="Y388" s="7"/>
      <c r="Z388" s="7"/>
      <c r="AA388" s="7" t="str">
        <f>IFERROR((VLOOKUP(F388,#REF!,2,FALSE)),"-")</f>
        <v>-</v>
      </c>
      <c r="AB388" s="119" t="e">
        <f>CONCATENATE(F388," - ",I388," - ",#REF!,)</f>
        <v>#REF!</v>
      </c>
    </row>
    <row r="389" spans="1:28" s="116" customFormat="1" ht="15">
      <c r="A389" s="114"/>
      <c r="B389" s="120"/>
      <c r="C389" s="129" t="str">
        <f t="shared" si="18"/>
        <v>week-0</v>
      </c>
      <c r="D389" s="120" t="str">
        <f t="shared" si="19"/>
        <v>Jan</v>
      </c>
      <c r="E389" s="7"/>
      <c r="F389" s="7"/>
      <c r="G389" s="120"/>
      <c r="H389" s="120"/>
      <c r="I389" s="118"/>
      <c r="J389" s="118"/>
      <c r="K389" s="115"/>
      <c r="L389" s="115"/>
      <c r="M389" s="8"/>
      <c r="N389" s="8" t="str">
        <f t="shared" si="20"/>
        <v>-</v>
      </c>
      <c r="O389" s="127"/>
      <c r="P389" s="127"/>
      <c r="Q389" s="127"/>
      <c r="R389" s="127"/>
      <c r="S389" s="127"/>
      <c r="T389" s="139"/>
      <c r="U389" s="158"/>
      <c r="V389" s="7"/>
      <c r="W389" s="7"/>
      <c r="X389" s="146"/>
      <c r="Y389" s="7"/>
      <c r="Z389" s="7"/>
      <c r="AA389" s="7" t="str">
        <f>IFERROR((VLOOKUP(F389,#REF!,2,FALSE)),"-")</f>
        <v>-</v>
      </c>
      <c r="AB389" s="119" t="e">
        <f>CONCATENATE(F389," - ",I389," - ",#REF!,)</f>
        <v>#REF!</v>
      </c>
    </row>
    <row r="390" spans="1:28" s="116" customFormat="1" ht="15">
      <c r="A390" s="114"/>
      <c r="B390" s="120"/>
      <c r="C390" s="129" t="str">
        <f t="shared" si="18"/>
        <v>week-0</v>
      </c>
      <c r="D390" s="120" t="str">
        <f t="shared" si="19"/>
        <v>Jan</v>
      </c>
      <c r="E390" s="7"/>
      <c r="F390" s="7"/>
      <c r="G390" s="120"/>
      <c r="H390" s="120"/>
      <c r="I390" s="118"/>
      <c r="J390" s="118"/>
      <c r="K390" s="115"/>
      <c r="L390" s="115"/>
      <c r="M390" s="8"/>
      <c r="N390" s="8" t="str">
        <f t="shared" si="20"/>
        <v>-</v>
      </c>
      <c r="O390" s="127"/>
      <c r="P390" s="127"/>
      <c r="Q390" s="127"/>
      <c r="R390" s="127"/>
      <c r="S390" s="127"/>
      <c r="T390" s="139"/>
      <c r="U390" s="158"/>
      <c r="V390" s="7"/>
      <c r="W390" s="7"/>
      <c r="X390" s="146"/>
      <c r="Y390" s="7"/>
      <c r="Z390" s="7"/>
      <c r="AA390" s="7" t="str">
        <f>IFERROR((VLOOKUP(F390,#REF!,2,FALSE)),"-")</f>
        <v>-</v>
      </c>
      <c r="AB390" s="119" t="e">
        <f>CONCATENATE(F390," - ",I390," - ",#REF!,)</f>
        <v>#REF!</v>
      </c>
    </row>
    <row r="391" spans="1:28" s="116" customFormat="1" ht="15">
      <c r="A391" s="114"/>
      <c r="B391" s="120"/>
      <c r="C391" s="129" t="str">
        <f t="shared" si="18"/>
        <v>week-0</v>
      </c>
      <c r="D391" s="120" t="str">
        <f t="shared" si="19"/>
        <v>Jan</v>
      </c>
      <c r="E391" s="7"/>
      <c r="F391" s="7"/>
      <c r="G391" s="120"/>
      <c r="H391" s="120"/>
      <c r="I391" s="118"/>
      <c r="J391" s="118"/>
      <c r="K391" s="115"/>
      <c r="L391" s="115"/>
      <c r="M391" s="8"/>
      <c r="N391" s="8" t="str">
        <f t="shared" si="20"/>
        <v>-</v>
      </c>
      <c r="O391" s="127"/>
      <c r="P391" s="127"/>
      <c r="Q391" s="127"/>
      <c r="R391" s="127"/>
      <c r="S391" s="127"/>
      <c r="T391" s="139"/>
      <c r="U391" s="158"/>
      <c r="V391" s="7"/>
      <c r="W391" s="7"/>
      <c r="X391" s="146"/>
      <c r="Y391" s="7"/>
      <c r="Z391" s="7"/>
      <c r="AA391" s="7" t="str">
        <f>IFERROR((VLOOKUP(F391,#REF!,2,FALSE)),"-")</f>
        <v>-</v>
      </c>
      <c r="AB391" s="119" t="e">
        <f>CONCATENATE(F391," - ",I391," - ",#REF!,)</f>
        <v>#REF!</v>
      </c>
    </row>
    <row r="392" spans="1:28" s="116" customFormat="1" ht="15">
      <c r="A392" s="114"/>
      <c r="B392" s="120"/>
      <c r="C392" s="129" t="str">
        <f t="shared" si="18"/>
        <v>week-0</v>
      </c>
      <c r="D392" s="120" t="str">
        <f t="shared" si="19"/>
        <v>Jan</v>
      </c>
      <c r="E392" s="7"/>
      <c r="F392" s="7"/>
      <c r="G392" s="120"/>
      <c r="H392" s="120"/>
      <c r="I392" s="118"/>
      <c r="J392" s="118"/>
      <c r="K392" s="115"/>
      <c r="L392" s="115"/>
      <c r="M392" s="8"/>
      <c r="N392" s="8" t="str">
        <f t="shared" si="20"/>
        <v>-</v>
      </c>
      <c r="O392" s="127"/>
      <c r="P392" s="127"/>
      <c r="Q392" s="127"/>
      <c r="R392" s="127"/>
      <c r="S392" s="127"/>
      <c r="T392" s="139"/>
      <c r="U392" s="158"/>
      <c r="V392" s="7"/>
      <c r="W392" s="7"/>
      <c r="X392" s="146"/>
      <c r="Y392" s="7"/>
      <c r="Z392" s="7"/>
      <c r="AA392" s="7" t="str">
        <f>IFERROR((VLOOKUP(F392,#REF!,2,FALSE)),"-")</f>
        <v>-</v>
      </c>
      <c r="AB392" s="119" t="e">
        <f>CONCATENATE(F392," - ",I392," - ",#REF!,)</f>
        <v>#REF!</v>
      </c>
    </row>
    <row r="393" spans="1:28" s="116" customFormat="1" ht="15">
      <c r="A393" s="114"/>
      <c r="B393" s="120"/>
      <c r="C393" s="129" t="str">
        <f t="shared" si="18"/>
        <v>week-0</v>
      </c>
      <c r="D393" s="120" t="str">
        <f t="shared" si="19"/>
        <v>Jan</v>
      </c>
      <c r="E393" s="7"/>
      <c r="F393" s="7"/>
      <c r="G393" s="120"/>
      <c r="H393" s="120"/>
      <c r="I393" s="118"/>
      <c r="J393" s="118"/>
      <c r="K393" s="115"/>
      <c r="L393" s="115"/>
      <c r="M393" s="8"/>
      <c r="N393" s="8" t="str">
        <f t="shared" si="20"/>
        <v>-</v>
      </c>
      <c r="O393" s="127"/>
      <c r="P393" s="127"/>
      <c r="Q393" s="127"/>
      <c r="R393" s="127"/>
      <c r="S393" s="127"/>
      <c r="T393" s="139"/>
      <c r="U393" s="158"/>
      <c r="V393" s="7"/>
      <c r="W393" s="7"/>
      <c r="X393" s="146"/>
      <c r="Y393" s="7"/>
      <c r="Z393" s="7"/>
      <c r="AA393" s="7" t="str">
        <f>IFERROR((VLOOKUP(F393,#REF!,2,FALSE)),"-")</f>
        <v>-</v>
      </c>
      <c r="AB393" s="119" t="e">
        <f>CONCATENATE(F393," - ",I393," - ",#REF!,)</f>
        <v>#REF!</v>
      </c>
    </row>
    <row r="394" spans="1:28" s="116" customFormat="1" ht="15">
      <c r="A394" s="114"/>
      <c r="B394" s="120"/>
      <c r="C394" s="129" t="str">
        <f t="shared" si="18"/>
        <v>week-0</v>
      </c>
      <c r="D394" s="120" t="str">
        <f t="shared" si="19"/>
        <v>Jan</v>
      </c>
      <c r="E394" s="7"/>
      <c r="F394" s="7"/>
      <c r="G394" s="120"/>
      <c r="H394" s="120"/>
      <c r="I394" s="118"/>
      <c r="J394" s="118"/>
      <c r="K394" s="115"/>
      <c r="L394" s="115"/>
      <c r="M394" s="8"/>
      <c r="N394" s="8" t="str">
        <f t="shared" si="20"/>
        <v>-</v>
      </c>
      <c r="O394" s="126"/>
      <c r="P394" s="127"/>
      <c r="Q394" s="127"/>
      <c r="R394" s="126"/>
      <c r="S394" s="127"/>
      <c r="T394" s="8"/>
      <c r="U394" s="158"/>
      <c r="V394" s="7"/>
      <c r="W394" s="7"/>
      <c r="X394" s="146"/>
      <c r="Y394" s="7"/>
      <c r="Z394" s="7"/>
      <c r="AA394" s="7" t="str">
        <f>IFERROR((VLOOKUP(F394,#REF!,2,FALSE)),"-")</f>
        <v>-</v>
      </c>
      <c r="AB394" s="119" t="e">
        <f>CONCATENATE(F394," - ",I394," - ",#REF!,)</f>
        <v>#REF!</v>
      </c>
    </row>
    <row r="395" spans="1:28" s="116" customFormat="1" ht="15">
      <c r="A395" s="114"/>
      <c r="B395" s="120"/>
      <c r="C395" s="129" t="str">
        <f t="shared" si="18"/>
        <v>week-0</v>
      </c>
      <c r="D395" s="120" t="str">
        <f t="shared" si="19"/>
        <v>Jan</v>
      </c>
      <c r="E395" s="7"/>
      <c r="F395" s="7"/>
      <c r="G395" s="120"/>
      <c r="H395" s="120"/>
      <c r="I395" s="118"/>
      <c r="J395" s="118"/>
      <c r="K395" s="115"/>
      <c r="L395" s="115"/>
      <c r="M395" s="8"/>
      <c r="N395" s="8" t="str">
        <f t="shared" si="20"/>
        <v>-</v>
      </c>
      <c r="O395" s="126"/>
      <c r="P395" s="127"/>
      <c r="Q395" s="127"/>
      <c r="R395" s="126"/>
      <c r="S395" s="127"/>
      <c r="T395" s="8"/>
      <c r="U395" s="158"/>
      <c r="V395" s="7"/>
      <c r="W395" s="7"/>
      <c r="X395" s="146"/>
      <c r="Y395" s="7"/>
      <c r="Z395" s="7"/>
      <c r="AA395" s="7" t="str">
        <f>IFERROR((VLOOKUP(F395,#REF!,2,FALSE)),"-")</f>
        <v>-</v>
      </c>
      <c r="AB395" s="119" t="e">
        <f>CONCATENATE(F395," - ",I395," - ",#REF!,)</f>
        <v>#REF!</v>
      </c>
    </row>
    <row r="396" spans="1:28" s="116" customFormat="1" ht="15">
      <c r="A396" s="114"/>
      <c r="B396" s="120"/>
      <c r="C396" s="129" t="str">
        <f t="shared" si="18"/>
        <v>week-0</v>
      </c>
      <c r="D396" s="120" t="str">
        <f t="shared" si="19"/>
        <v>Jan</v>
      </c>
      <c r="E396" s="7"/>
      <c r="F396" s="7"/>
      <c r="G396" s="120"/>
      <c r="H396" s="120"/>
      <c r="I396" s="118"/>
      <c r="J396" s="118"/>
      <c r="K396" s="115"/>
      <c r="L396" s="115"/>
      <c r="M396" s="8"/>
      <c r="N396" s="8" t="str">
        <f t="shared" si="20"/>
        <v>-</v>
      </c>
      <c r="O396" s="126"/>
      <c r="P396" s="127"/>
      <c r="Q396" s="127"/>
      <c r="R396" s="126"/>
      <c r="S396" s="127"/>
      <c r="T396" s="8"/>
      <c r="U396" s="158"/>
      <c r="V396" s="7"/>
      <c r="W396" s="7"/>
      <c r="X396" s="146"/>
      <c r="Y396" s="7"/>
      <c r="Z396" s="7"/>
      <c r="AA396" s="7" t="str">
        <f>IFERROR((VLOOKUP(F396,#REF!,2,FALSE)),"-")</f>
        <v>-</v>
      </c>
      <c r="AB396" s="119" t="e">
        <f>CONCATENATE(F396," - ",I396," - ",#REF!,)</f>
        <v>#REF!</v>
      </c>
    </row>
    <row r="397" spans="1:28" s="116" customFormat="1" ht="15">
      <c r="A397" s="114"/>
      <c r="B397" s="120"/>
      <c r="C397" s="129" t="str">
        <f t="shared" si="18"/>
        <v>week-0</v>
      </c>
      <c r="D397" s="120" t="str">
        <f t="shared" si="19"/>
        <v>Jan</v>
      </c>
      <c r="E397" s="7"/>
      <c r="F397" s="7"/>
      <c r="G397" s="120"/>
      <c r="H397" s="120"/>
      <c r="I397" s="118"/>
      <c r="J397" s="118"/>
      <c r="K397" s="115"/>
      <c r="L397" s="115"/>
      <c r="M397" s="8"/>
      <c r="N397" s="8" t="str">
        <f t="shared" si="20"/>
        <v>-</v>
      </c>
      <c r="O397" s="126"/>
      <c r="P397" s="127"/>
      <c r="Q397" s="127"/>
      <c r="R397" s="126"/>
      <c r="S397" s="127"/>
      <c r="T397" s="8"/>
      <c r="U397" s="158"/>
      <c r="V397" s="7"/>
      <c r="W397" s="7"/>
      <c r="X397" s="146"/>
      <c r="Y397" s="7"/>
      <c r="Z397" s="7"/>
      <c r="AA397" s="7" t="str">
        <f>IFERROR((VLOOKUP(F397,#REF!,2,FALSE)),"-")</f>
        <v>-</v>
      </c>
      <c r="AB397" s="119" t="e">
        <f>CONCATENATE(F397," - ",I397," - ",#REF!,)</f>
        <v>#REF!</v>
      </c>
    </row>
    <row r="398" spans="1:28" s="116" customFormat="1" ht="15">
      <c r="A398" s="114"/>
      <c r="B398" s="120"/>
      <c r="C398" s="129" t="str">
        <f t="shared" si="18"/>
        <v>week-0</v>
      </c>
      <c r="D398" s="120" t="str">
        <f t="shared" si="19"/>
        <v>Jan</v>
      </c>
      <c r="E398" s="7"/>
      <c r="F398" s="7"/>
      <c r="G398" s="120"/>
      <c r="H398" s="120"/>
      <c r="I398" s="118"/>
      <c r="J398" s="118"/>
      <c r="K398" s="115"/>
      <c r="L398" s="115"/>
      <c r="M398" s="8"/>
      <c r="N398" s="8" t="str">
        <f t="shared" si="20"/>
        <v>-</v>
      </c>
      <c r="O398" s="126"/>
      <c r="P398" s="127"/>
      <c r="Q398" s="127"/>
      <c r="R398" s="126"/>
      <c r="S398" s="127"/>
      <c r="T398" s="8"/>
      <c r="U398" s="158"/>
      <c r="V398" s="7"/>
      <c r="W398" s="7"/>
      <c r="X398" s="146"/>
      <c r="Y398" s="7"/>
      <c r="Z398" s="7"/>
      <c r="AA398" s="7" t="str">
        <f>IFERROR((VLOOKUP(F398,#REF!,2,FALSE)),"-")</f>
        <v>-</v>
      </c>
      <c r="AB398" s="119" t="e">
        <f>CONCATENATE(F398," - ",I398," - ",#REF!,)</f>
        <v>#REF!</v>
      </c>
    </row>
    <row r="399" spans="1:28" s="116" customFormat="1" ht="15">
      <c r="A399" s="114"/>
      <c r="B399" s="120"/>
      <c r="C399" s="129" t="str">
        <f t="shared" si="18"/>
        <v>week-0</v>
      </c>
      <c r="D399" s="120" t="str">
        <f t="shared" si="19"/>
        <v>Jan</v>
      </c>
      <c r="E399" s="7"/>
      <c r="F399" s="7"/>
      <c r="G399" s="120"/>
      <c r="H399" s="120"/>
      <c r="I399" s="118"/>
      <c r="J399" s="118"/>
      <c r="K399" s="115"/>
      <c r="L399" s="115"/>
      <c r="M399" s="8"/>
      <c r="N399" s="8" t="str">
        <f t="shared" si="20"/>
        <v>-</v>
      </c>
      <c r="O399" s="126"/>
      <c r="P399" s="127"/>
      <c r="Q399" s="127"/>
      <c r="R399" s="126"/>
      <c r="S399" s="127"/>
      <c r="T399" s="8"/>
      <c r="U399" s="158"/>
      <c r="V399" s="7"/>
      <c r="W399" s="7"/>
      <c r="X399" s="146"/>
      <c r="Y399" s="7"/>
      <c r="Z399" s="7"/>
      <c r="AA399" s="7" t="str">
        <f>IFERROR((VLOOKUP(F399,#REF!,2,FALSE)),"-")</f>
        <v>-</v>
      </c>
      <c r="AB399" s="119" t="e">
        <f>CONCATENATE(F399," - ",I399," - ",#REF!,)</f>
        <v>#REF!</v>
      </c>
    </row>
    <row r="400" spans="1:28" s="116" customFormat="1" ht="15">
      <c r="A400" s="114"/>
      <c r="B400" s="120"/>
      <c r="C400" s="129" t="str">
        <f t="shared" si="18"/>
        <v>week-0</v>
      </c>
      <c r="D400" s="120" t="str">
        <f t="shared" si="19"/>
        <v>Jan</v>
      </c>
      <c r="E400" s="7"/>
      <c r="F400" s="7"/>
      <c r="G400" s="120"/>
      <c r="H400" s="120"/>
      <c r="I400" s="118"/>
      <c r="J400" s="118"/>
      <c r="K400" s="115"/>
      <c r="L400" s="115"/>
      <c r="M400" s="8"/>
      <c r="N400" s="8" t="str">
        <f t="shared" si="20"/>
        <v>-</v>
      </c>
      <c r="O400" s="127"/>
      <c r="P400" s="127"/>
      <c r="Q400" s="127"/>
      <c r="R400" s="127"/>
      <c r="S400" s="127"/>
      <c r="T400" s="139"/>
      <c r="U400" s="158"/>
      <c r="V400" s="7"/>
      <c r="W400" s="7"/>
      <c r="X400" s="146"/>
      <c r="Y400" s="7"/>
      <c r="Z400" s="7"/>
      <c r="AA400" s="7" t="str">
        <f>IFERROR((VLOOKUP(F400,#REF!,2,FALSE)),"-")</f>
        <v>-</v>
      </c>
      <c r="AB400" s="119" t="e">
        <f>CONCATENATE(F400," - ",I400," - ",#REF!,)</f>
        <v>#REF!</v>
      </c>
    </row>
    <row r="401" spans="1:28" s="116" customFormat="1" ht="15">
      <c r="A401" s="114"/>
      <c r="B401" s="120"/>
      <c r="C401" s="129" t="str">
        <f t="shared" si="18"/>
        <v>week-0</v>
      </c>
      <c r="D401" s="120" t="str">
        <f t="shared" si="19"/>
        <v>Jan</v>
      </c>
      <c r="E401" s="7"/>
      <c r="F401" s="7"/>
      <c r="G401" s="120"/>
      <c r="H401" s="120"/>
      <c r="I401" s="118"/>
      <c r="J401" s="118"/>
      <c r="K401" s="115"/>
      <c r="L401" s="115"/>
      <c r="M401" s="8"/>
      <c r="N401" s="8" t="str">
        <f t="shared" si="20"/>
        <v>-</v>
      </c>
      <c r="O401" s="126"/>
      <c r="P401" s="127"/>
      <c r="Q401" s="127"/>
      <c r="R401" s="126"/>
      <c r="S401" s="127"/>
      <c r="T401" s="8"/>
      <c r="U401" s="158"/>
      <c r="V401" s="7"/>
      <c r="W401" s="7"/>
      <c r="X401" s="146"/>
      <c r="Y401" s="7"/>
      <c r="Z401" s="7"/>
      <c r="AA401" s="7" t="str">
        <f>IFERROR((VLOOKUP(F401,#REF!,2,FALSE)),"-")</f>
        <v>-</v>
      </c>
      <c r="AB401" s="119" t="e">
        <f>CONCATENATE(F401," - ",I401," - ",#REF!,)</f>
        <v>#REF!</v>
      </c>
    </row>
    <row r="402" spans="1:28" s="116" customFormat="1" ht="15">
      <c r="A402" s="114"/>
      <c r="B402" s="120"/>
      <c r="C402" s="129" t="str">
        <f t="shared" si="18"/>
        <v>week-0</v>
      </c>
      <c r="D402" s="120" t="str">
        <f t="shared" si="19"/>
        <v>Jan</v>
      </c>
      <c r="E402" s="7"/>
      <c r="F402" s="7"/>
      <c r="G402" s="120"/>
      <c r="H402" s="120"/>
      <c r="I402" s="118"/>
      <c r="J402" s="118"/>
      <c r="K402" s="115"/>
      <c r="L402" s="115"/>
      <c r="M402" s="8"/>
      <c r="N402" s="8" t="str">
        <f t="shared" si="20"/>
        <v>-</v>
      </c>
      <c r="O402" s="126"/>
      <c r="P402" s="127"/>
      <c r="Q402" s="127"/>
      <c r="R402" s="126"/>
      <c r="S402" s="127"/>
      <c r="T402" s="8"/>
      <c r="U402" s="158"/>
      <c r="V402" s="7"/>
      <c r="W402" s="7"/>
      <c r="X402" s="146"/>
      <c r="Y402" s="7"/>
      <c r="Z402" s="7"/>
      <c r="AA402" s="7" t="str">
        <f>IFERROR((VLOOKUP(F402,#REF!,2,FALSE)),"-")</f>
        <v>-</v>
      </c>
      <c r="AB402" s="119" t="e">
        <f>CONCATENATE(F402," - ",I402," - ",#REF!,)</f>
        <v>#REF!</v>
      </c>
    </row>
    <row r="403" spans="1:28" s="116" customFormat="1" ht="15">
      <c r="A403" s="114"/>
      <c r="B403" s="120"/>
      <c r="C403" s="129" t="str">
        <f t="shared" si="18"/>
        <v>week-0</v>
      </c>
      <c r="D403" s="120" t="str">
        <f t="shared" si="19"/>
        <v>Jan</v>
      </c>
      <c r="E403" s="7"/>
      <c r="F403" s="7"/>
      <c r="G403" s="120"/>
      <c r="H403" s="120"/>
      <c r="I403" s="118"/>
      <c r="J403" s="118"/>
      <c r="K403" s="115"/>
      <c r="L403" s="115"/>
      <c r="M403" s="8"/>
      <c r="N403" s="8" t="str">
        <f t="shared" si="20"/>
        <v>-</v>
      </c>
      <c r="O403" s="127"/>
      <c r="P403" s="127"/>
      <c r="Q403" s="127"/>
      <c r="R403" s="127"/>
      <c r="S403" s="127"/>
      <c r="T403" s="139"/>
      <c r="U403" s="158"/>
      <c r="V403" s="7"/>
      <c r="W403" s="7"/>
      <c r="X403" s="146"/>
      <c r="Y403" s="7"/>
      <c r="Z403" s="7"/>
      <c r="AA403" s="7" t="str">
        <f>IFERROR((VLOOKUP(F403,#REF!,2,FALSE)),"-")</f>
        <v>-</v>
      </c>
      <c r="AB403" s="119" t="e">
        <f>CONCATENATE(F403," - ",I403," - ",#REF!,)</f>
        <v>#REF!</v>
      </c>
    </row>
    <row r="404" spans="1:28" s="116" customFormat="1" ht="15">
      <c r="A404" s="114"/>
      <c r="B404" s="120"/>
      <c r="C404" s="129" t="str">
        <f t="shared" si="18"/>
        <v>week-0</v>
      </c>
      <c r="D404" s="120" t="str">
        <f t="shared" si="19"/>
        <v>Jan</v>
      </c>
      <c r="E404" s="7"/>
      <c r="F404" s="7"/>
      <c r="G404" s="120"/>
      <c r="H404" s="120"/>
      <c r="I404" s="118"/>
      <c r="J404" s="118"/>
      <c r="K404" s="115"/>
      <c r="L404" s="115"/>
      <c r="M404" s="8"/>
      <c r="N404" s="8" t="str">
        <f t="shared" si="20"/>
        <v>-</v>
      </c>
      <c r="O404" s="127"/>
      <c r="P404" s="127"/>
      <c r="Q404" s="127"/>
      <c r="R404" s="127"/>
      <c r="S404" s="127"/>
      <c r="T404" s="139"/>
      <c r="U404" s="158"/>
      <c r="V404" s="7"/>
      <c r="W404" s="7"/>
      <c r="X404" s="146"/>
      <c r="Y404" s="7"/>
      <c r="Z404" s="7"/>
      <c r="AA404" s="7" t="str">
        <f>IFERROR((VLOOKUP(F404,#REF!,2,FALSE)),"-")</f>
        <v>-</v>
      </c>
      <c r="AB404" s="119" t="e">
        <f>CONCATENATE(F404," - ",I404," - ",#REF!,)</f>
        <v>#REF!</v>
      </c>
    </row>
    <row r="405" spans="1:28" s="116" customFormat="1" ht="15">
      <c r="A405" s="114"/>
      <c r="B405" s="120"/>
      <c r="C405" s="129" t="str">
        <f t="shared" si="18"/>
        <v>week-0</v>
      </c>
      <c r="D405" s="120" t="str">
        <f t="shared" si="19"/>
        <v>Jan</v>
      </c>
      <c r="E405" s="7"/>
      <c r="F405" s="7"/>
      <c r="G405" s="120"/>
      <c r="H405" s="120"/>
      <c r="I405" s="118"/>
      <c r="J405" s="118"/>
      <c r="K405" s="115"/>
      <c r="L405" s="115"/>
      <c r="M405" s="8"/>
      <c r="N405" s="8" t="str">
        <f t="shared" si="20"/>
        <v>-</v>
      </c>
      <c r="O405" s="126"/>
      <c r="P405" s="127"/>
      <c r="Q405" s="127"/>
      <c r="R405" s="126"/>
      <c r="S405" s="127"/>
      <c r="T405" s="8"/>
      <c r="U405" s="158"/>
      <c r="V405" s="7"/>
      <c r="W405" s="7"/>
      <c r="X405" s="146"/>
      <c r="Y405" s="7"/>
      <c r="Z405" s="7"/>
      <c r="AA405" s="7" t="str">
        <f>IFERROR((VLOOKUP(F405,#REF!,2,FALSE)),"-")</f>
        <v>-</v>
      </c>
      <c r="AB405" s="119" t="e">
        <f>CONCATENATE(F405," - ",I405," - ",#REF!,)</f>
        <v>#REF!</v>
      </c>
    </row>
    <row r="406" spans="1:28" s="116" customFormat="1" ht="15">
      <c r="A406" s="114"/>
      <c r="B406" s="120"/>
      <c r="C406" s="129" t="str">
        <f t="shared" si="18"/>
        <v>week-0</v>
      </c>
      <c r="D406" s="120" t="str">
        <f t="shared" si="19"/>
        <v>Jan</v>
      </c>
      <c r="E406" s="7"/>
      <c r="F406" s="7"/>
      <c r="G406" s="120"/>
      <c r="H406" s="120"/>
      <c r="I406" s="118"/>
      <c r="J406" s="118"/>
      <c r="K406" s="115"/>
      <c r="L406" s="115"/>
      <c r="M406" s="8"/>
      <c r="N406" s="8" t="str">
        <f t="shared" si="20"/>
        <v>-</v>
      </c>
      <c r="O406" s="127"/>
      <c r="P406" s="127"/>
      <c r="Q406" s="127"/>
      <c r="R406" s="127"/>
      <c r="S406" s="127"/>
      <c r="T406" s="139"/>
      <c r="U406" s="158"/>
      <c r="V406" s="7"/>
      <c r="W406" s="7"/>
      <c r="X406" s="146"/>
      <c r="Y406" s="7"/>
      <c r="Z406" s="7"/>
      <c r="AA406" s="7" t="str">
        <f>IFERROR((VLOOKUP(F406,#REF!,2,FALSE)),"-")</f>
        <v>-</v>
      </c>
      <c r="AB406" s="119" t="e">
        <f>CONCATENATE(F406," - ",I406," - ",#REF!,)</f>
        <v>#REF!</v>
      </c>
    </row>
    <row r="407" spans="1:28" s="116" customFormat="1" ht="15">
      <c r="A407" s="114"/>
      <c r="B407" s="120"/>
      <c r="C407" s="129" t="str">
        <f t="shared" si="18"/>
        <v>week-0</v>
      </c>
      <c r="D407" s="120" t="str">
        <f t="shared" si="19"/>
        <v>Jan</v>
      </c>
      <c r="E407" s="7"/>
      <c r="F407" s="7"/>
      <c r="G407" s="120"/>
      <c r="H407" s="120"/>
      <c r="I407" s="118"/>
      <c r="J407" s="118"/>
      <c r="K407" s="115"/>
      <c r="L407" s="115"/>
      <c r="M407" s="8"/>
      <c r="N407" s="8" t="str">
        <f t="shared" si="20"/>
        <v>-</v>
      </c>
      <c r="O407" s="127"/>
      <c r="P407" s="127"/>
      <c r="Q407" s="127"/>
      <c r="R407" s="127"/>
      <c r="S407" s="127"/>
      <c r="T407" s="139"/>
      <c r="U407" s="158"/>
      <c r="V407" s="7"/>
      <c r="W407" s="7"/>
      <c r="X407" s="146"/>
      <c r="Y407" s="7"/>
      <c r="Z407" s="7"/>
      <c r="AA407" s="7" t="str">
        <f>IFERROR((VLOOKUP(F407,#REF!,2,FALSE)),"-")</f>
        <v>-</v>
      </c>
      <c r="AB407" s="119" t="e">
        <f>CONCATENATE(F407," - ",I407," - ",#REF!,)</f>
        <v>#REF!</v>
      </c>
    </row>
    <row r="408" spans="1:28" s="116" customFormat="1" ht="15">
      <c r="A408" s="114"/>
      <c r="B408" s="120"/>
      <c r="C408" s="129" t="str">
        <f t="shared" si="18"/>
        <v>week-0</v>
      </c>
      <c r="D408" s="120" t="str">
        <f t="shared" si="19"/>
        <v>Jan</v>
      </c>
      <c r="E408" s="7"/>
      <c r="F408" s="7"/>
      <c r="G408" s="120"/>
      <c r="H408" s="120"/>
      <c r="I408" s="118"/>
      <c r="J408" s="118"/>
      <c r="K408" s="115"/>
      <c r="L408" s="115"/>
      <c r="M408" s="8"/>
      <c r="N408" s="8" t="str">
        <f t="shared" si="20"/>
        <v>-</v>
      </c>
      <c r="O408" s="126"/>
      <c r="P408" s="127"/>
      <c r="Q408" s="127"/>
      <c r="R408" s="126"/>
      <c r="S408" s="127"/>
      <c r="T408" s="8"/>
      <c r="U408" s="158"/>
      <c r="V408" s="7"/>
      <c r="W408" s="7"/>
      <c r="X408" s="146"/>
      <c r="Y408" s="7"/>
      <c r="Z408" s="7"/>
      <c r="AA408" s="7" t="str">
        <f>IFERROR((VLOOKUP(F408,#REF!,2,FALSE)),"-")</f>
        <v>-</v>
      </c>
      <c r="AB408" s="119" t="e">
        <f>CONCATENATE(F408," - ",I408," - ",#REF!,)</f>
        <v>#REF!</v>
      </c>
    </row>
    <row r="409" spans="1:28" s="116" customFormat="1" ht="15">
      <c r="A409" s="114"/>
      <c r="B409" s="120"/>
      <c r="C409" s="129" t="str">
        <f t="shared" si="18"/>
        <v>week-0</v>
      </c>
      <c r="D409" s="120" t="str">
        <f t="shared" si="19"/>
        <v>Jan</v>
      </c>
      <c r="E409" s="7"/>
      <c r="F409" s="7"/>
      <c r="G409" s="120"/>
      <c r="H409" s="120"/>
      <c r="I409" s="118"/>
      <c r="J409" s="118"/>
      <c r="K409" s="115"/>
      <c r="L409" s="115"/>
      <c r="M409" s="8"/>
      <c r="N409" s="8" t="str">
        <f t="shared" si="20"/>
        <v>-</v>
      </c>
      <c r="O409" s="127"/>
      <c r="P409" s="127"/>
      <c r="Q409" s="127"/>
      <c r="R409" s="127"/>
      <c r="S409" s="127"/>
      <c r="T409" s="139"/>
      <c r="U409" s="158"/>
      <c r="V409" s="7"/>
      <c r="W409" s="7"/>
      <c r="X409" s="146"/>
      <c r="Y409" s="7"/>
      <c r="Z409" s="7"/>
      <c r="AA409" s="7" t="str">
        <f>IFERROR((VLOOKUP(F409,#REF!,2,FALSE)),"-")</f>
        <v>-</v>
      </c>
      <c r="AB409" s="119" t="e">
        <f>CONCATENATE(F409," - ",I409," - ",#REF!,)</f>
        <v>#REF!</v>
      </c>
    </row>
    <row r="410" spans="1:28" s="116" customFormat="1" ht="15">
      <c r="A410" s="114"/>
      <c r="B410" s="120"/>
      <c r="C410" s="129" t="str">
        <f t="shared" si="18"/>
        <v>week-0</v>
      </c>
      <c r="D410" s="120" t="str">
        <f t="shared" si="19"/>
        <v>Jan</v>
      </c>
      <c r="E410" s="7"/>
      <c r="F410" s="7"/>
      <c r="G410" s="120"/>
      <c r="H410" s="120"/>
      <c r="I410" s="118"/>
      <c r="J410" s="118"/>
      <c r="K410" s="115"/>
      <c r="L410" s="115"/>
      <c r="M410" s="8"/>
      <c r="N410" s="8" t="str">
        <f t="shared" si="20"/>
        <v>-</v>
      </c>
      <c r="O410" s="127"/>
      <c r="P410" s="127"/>
      <c r="Q410" s="127"/>
      <c r="R410" s="127"/>
      <c r="S410" s="127"/>
      <c r="T410" s="139"/>
      <c r="U410" s="158"/>
      <c r="V410" s="7"/>
      <c r="W410" s="7"/>
      <c r="X410" s="146"/>
      <c r="Y410" s="7"/>
      <c r="Z410" s="7"/>
      <c r="AA410" s="7" t="str">
        <f>IFERROR((VLOOKUP(F410,#REF!,2,FALSE)),"-")</f>
        <v>-</v>
      </c>
      <c r="AB410" s="119" t="e">
        <f>CONCATENATE(F410," - ",I410," - ",#REF!,)</f>
        <v>#REF!</v>
      </c>
    </row>
    <row r="411" spans="1:28" s="116" customFormat="1" ht="15">
      <c r="A411" s="114"/>
      <c r="B411" s="120"/>
      <c r="C411" s="129" t="str">
        <f t="shared" si="18"/>
        <v>week-0</v>
      </c>
      <c r="D411" s="120" t="str">
        <f t="shared" si="19"/>
        <v>Jan</v>
      </c>
      <c r="E411" s="7"/>
      <c r="F411" s="7"/>
      <c r="G411" s="120"/>
      <c r="H411" s="120"/>
      <c r="I411" s="118"/>
      <c r="J411" s="118"/>
      <c r="K411" s="115"/>
      <c r="L411" s="115"/>
      <c r="M411" s="8"/>
      <c r="N411" s="8" t="str">
        <f t="shared" si="20"/>
        <v>-</v>
      </c>
      <c r="O411" s="126"/>
      <c r="P411" s="127"/>
      <c r="Q411" s="127"/>
      <c r="R411" s="126"/>
      <c r="S411" s="127"/>
      <c r="T411" s="8"/>
      <c r="U411" s="158"/>
      <c r="V411" s="7"/>
      <c r="W411" s="7"/>
      <c r="X411" s="146"/>
      <c r="Y411" s="7"/>
      <c r="Z411" s="7"/>
      <c r="AA411" s="7" t="str">
        <f>IFERROR((VLOOKUP(F411,#REF!,2,FALSE)),"-")</f>
        <v>-</v>
      </c>
      <c r="AB411" s="119" t="e">
        <f>CONCATENATE(F411," - ",I411," - ",#REF!,)</f>
        <v>#REF!</v>
      </c>
    </row>
    <row r="412" spans="1:28" s="116" customFormat="1" ht="15">
      <c r="A412" s="114"/>
      <c r="B412" s="120"/>
      <c r="C412" s="129" t="str">
        <f t="shared" si="18"/>
        <v>week-0</v>
      </c>
      <c r="D412" s="120" t="str">
        <f t="shared" si="19"/>
        <v>Jan</v>
      </c>
      <c r="E412" s="7"/>
      <c r="F412" s="7"/>
      <c r="G412" s="120"/>
      <c r="H412" s="120"/>
      <c r="I412" s="118"/>
      <c r="J412" s="118"/>
      <c r="K412" s="115"/>
      <c r="L412" s="115"/>
      <c r="M412" s="8"/>
      <c r="N412" s="8" t="str">
        <f t="shared" si="20"/>
        <v>-</v>
      </c>
      <c r="O412" s="126"/>
      <c r="P412" s="127"/>
      <c r="Q412" s="127"/>
      <c r="R412" s="126"/>
      <c r="S412" s="127"/>
      <c r="T412" s="8"/>
      <c r="U412" s="158"/>
      <c r="V412" s="7"/>
      <c r="W412" s="7"/>
      <c r="X412" s="146"/>
      <c r="Y412" s="7"/>
      <c r="Z412" s="7"/>
      <c r="AA412" s="7" t="str">
        <f>IFERROR((VLOOKUP(F412,#REF!,2,FALSE)),"-")</f>
        <v>-</v>
      </c>
      <c r="AB412" s="119" t="e">
        <f>CONCATENATE(F412," - ",I412," - ",#REF!,)</f>
        <v>#REF!</v>
      </c>
    </row>
    <row r="413" spans="1:28" s="116" customFormat="1" ht="15">
      <c r="A413" s="114"/>
      <c r="B413" s="120"/>
      <c r="C413" s="129" t="str">
        <f t="shared" si="18"/>
        <v>week-0</v>
      </c>
      <c r="D413" s="120" t="str">
        <f t="shared" si="19"/>
        <v>Jan</v>
      </c>
      <c r="E413" s="7"/>
      <c r="F413" s="7"/>
      <c r="G413" s="120"/>
      <c r="H413" s="120"/>
      <c r="I413" s="118"/>
      <c r="J413" s="118"/>
      <c r="K413" s="115"/>
      <c r="L413" s="115"/>
      <c r="M413" s="8"/>
      <c r="N413" s="8" t="str">
        <f t="shared" si="20"/>
        <v>-</v>
      </c>
      <c r="O413" s="126"/>
      <c r="P413" s="127"/>
      <c r="Q413" s="127"/>
      <c r="R413" s="126"/>
      <c r="S413" s="127"/>
      <c r="T413" s="8"/>
      <c r="U413" s="158"/>
      <c r="V413" s="7"/>
      <c r="W413" s="7"/>
      <c r="X413" s="146"/>
      <c r="Y413" s="7"/>
      <c r="Z413" s="7"/>
      <c r="AA413" s="7" t="str">
        <f>IFERROR((VLOOKUP(F413,#REF!,2,FALSE)),"-")</f>
        <v>-</v>
      </c>
      <c r="AB413" s="119" t="e">
        <f>CONCATENATE(F413," - ",I413," - ",#REF!,)</f>
        <v>#REF!</v>
      </c>
    </row>
    <row r="414" spans="1:28" s="116" customFormat="1" ht="15">
      <c r="A414" s="114"/>
      <c r="B414" s="120"/>
      <c r="C414" s="129" t="str">
        <f t="shared" si="18"/>
        <v>week-0</v>
      </c>
      <c r="D414" s="120" t="str">
        <f t="shared" si="19"/>
        <v>Jan</v>
      </c>
      <c r="E414" s="7"/>
      <c r="F414" s="7"/>
      <c r="G414" s="120"/>
      <c r="H414" s="120"/>
      <c r="I414" s="118"/>
      <c r="J414" s="118"/>
      <c r="K414" s="115"/>
      <c r="L414" s="115"/>
      <c r="M414" s="8"/>
      <c r="N414" s="8" t="str">
        <f t="shared" si="20"/>
        <v>-</v>
      </c>
      <c r="O414" s="127"/>
      <c r="P414" s="127"/>
      <c r="Q414" s="127"/>
      <c r="R414" s="127"/>
      <c r="S414" s="127"/>
      <c r="T414" s="139"/>
      <c r="U414" s="158"/>
      <c r="V414" s="7"/>
      <c r="W414" s="7"/>
      <c r="X414" s="146"/>
      <c r="Y414" s="7"/>
      <c r="Z414" s="7"/>
      <c r="AA414" s="7" t="str">
        <f>IFERROR((VLOOKUP(F414,#REF!,2,FALSE)),"-")</f>
        <v>-</v>
      </c>
      <c r="AB414" s="119" t="e">
        <f>CONCATENATE(F414," - ",I414," - ",#REF!,)</f>
        <v>#REF!</v>
      </c>
    </row>
    <row r="415" spans="1:28" s="116" customFormat="1" ht="15">
      <c r="A415" s="114"/>
      <c r="B415" s="120"/>
      <c r="C415" s="129" t="str">
        <f t="shared" si="18"/>
        <v>week-0</v>
      </c>
      <c r="D415" s="120" t="str">
        <f t="shared" si="19"/>
        <v>Jan</v>
      </c>
      <c r="E415" s="7"/>
      <c r="F415" s="7"/>
      <c r="G415" s="120"/>
      <c r="H415" s="120"/>
      <c r="I415" s="118"/>
      <c r="J415" s="118"/>
      <c r="K415" s="115"/>
      <c r="L415" s="115"/>
      <c r="M415" s="8"/>
      <c r="N415" s="8" t="str">
        <f t="shared" si="20"/>
        <v>-</v>
      </c>
      <c r="O415" s="126"/>
      <c r="P415" s="127"/>
      <c r="Q415" s="127"/>
      <c r="R415" s="126"/>
      <c r="S415" s="127"/>
      <c r="T415" s="8"/>
      <c r="U415" s="158"/>
      <c r="V415" s="7"/>
      <c r="W415" s="7"/>
      <c r="X415" s="146"/>
      <c r="Y415" s="7"/>
      <c r="Z415" s="7"/>
      <c r="AA415" s="7" t="str">
        <f>IFERROR((VLOOKUP(F415,#REF!,2,FALSE)),"-")</f>
        <v>-</v>
      </c>
      <c r="AB415" s="119" t="e">
        <f>CONCATENATE(F415," - ",I415," - ",#REF!,)</f>
        <v>#REF!</v>
      </c>
    </row>
    <row r="416" spans="1:28" s="116" customFormat="1" ht="15">
      <c r="A416" s="114"/>
      <c r="B416" s="120"/>
      <c r="C416" s="129" t="str">
        <f t="shared" si="18"/>
        <v>week-0</v>
      </c>
      <c r="D416" s="120" t="str">
        <f t="shared" si="19"/>
        <v>Jan</v>
      </c>
      <c r="E416" s="7"/>
      <c r="F416" s="7"/>
      <c r="G416" s="120"/>
      <c r="H416" s="120"/>
      <c r="I416" s="118"/>
      <c r="J416" s="118"/>
      <c r="K416" s="115"/>
      <c r="L416" s="115"/>
      <c r="M416" s="8"/>
      <c r="N416" s="8" t="str">
        <f t="shared" si="20"/>
        <v>-</v>
      </c>
      <c r="O416" s="126"/>
      <c r="P416" s="127"/>
      <c r="Q416" s="127"/>
      <c r="R416" s="126"/>
      <c r="S416" s="127"/>
      <c r="T416" s="8"/>
      <c r="U416" s="158"/>
      <c r="V416" s="7"/>
      <c r="W416" s="7"/>
      <c r="X416" s="146"/>
      <c r="Y416" s="7"/>
      <c r="Z416" s="7"/>
      <c r="AA416" s="7" t="str">
        <f>IFERROR((VLOOKUP(F416,#REF!,2,FALSE)),"-")</f>
        <v>-</v>
      </c>
      <c r="AB416" s="119" t="e">
        <f>CONCATENATE(F416," - ",I416," - ",#REF!,)</f>
        <v>#REF!</v>
      </c>
    </row>
    <row r="417" spans="1:28" s="116" customFormat="1" ht="15">
      <c r="A417" s="114"/>
      <c r="B417" s="120"/>
      <c r="C417" s="129" t="str">
        <f t="shared" si="18"/>
        <v>week-0</v>
      </c>
      <c r="D417" s="120" t="str">
        <f t="shared" si="19"/>
        <v>Jan</v>
      </c>
      <c r="E417" s="7"/>
      <c r="F417" s="7"/>
      <c r="G417" s="120"/>
      <c r="H417" s="120"/>
      <c r="I417" s="118"/>
      <c r="J417" s="118"/>
      <c r="K417" s="115"/>
      <c r="L417" s="115"/>
      <c r="M417" s="8"/>
      <c r="N417" s="8" t="str">
        <f t="shared" si="20"/>
        <v>-</v>
      </c>
      <c r="O417" s="127"/>
      <c r="P417" s="127"/>
      <c r="Q417" s="127"/>
      <c r="R417" s="127"/>
      <c r="S417" s="127"/>
      <c r="T417" s="139"/>
      <c r="U417" s="158"/>
      <c r="V417" s="7"/>
      <c r="W417" s="7"/>
      <c r="X417" s="146"/>
      <c r="Y417" s="7"/>
      <c r="Z417" s="7"/>
      <c r="AA417" s="7" t="str">
        <f>IFERROR((VLOOKUP(F417,#REF!,2,FALSE)),"-")</f>
        <v>-</v>
      </c>
      <c r="AB417" s="119" t="e">
        <f>CONCATENATE(F417," - ",I417," - ",#REF!,)</f>
        <v>#REF!</v>
      </c>
    </row>
    <row r="418" spans="1:28" s="116" customFormat="1" ht="15">
      <c r="A418" s="114"/>
      <c r="B418" s="120"/>
      <c r="C418" s="129" t="str">
        <f t="shared" si="18"/>
        <v>week-0</v>
      </c>
      <c r="D418" s="120" t="str">
        <f t="shared" si="19"/>
        <v>Jan</v>
      </c>
      <c r="E418" s="7"/>
      <c r="F418" s="7"/>
      <c r="G418" s="120"/>
      <c r="H418" s="120"/>
      <c r="I418" s="118"/>
      <c r="J418" s="118"/>
      <c r="K418" s="115"/>
      <c r="L418" s="115"/>
      <c r="M418" s="8"/>
      <c r="N418" s="8" t="str">
        <f t="shared" si="20"/>
        <v>-</v>
      </c>
      <c r="O418" s="126"/>
      <c r="P418" s="127"/>
      <c r="Q418" s="127"/>
      <c r="R418" s="126"/>
      <c r="S418" s="127"/>
      <c r="T418" s="8"/>
      <c r="U418" s="158"/>
      <c r="V418" s="7"/>
      <c r="W418" s="7"/>
      <c r="X418" s="146"/>
      <c r="Y418" s="7"/>
      <c r="Z418" s="7"/>
      <c r="AA418" s="7" t="str">
        <f>IFERROR((VLOOKUP(F418,#REF!,2,FALSE)),"-")</f>
        <v>-</v>
      </c>
      <c r="AB418" s="119" t="e">
        <f>CONCATENATE(F418," - ",I418," - ",#REF!,)</f>
        <v>#REF!</v>
      </c>
    </row>
    <row r="419" spans="1:28" s="116" customFormat="1" ht="15">
      <c r="A419" s="114"/>
      <c r="B419" s="120"/>
      <c r="C419" s="129" t="str">
        <f t="shared" si="18"/>
        <v>week-0</v>
      </c>
      <c r="D419" s="120" t="str">
        <f t="shared" si="19"/>
        <v>Jan</v>
      </c>
      <c r="E419" s="7"/>
      <c r="F419" s="7"/>
      <c r="G419" s="120"/>
      <c r="H419" s="120"/>
      <c r="I419" s="118"/>
      <c r="J419" s="118"/>
      <c r="K419" s="115"/>
      <c r="L419" s="115"/>
      <c r="M419" s="8"/>
      <c r="N419" s="8" t="str">
        <f t="shared" si="20"/>
        <v>-</v>
      </c>
      <c r="O419" s="127"/>
      <c r="P419" s="127"/>
      <c r="Q419" s="127"/>
      <c r="R419" s="127"/>
      <c r="S419" s="127"/>
      <c r="T419" s="139"/>
      <c r="U419" s="158"/>
      <c r="V419" s="7"/>
      <c r="W419" s="7"/>
      <c r="X419" s="146"/>
      <c r="Y419" s="7"/>
      <c r="Z419" s="7"/>
      <c r="AA419" s="7" t="str">
        <f>IFERROR((VLOOKUP(F419,#REF!,2,FALSE)),"-")</f>
        <v>-</v>
      </c>
      <c r="AB419" s="119" t="e">
        <f>CONCATENATE(F419," - ",I419," - ",#REF!,)</f>
        <v>#REF!</v>
      </c>
    </row>
    <row r="420" spans="1:28" s="116" customFormat="1" ht="15">
      <c r="A420" s="114"/>
      <c r="B420" s="120"/>
      <c r="C420" s="129" t="str">
        <f t="shared" si="18"/>
        <v>week-0</v>
      </c>
      <c r="D420" s="120" t="str">
        <f t="shared" si="19"/>
        <v>Jan</v>
      </c>
      <c r="E420" s="7"/>
      <c r="F420" s="7"/>
      <c r="G420" s="120"/>
      <c r="H420" s="120"/>
      <c r="I420" s="118"/>
      <c r="J420" s="118"/>
      <c r="K420" s="115"/>
      <c r="L420" s="115"/>
      <c r="M420" s="8"/>
      <c r="N420" s="8" t="str">
        <f t="shared" si="20"/>
        <v>-</v>
      </c>
      <c r="O420" s="126"/>
      <c r="P420" s="127"/>
      <c r="Q420" s="127"/>
      <c r="R420" s="126"/>
      <c r="S420" s="127"/>
      <c r="T420" s="8"/>
      <c r="U420" s="158"/>
      <c r="V420" s="7"/>
      <c r="W420" s="7"/>
      <c r="X420" s="146"/>
      <c r="Y420" s="7"/>
      <c r="Z420" s="7"/>
      <c r="AA420" s="7" t="str">
        <f>IFERROR((VLOOKUP(F420,#REF!,2,FALSE)),"-")</f>
        <v>-</v>
      </c>
      <c r="AB420" s="119" t="e">
        <f>CONCATENATE(F420," - ",I420," - ",#REF!,)</f>
        <v>#REF!</v>
      </c>
    </row>
    <row r="421" spans="1:28" s="116" customFormat="1" ht="15">
      <c r="A421" s="114"/>
      <c r="B421" s="120"/>
      <c r="C421" s="129" t="str">
        <f t="shared" si="18"/>
        <v>week-0</v>
      </c>
      <c r="D421" s="120" t="str">
        <f t="shared" si="19"/>
        <v>Jan</v>
      </c>
      <c r="E421" s="7"/>
      <c r="F421" s="7"/>
      <c r="G421" s="120"/>
      <c r="H421" s="120"/>
      <c r="I421" s="118"/>
      <c r="J421" s="118"/>
      <c r="K421" s="115"/>
      <c r="L421" s="115"/>
      <c r="M421" s="8"/>
      <c r="N421" s="8" t="str">
        <f t="shared" si="20"/>
        <v>-</v>
      </c>
      <c r="O421" s="126"/>
      <c r="P421" s="127"/>
      <c r="Q421" s="127"/>
      <c r="R421" s="126"/>
      <c r="S421" s="127"/>
      <c r="T421" s="8"/>
      <c r="U421" s="158"/>
      <c r="V421" s="7"/>
      <c r="W421" s="7"/>
      <c r="X421" s="146"/>
      <c r="Y421" s="7"/>
      <c r="Z421" s="7"/>
      <c r="AA421" s="7" t="str">
        <f>IFERROR((VLOOKUP(F421,#REF!,2,FALSE)),"-")</f>
        <v>-</v>
      </c>
      <c r="AB421" s="119" t="e">
        <f>CONCATENATE(F421," - ",I421," - ",#REF!,)</f>
        <v>#REF!</v>
      </c>
    </row>
    <row r="422" spans="1:28" s="116" customFormat="1" ht="15">
      <c r="A422" s="114"/>
      <c r="B422" s="120"/>
      <c r="C422" s="129" t="str">
        <f t="shared" si="18"/>
        <v>week-0</v>
      </c>
      <c r="D422" s="120" t="str">
        <f t="shared" si="19"/>
        <v>Jan</v>
      </c>
      <c r="E422" s="7"/>
      <c r="F422" s="7"/>
      <c r="G422" s="120"/>
      <c r="H422" s="120"/>
      <c r="I422" s="118"/>
      <c r="J422" s="118"/>
      <c r="K422" s="115"/>
      <c r="L422" s="115"/>
      <c r="M422" s="8"/>
      <c r="N422" s="8" t="str">
        <f t="shared" si="20"/>
        <v>-</v>
      </c>
      <c r="O422" s="126"/>
      <c r="P422" s="127"/>
      <c r="Q422" s="127"/>
      <c r="R422" s="126"/>
      <c r="S422" s="127"/>
      <c r="T422" s="8"/>
      <c r="U422" s="158"/>
      <c r="V422" s="7"/>
      <c r="W422" s="7"/>
      <c r="X422" s="146"/>
      <c r="Y422" s="7"/>
      <c r="Z422" s="7"/>
      <c r="AA422" s="7" t="str">
        <f>IFERROR((VLOOKUP(F422,#REF!,2,FALSE)),"-")</f>
        <v>-</v>
      </c>
      <c r="AB422" s="119" t="e">
        <f>CONCATENATE(F422," - ",I422," - ",#REF!,)</f>
        <v>#REF!</v>
      </c>
    </row>
    <row r="423" spans="1:28" s="116" customFormat="1" ht="15">
      <c r="A423" s="114"/>
      <c r="B423" s="120"/>
      <c r="C423" s="129" t="str">
        <f t="shared" si="18"/>
        <v>week-0</v>
      </c>
      <c r="D423" s="120" t="str">
        <f t="shared" si="19"/>
        <v>Jan</v>
      </c>
      <c r="E423" s="7"/>
      <c r="F423" s="7"/>
      <c r="G423" s="120"/>
      <c r="H423" s="120"/>
      <c r="I423" s="118"/>
      <c r="J423" s="118"/>
      <c r="K423" s="115"/>
      <c r="L423" s="115"/>
      <c r="M423" s="8"/>
      <c r="N423" s="8" t="str">
        <f t="shared" si="20"/>
        <v>-</v>
      </c>
      <c r="O423" s="126"/>
      <c r="P423" s="127"/>
      <c r="Q423" s="127"/>
      <c r="R423" s="126"/>
      <c r="S423" s="127"/>
      <c r="T423" s="8"/>
      <c r="U423" s="158"/>
      <c r="V423" s="7"/>
      <c r="W423" s="7"/>
      <c r="X423" s="146"/>
      <c r="Y423" s="7"/>
      <c r="Z423" s="7"/>
      <c r="AA423" s="7" t="str">
        <f>IFERROR((VLOOKUP(F423,#REF!,2,FALSE)),"-")</f>
        <v>-</v>
      </c>
      <c r="AB423" s="119" t="e">
        <f>CONCATENATE(F423," - ",I423," - ",#REF!,)</f>
        <v>#REF!</v>
      </c>
    </row>
    <row r="424" spans="1:28" s="116" customFormat="1" ht="15">
      <c r="A424" s="114"/>
      <c r="B424" s="120"/>
      <c r="C424" s="129" t="str">
        <f t="shared" si="18"/>
        <v>week-0</v>
      </c>
      <c r="D424" s="120" t="str">
        <f t="shared" si="19"/>
        <v>Jan</v>
      </c>
      <c r="E424" s="7"/>
      <c r="F424" s="7"/>
      <c r="G424" s="120"/>
      <c r="H424" s="120"/>
      <c r="I424" s="118"/>
      <c r="J424" s="118"/>
      <c r="K424" s="115"/>
      <c r="L424" s="115"/>
      <c r="M424" s="8"/>
      <c r="N424" s="8" t="str">
        <f t="shared" si="20"/>
        <v>-</v>
      </c>
      <c r="O424" s="126"/>
      <c r="P424" s="127"/>
      <c r="Q424" s="127"/>
      <c r="R424" s="126"/>
      <c r="S424" s="127"/>
      <c r="T424" s="8"/>
      <c r="U424" s="158"/>
      <c r="V424" s="7"/>
      <c r="W424" s="7"/>
      <c r="X424" s="146"/>
      <c r="Y424" s="7"/>
      <c r="Z424" s="7"/>
      <c r="AA424" s="7" t="str">
        <f>IFERROR((VLOOKUP(F424,#REF!,2,FALSE)),"-")</f>
        <v>-</v>
      </c>
      <c r="AB424" s="119" t="e">
        <f>CONCATENATE(F424," - ",I424," - ",#REF!,)</f>
        <v>#REF!</v>
      </c>
    </row>
    <row r="425" spans="1:28" s="116" customFormat="1" ht="15">
      <c r="A425" s="114"/>
      <c r="B425" s="120"/>
      <c r="C425" s="129" t="str">
        <f t="shared" si="18"/>
        <v>week-0</v>
      </c>
      <c r="D425" s="120" t="str">
        <f t="shared" si="19"/>
        <v>Jan</v>
      </c>
      <c r="E425" s="7"/>
      <c r="F425" s="7"/>
      <c r="G425" s="120"/>
      <c r="H425" s="120"/>
      <c r="I425" s="118"/>
      <c r="J425" s="118"/>
      <c r="K425" s="115"/>
      <c r="L425" s="115"/>
      <c r="M425" s="8"/>
      <c r="N425" s="8" t="str">
        <f t="shared" si="20"/>
        <v>-</v>
      </c>
      <c r="O425" s="126"/>
      <c r="P425" s="127"/>
      <c r="Q425" s="127"/>
      <c r="R425" s="126"/>
      <c r="S425" s="127"/>
      <c r="T425" s="8"/>
      <c r="U425" s="158"/>
      <c r="V425" s="7"/>
      <c r="W425" s="7"/>
      <c r="X425" s="146"/>
      <c r="Y425" s="7"/>
      <c r="Z425" s="7"/>
      <c r="AA425" s="7"/>
      <c r="AB425" s="119" t="e">
        <f>CONCATENATE(F425," - ",I425," - ",#REF!,)</f>
        <v>#REF!</v>
      </c>
    </row>
    <row r="426" spans="1:28" s="116" customFormat="1" ht="15">
      <c r="A426" s="114"/>
      <c r="B426" s="120"/>
      <c r="C426" s="129" t="str">
        <f t="shared" si="18"/>
        <v>week-0</v>
      </c>
      <c r="D426" s="120" t="str">
        <f t="shared" si="19"/>
        <v>Jan</v>
      </c>
      <c r="E426" s="7"/>
      <c r="F426" s="7"/>
      <c r="G426" s="120"/>
      <c r="H426" s="120"/>
      <c r="I426" s="118"/>
      <c r="J426" s="118"/>
      <c r="K426" s="115"/>
      <c r="L426" s="115"/>
      <c r="M426" s="8"/>
      <c r="N426" s="8" t="str">
        <f t="shared" si="20"/>
        <v>-</v>
      </c>
      <c r="O426" s="126"/>
      <c r="P426" s="127"/>
      <c r="Q426" s="127"/>
      <c r="R426" s="126"/>
      <c r="S426" s="127"/>
      <c r="T426" s="8"/>
      <c r="U426" s="158"/>
      <c r="V426" s="7"/>
      <c r="W426" s="7"/>
      <c r="X426" s="146"/>
      <c r="Y426" s="7"/>
      <c r="Z426" s="7"/>
      <c r="AA426" s="7" t="str">
        <f>IFERROR((VLOOKUP(F426,#REF!,2,FALSE)),"-")</f>
        <v>-</v>
      </c>
      <c r="AB426" s="119" t="e">
        <f>CONCATENATE(F426," - ",I426," - ",#REF!,)</f>
        <v>#REF!</v>
      </c>
    </row>
    <row r="427" spans="1:28" s="116" customFormat="1" ht="15">
      <c r="A427" s="114"/>
      <c r="B427" s="120"/>
      <c r="C427" s="129" t="str">
        <f t="shared" si="18"/>
        <v>week-0</v>
      </c>
      <c r="D427" s="120" t="str">
        <f t="shared" si="19"/>
        <v>Jan</v>
      </c>
      <c r="E427" s="7"/>
      <c r="F427" s="7"/>
      <c r="G427" s="120"/>
      <c r="H427" s="120"/>
      <c r="I427" s="118"/>
      <c r="J427" s="118"/>
      <c r="K427" s="115"/>
      <c r="L427" s="115"/>
      <c r="M427" s="8"/>
      <c r="N427" s="8" t="str">
        <f t="shared" si="20"/>
        <v>-</v>
      </c>
      <c r="O427" s="127"/>
      <c r="P427" s="127"/>
      <c r="Q427" s="127"/>
      <c r="R427" s="127"/>
      <c r="S427" s="127"/>
      <c r="T427" s="139"/>
      <c r="U427" s="158"/>
      <c r="V427" s="7"/>
      <c r="W427" s="7"/>
      <c r="X427" s="146"/>
      <c r="Y427" s="7"/>
      <c r="Z427" s="7"/>
      <c r="AA427" s="7" t="str">
        <f>IFERROR((VLOOKUP(F427,#REF!,2,FALSE)),"-")</f>
        <v>-</v>
      </c>
      <c r="AB427" s="119" t="e">
        <f>CONCATENATE(F427," - ",I427," - ",#REF!,)</f>
        <v>#REF!</v>
      </c>
    </row>
    <row r="428" spans="1:28" s="116" customFormat="1" ht="15">
      <c r="A428" s="114"/>
      <c r="B428" s="120"/>
      <c r="C428" s="129" t="str">
        <f t="shared" si="18"/>
        <v>week-0</v>
      </c>
      <c r="D428" s="120" t="str">
        <f t="shared" si="19"/>
        <v>Jan</v>
      </c>
      <c r="E428" s="7"/>
      <c r="F428" s="7"/>
      <c r="G428" s="120"/>
      <c r="H428" s="120"/>
      <c r="I428" s="118"/>
      <c r="J428" s="118"/>
      <c r="K428" s="115"/>
      <c r="L428" s="115"/>
      <c r="M428" s="8"/>
      <c r="N428" s="8" t="str">
        <f t="shared" si="20"/>
        <v>-</v>
      </c>
      <c r="O428" s="126"/>
      <c r="P428" s="127"/>
      <c r="Q428" s="127"/>
      <c r="R428" s="126"/>
      <c r="S428" s="127"/>
      <c r="T428" s="8"/>
      <c r="U428" s="158"/>
      <c r="V428" s="7"/>
      <c r="W428" s="7"/>
      <c r="X428" s="146"/>
      <c r="Y428" s="7"/>
      <c r="Z428" s="7"/>
      <c r="AA428" s="7" t="str">
        <f>IFERROR((VLOOKUP(F428,#REF!,2,FALSE)),"-")</f>
        <v>-</v>
      </c>
      <c r="AB428" s="119" t="e">
        <f>CONCATENATE(F428," - ",I428," - ",#REF!,)</f>
        <v>#REF!</v>
      </c>
    </row>
    <row r="429" spans="1:28" s="116" customFormat="1" ht="15">
      <c r="A429" s="114"/>
      <c r="B429" s="120"/>
      <c r="C429" s="129" t="str">
        <f t="shared" si="18"/>
        <v>week-0</v>
      </c>
      <c r="D429" s="120" t="str">
        <f t="shared" si="19"/>
        <v>Jan</v>
      </c>
      <c r="E429" s="7"/>
      <c r="F429" s="7"/>
      <c r="G429" s="120"/>
      <c r="H429" s="120"/>
      <c r="I429" s="118"/>
      <c r="J429" s="118"/>
      <c r="K429" s="115"/>
      <c r="L429" s="115"/>
      <c r="M429" s="8"/>
      <c r="N429" s="8" t="str">
        <f t="shared" si="20"/>
        <v>-</v>
      </c>
      <c r="O429" s="126"/>
      <c r="P429" s="127"/>
      <c r="Q429" s="127"/>
      <c r="R429" s="126"/>
      <c r="S429" s="127"/>
      <c r="T429" s="8"/>
      <c r="U429" s="158"/>
      <c r="V429" s="7"/>
      <c r="W429" s="7"/>
      <c r="X429" s="146"/>
      <c r="Y429" s="7"/>
      <c r="Z429" s="7"/>
      <c r="AA429" s="7" t="str">
        <f>IFERROR((VLOOKUP(F429,#REF!,2,FALSE)),"-")</f>
        <v>-</v>
      </c>
      <c r="AB429" s="119" t="e">
        <f>CONCATENATE(F429," - ",I429," - ",#REF!,)</f>
        <v>#REF!</v>
      </c>
    </row>
    <row r="430" spans="1:28" s="116" customFormat="1" ht="15">
      <c r="A430" s="114"/>
      <c r="B430" s="120"/>
      <c r="C430" s="129" t="str">
        <f t="shared" si="18"/>
        <v>week-0</v>
      </c>
      <c r="D430" s="120" t="str">
        <f t="shared" si="19"/>
        <v>Jan</v>
      </c>
      <c r="E430" s="7"/>
      <c r="F430" s="7"/>
      <c r="G430" s="120"/>
      <c r="H430" s="120"/>
      <c r="I430" s="118"/>
      <c r="J430" s="118"/>
      <c r="K430" s="115"/>
      <c r="L430" s="115"/>
      <c r="M430" s="8"/>
      <c r="N430" s="8" t="str">
        <f t="shared" si="20"/>
        <v>-</v>
      </c>
      <c r="O430" s="127"/>
      <c r="P430" s="127"/>
      <c r="Q430" s="127"/>
      <c r="R430" s="127"/>
      <c r="S430" s="127"/>
      <c r="T430" s="139"/>
      <c r="U430" s="158"/>
      <c r="V430" s="7"/>
      <c r="W430" s="7"/>
      <c r="X430" s="146"/>
      <c r="Y430" s="7"/>
      <c r="Z430" s="7"/>
      <c r="AA430" s="7" t="str">
        <f>IFERROR((VLOOKUP(F430,#REF!,2,FALSE)),"-")</f>
        <v>-</v>
      </c>
      <c r="AB430" s="119" t="e">
        <f>CONCATENATE(F430," - ",I430," - ",#REF!,)</f>
        <v>#REF!</v>
      </c>
    </row>
    <row r="431" spans="1:28" s="116" customFormat="1" ht="15">
      <c r="A431" s="114"/>
      <c r="B431" s="120"/>
      <c r="C431" s="129" t="str">
        <f t="shared" si="18"/>
        <v>week-0</v>
      </c>
      <c r="D431" s="120" t="str">
        <f t="shared" si="19"/>
        <v>Jan</v>
      </c>
      <c r="E431" s="7"/>
      <c r="F431" s="7"/>
      <c r="G431" s="120"/>
      <c r="H431" s="120"/>
      <c r="I431" s="118"/>
      <c r="J431" s="118"/>
      <c r="K431" s="115"/>
      <c r="L431" s="115"/>
      <c r="M431" s="8"/>
      <c r="N431" s="8" t="str">
        <f t="shared" si="20"/>
        <v>-</v>
      </c>
      <c r="O431" s="127"/>
      <c r="P431" s="127"/>
      <c r="Q431" s="127"/>
      <c r="R431" s="127"/>
      <c r="S431" s="127"/>
      <c r="T431" s="139"/>
      <c r="U431" s="158"/>
      <c r="V431" s="7"/>
      <c r="W431" s="7"/>
      <c r="X431" s="146"/>
      <c r="Y431" s="7"/>
      <c r="Z431" s="7"/>
      <c r="AA431" s="7" t="str">
        <f>IFERROR((VLOOKUP(F431,#REF!,2,FALSE)),"-")</f>
        <v>-</v>
      </c>
      <c r="AB431" s="119" t="e">
        <f>CONCATENATE(F431," - ",I431," - ",#REF!,)</f>
        <v>#REF!</v>
      </c>
    </row>
    <row r="432" spans="1:28" s="116" customFormat="1" ht="15">
      <c r="A432" s="114"/>
      <c r="B432" s="120"/>
      <c r="C432" s="129" t="str">
        <f t="shared" si="18"/>
        <v>week-0</v>
      </c>
      <c r="D432" s="120" t="str">
        <f t="shared" si="19"/>
        <v>Jan</v>
      </c>
      <c r="E432" s="7"/>
      <c r="F432" s="7"/>
      <c r="G432" s="120"/>
      <c r="H432" s="120"/>
      <c r="I432" s="118"/>
      <c r="J432" s="118"/>
      <c r="K432" s="115"/>
      <c r="L432" s="115"/>
      <c r="M432" s="8"/>
      <c r="N432" s="8" t="str">
        <f t="shared" si="20"/>
        <v>-</v>
      </c>
      <c r="O432" s="127"/>
      <c r="P432" s="127"/>
      <c r="Q432" s="127"/>
      <c r="R432" s="127"/>
      <c r="S432" s="127"/>
      <c r="T432" s="139"/>
      <c r="U432" s="158"/>
      <c r="V432" s="7"/>
      <c r="W432" s="7"/>
      <c r="X432" s="146"/>
      <c r="Y432" s="7"/>
      <c r="Z432" s="7"/>
      <c r="AA432" s="7" t="str">
        <f>IFERROR((VLOOKUP(F432,#REF!,2,FALSE)),"-")</f>
        <v>-</v>
      </c>
      <c r="AB432" s="119" t="e">
        <f>CONCATENATE(F432," - ",I432," - ",#REF!,)</f>
        <v>#REF!</v>
      </c>
    </row>
    <row r="433" spans="1:28" s="116" customFormat="1" ht="15">
      <c r="A433" s="114"/>
      <c r="B433" s="120"/>
      <c r="C433" s="129" t="str">
        <f t="shared" si="18"/>
        <v>week-0</v>
      </c>
      <c r="D433" s="120" t="str">
        <f t="shared" si="19"/>
        <v>Jan</v>
      </c>
      <c r="E433" s="7"/>
      <c r="F433" s="7"/>
      <c r="G433" s="120"/>
      <c r="H433" s="120"/>
      <c r="I433" s="118"/>
      <c r="J433" s="118"/>
      <c r="K433" s="115"/>
      <c r="L433" s="115"/>
      <c r="M433" s="8"/>
      <c r="N433" s="8" t="str">
        <f t="shared" si="20"/>
        <v>-</v>
      </c>
      <c r="O433" s="126"/>
      <c r="P433" s="127"/>
      <c r="Q433" s="127"/>
      <c r="R433" s="126"/>
      <c r="S433" s="127"/>
      <c r="T433" s="8"/>
      <c r="U433" s="158"/>
      <c r="V433" s="7"/>
      <c r="W433" s="7"/>
      <c r="X433" s="146"/>
      <c r="Y433" s="7"/>
      <c r="Z433" s="7"/>
      <c r="AA433" s="7" t="str">
        <f>IFERROR((VLOOKUP(F433,#REF!,2,FALSE)),"-")</f>
        <v>-</v>
      </c>
      <c r="AB433" s="119" t="e">
        <f>CONCATENATE(F433," - ",I433," - ",#REF!,)</f>
        <v>#REF!</v>
      </c>
    </row>
    <row r="434" spans="1:28" s="116" customFormat="1" ht="15">
      <c r="A434" s="114"/>
      <c r="B434" s="120"/>
      <c r="C434" s="129" t="str">
        <f t="shared" si="18"/>
        <v>week-0</v>
      </c>
      <c r="D434" s="120" t="str">
        <f t="shared" si="19"/>
        <v>Jan</v>
      </c>
      <c r="E434" s="7"/>
      <c r="F434" s="7"/>
      <c r="G434" s="120"/>
      <c r="H434" s="120"/>
      <c r="I434" s="118"/>
      <c r="J434" s="118"/>
      <c r="K434" s="115"/>
      <c r="L434" s="115"/>
      <c r="M434" s="8"/>
      <c r="N434" s="8" t="str">
        <f t="shared" si="20"/>
        <v>-</v>
      </c>
      <c r="O434" s="126"/>
      <c r="P434" s="127"/>
      <c r="Q434" s="127"/>
      <c r="R434" s="126"/>
      <c r="S434" s="127"/>
      <c r="T434" s="8"/>
      <c r="U434" s="158"/>
      <c r="V434" s="7"/>
      <c r="W434" s="7"/>
      <c r="X434" s="146"/>
      <c r="Y434" s="7"/>
      <c r="Z434" s="7"/>
      <c r="AA434" s="7" t="str">
        <f>IFERROR((VLOOKUP(F434,#REF!,2,FALSE)),"-")</f>
        <v>-</v>
      </c>
      <c r="AB434" s="119" t="e">
        <f>CONCATENATE(F434," - ",I434," - ",#REF!,)</f>
        <v>#REF!</v>
      </c>
    </row>
    <row r="435" spans="1:28" s="116" customFormat="1" ht="15">
      <c r="A435" s="114"/>
      <c r="B435" s="120"/>
      <c r="C435" s="129" t="str">
        <f t="shared" si="18"/>
        <v>week-0</v>
      </c>
      <c r="D435" s="120" t="str">
        <f t="shared" si="19"/>
        <v>Jan</v>
      </c>
      <c r="E435" s="7"/>
      <c r="F435" s="7"/>
      <c r="G435" s="120"/>
      <c r="H435" s="120"/>
      <c r="I435" s="118"/>
      <c r="J435" s="118"/>
      <c r="K435" s="115"/>
      <c r="L435" s="115"/>
      <c r="M435" s="8"/>
      <c r="N435" s="8" t="str">
        <f t="shared" si="20"/>
        <v>-</v>
      </c>
      <c r="O435" s="127"/>
      <c r="P435" s="127"/>
      <c r="Q435" s="127"/>
      <c r="R435" s="127"/>
      <c r="S435" s="127"/>
      <c r="T435" s="139"/>
      <c r="U435" s="158"/>
      <c r="V435" s="7"/>
      <c r="W435" s="7"/>
      <c r="X435" s="146"/>
      <c r="Y435" s="7"/>
      <c r="Z435" s="7"/>
      <c r="AA435" s="7" t="str">
        <f>IFERROR((VLOOKUP(F435,#REF!,2,FALSE)),"-")</f>
        <v>-</v>
      </c>
      <c r="AB435" s="119" t="e">
        <f>CONCATENATE(F435," - ",I435," - ",#REF!,)</f>
        <v>#REF!</v>
      </c>
    </row>
    <row r="436" spans="1:28" s="116" customFormat="1" ht="15">
      <c r="A436" s="114"/>
      <c r="B436" s="120"/>
      <c r="C436" s="129" t="str">
        <f t="shared" si="18"/>
        <v>week-0</v>
      </c>
      <c r="D436" s="120" t="str">
        <f t="shared" si="19"/>
        <v>Jan</v>
      </c>
      <c r="E436" s="7"/>
      <c r="F436" s="7"/>
      <c r="G436" s="120"/>
      <c r="H436" s="120"/>
      <c r="I436" s="118"/>
      <c r="J436" s="118"/>
      <c r="K436" s="115"/>
      <c r="L436" s="115"/>
      <c r="M436" s="8"/>
      <c r="N436" s="8" t="str">
        <f t="shared" si="20"/>
        <v>-</v>
      </c>
      <c r="O436" s="126"/>
      <c r="P436" s="127"/>
      <c r="Q436" s="127"/>
      <c r="R436" s="126"/>
      <c r="S436" s="127"/>
      <c r="T436" s="8"/>
      <c r="U436" s="158"/>
      <c r="V436" s="7"/>
      <c r="W436" s="7"/>
      <c r="X436" s="146"/>
      <c r="Y436" s="7"/>
      <c r="Z436" s="7"/>
      <c r="AA436" s="7" t="str">
        <f>IFERROR((VLOOKUP(F436,#REF!,2,FALSE)),"-")</f>
        <v>-</v>
      </c>
      <c r="AB436" s="119" t="e">
        <f>CONCATENATE(F436," - ",I436," - ",#REF!,)</f>
        <v>#REF!</v>
      </c>
    </row>
    <row r="437" spans="1:28" s="116" customFormat="1" ht="15">
      <c r="A437" s="114"/>
      <c r="B437" s="120"/>
      <c r="C437" s="129" t="str">
        <f t="shared" si="18"/>
        <v>week-0</v>
      </c>
      <c r="D437" s="120" t="str">
        <f t="shared" si="19"/>
        <v>Jan</v>
      </c>
      <c r="E437" s="7"/>
      <c r="F437" s="7"/>
      <c r="G437" s="120"/>
      <c r="H437" s="120"/>
      <c r="I437" s="118"/>
      <c r="J437" s="118"/>
      <c r="K437" s="115"/>
      <c r="L437" s="115"/>
      <c r="M437" s="8"/>
      <c r="N437" s="8" t="str">
        <f t="shared" si="20"/>
        <v>-</v>
      </c>
      <c r="O437" s="126"/>
      <c r="P437" s="127"/>
      <c r="Q437" s="127"/>
      <c r="R437" s="126"/>
      <c r="S437" s="127"/>
      <c r="T437" s="8"/>
      <c r="U437" s="158"/>
      <c r="V437" s="7"/>
      <c r="W437" s="7"/>
      <c r="X437" s="146"/>
      <c r="Y437" s="7"/>
      <c r="Z437" s="7"/>
      <c r="AA437" s="7" t="str">
        <f>IFERROR((VLOOKUP(F437,#REF!,2,FALSE)),"-")</f>
        <v>-</v>
      </c>
      <c r="AB437" s="119" t="e">
        <f>CONCATENATE(F437," - ",I437," - ",#REF!,)</f>
        <v>#REF!</v>
      </c>
    </row>
    <row r="438" spans="1:28" s="116" customFormat="1" ht="15">
      <c r="A438" s="114"/>
      <c r="B438" s="120"/>
      <c r="C438" s="129" t="str">
        <f t="shared" si="18"/>
        <v>week-0</v>
      </c>
      <c r="D438" s="120" t="str">
        <f t="shared" si="19"/>
        <v>Jan</v>
      </c>
      <c r="E438" s="7"/>
      <c r="F438" s="7"/>
      <c r="G438" s="120"/>
      <c r="H438" s="120"/>
      <c r="I438" s="118"/>
      <c r="J438" s="118"/>
      <c r="K438" s="115"/>
      <c r="L438" s="115"/>
      <c r="M438" s="8"/>
      <c r="N438" s="8" t="str">
        <f t="shared" si="20"/>
        <v>-</v>
      </c>
      <c r="O438" s="127"/>
      <c r="P438" s="127"/>
      <c r="Q438" s="127"/>
      <c r="R438" s="127"/>
      <c r="S438" s="127"/>
      <c r="T438" s="139"/>
      <c r="U438" s="158"/>
      <c r="V438" s="7"/>
      <c r="W438" s="7"/>
      <c r="X438" s="146"/>
      <c r="Y438" s="7"/>
      <c r="Z438" s="7"/>
      <c r="AA438" s="7" t="str">
        <f>IFERROR((VLOOKUP(F438,#REF!,2,FALSE)),"-")</f>
        <v>-</v>
      </c>
      <c r="AB438" s="119" t="e">
        <f>CONCATENATE(F438," - ",I438," - ",#REF!,)</f>
        <v>#REF!</v>
      </c>
    </row>
    <row r="439" spans="1:28" s="116" customFormat="1" ht="15">
      <c r="A439" s="114"/>
      <c r="B439" s="120"/>
      <c r="C439" s="129" t="str">
        <f t="shared" si="18"/>
        <v>week-0</v>
      </c>
      <c r="D439" s="120" t="str">
        <f t="shared" si="19"/>
        <v>Jan</v>
      </c>
      <c r="E439" s="7"/>
      <c r="F439" s="7"/>
      <c r="G439" s="120"/>
      <c r="H439" s="120"/>
      <c r="I439" s="118"/>
      <c r="J439" s="118"/>
      <c r="K439" s="115"/>
      <c r="L439" s="115"/>
      <c r="M439" s="8"/>
      <c r="N439" s="8" t="str">
        <f t="shared" si="20"/>
        <v>-</v>
      </c>
      <c r="O439" s="126"/>
      <c r="P439" s="127"/>
      <c r="Q439" s="127"/>
      <c r="R439" s="126"/>
      <c r="S439" s="127"/>
      <c r="T439" s="8"/>
      <c r="U439" s="158"/>
      <c r="V439" s="7"/>
      <c r="W439" s="7"/>
      <c r="X439" s="146"/>
      <c r="Y439" s="7"/>
      <c r="Z439" s="7"/>
      <c r="AA439" s="7" t="str">
        <f>IFERROR((VLOOKUP(F439,#REF!,2,FALSE)),"-")</f>
        <v>-</v>
      </c>
      <c r="AB439" s="119" t="e">
        <f>CONCATENATE(F439," - ",I439," - ",#REF!,)</f>
        <v>#REF!</v>
      </c>
    </row>
    <row r="440" spans="1:28" s="116" customFormat="1" ht="15">
      <c r="A440" s="114"/>
      <c r="B440" s="120"/>
      <c r="C440" s="129" t="str">
        <f t="shared" si="18"/>
        <v>week-0</v>
      </c>
      <c r="D440" s="120" t="str">
        <f t="shared" si="19"/>
        <v>Jan</v>
      </c>
      <c r="E440" s="7"/>
      <c r="F440" s="7"/>
      <c r="G440" s="120"/>
      <c r="H440" s="120"/>
      <c r="I440" s="118"/>
      <c r="J440" s="118"/>
      <c r="K440" s="115"/>
      <c r="L440" s="115"/>
      <c r="M440" s="8"/>
      <c r="N440" s="8" t="str">
        <f t="shared" si="20"/>
        <v>-</v>
      </c>
      <c r="O440" s="126"/>
      <c r="P440" s="127"/>
      <c r="Q440" s="127"/>
      <c r="R440" s="126"/>
      <c r="S440" s="127"/>
      <c r="T440" s="8"/>
      <c r="U440" s="158"/>
      <c r="V440" s="7"/>
      <c r="W440" s="7"/>
      <c r="X440" s="146"/>
      <c r="Y440" s="7"/>
      <c r="Z440" s="7"/>
      <c r="AA440" s="7" t="str">
        <f>IFERROR((VLOOKUP(F440,#REF!,2,FALSE)),"-")</f>
        <v>-</v>
      </c>
      <c r="AB440" s="119" t="e">
        <f>CONCATENATE(F440," - ",I440," - ",#REF!,)</f>
        <v>#REF!</v>
      </c>
    </row>
    <row r="441" spans="1:28" s="116" customFormat="1" ht="15">
      <c r="A441" s="114"/>
      <c r="B441" s="120"/>
      <c r="C441" s="129" t="str">
        <f t="shared" si="18"/>
        <v>week-0</v>
      </c>
      <c r="D441" s="120" t="str">
        <f t="shared" si="19"/>
        <v>Jan</v>
      </c>
      <c r="E441" s="7"/>
      <c r="F441" s="7"/>
      <c r="G441" s="120"/>
      <c r="H441" s="120"/>
      <c r="I441" s="118"/>
      <c r="J441" s="118"/>
      <c r="K441" s="115"/>
      <c r="L441" s="115"/>
      <c r="M441" s="8"/>
      <c r="N441" s="8" t="str">
        <f t="shared" si="20"/>
        <v>-</v>
      </c>
      <c r="O441" s="126"/>
      <c r="P441" s="127"/>
      <c r="Q441" s="127"/>
      <c r="R441" s="126"/>
      <c r="S441" s="127"/>
      <c r="T441" s="8"/>
      <c r="U441" s="158"/>
      <c r="V441" s="7"/>
      <c r="W441" s="7"/>
      <c r="X441" s="146"/>
      <c r="Y441" s="7"/>
      <c r="Z441" s="7"/>
      <c r="AA441" s="7" t="str">
        <f>IFERROR((VLOOKUP(F441,#REF!,2,FALSE)),"-")</f>
        <v>-</v>
      </c>
      <c r="AB441" s="119" t="e">
        <f>CONCATENATE(F441," - ",I441," - ",#REF!,)</f>
        <v>#REF!</v>
      </c>
    </row>
    <row r="442" spans="1:28" s="116" customFormat="1" ht="15">
      <c r="A442" s="114"/>
      <c r="B442" s="120"/>
      <c r="C442" s="129" t="str">
        <f t="shared" si="18"/>
        <v>week-0</v>
      </c>
      <c r="D442" s="120" t="str">
        <f t="shared" si="19"/>
        <v>Jan</v>
      </c>
      <c r="E442" s="7"/>
      <c r="F442" s="7"/>
      <c r="G442" s="120"/>
      <c r="H442" s="120"/>
      <c r="I442" s="118"/>
      <c r="J442" s="118"/>
      <c r="K442" s="115"/>
      <c r="L442" s="115"/>
      <c r="M442" s="8"/>
      <c r="N442" s="8" t="str">
        <f t="shared" si="20"/>
        <v>-</v>
      </c>
      <c r="O442" s="127"/>
      <c r="P442" s="127"/>
      <c r="Q442" s="127"/>
      <c r="R442" s="127"/>
      <c r="S442" s="127"/>
      <c r="T442" s="139"/>
      <c r="U442" s="158"/>
      <c r="V442" s="7"/>
      <c r="W442" s="7"/>
      <c r="X442" s="146"/>
      <c r="Y442" s="7"/>
      <c r="Z442" s="7"/>
      <c r="AA442" s="7" t="str">
        <f>IFERROR((VLOOKUP(F442,#REF!,2,FALSE)),"-")</f>
        <v>-</v>
      </c>
      <c r="AB442" s="119" t="e">
        <f>CONCATENATE(F442," - ",I442," - ",#REF!,)</f>
        <v>#REF!</v>
      </c>
    </row>
    <row r="443" spans="1:28" s="116" customFormat="1" ht="15">
      <c r="A443" s="114"/>
      <c r="B443" s="120"/>
      <c r="C443" s="129" t="str">
        <f t="shared" si="18"/>
        <v>week-0</v>
      </c>
      <c r="D443" s="120" t="str">
        <f t="shared" si="19"/>
        <v>Jan</v>
      </c>
      <c r="E443" s="7"/>
      <c r="F443" s="7"/>
      <c r="G443" s="120"/>
      <c r="H443" s="120"/>
      <c r="I443" s="118"/>
      <c r="J443" s="118"/>
      <c r="K443" s="115"/>
      <c r="L443" s="115"/>
      <c r="M443" s="8"/>
      <c r="N443" s="8" t="str">
        <f t="shared" si="20"/>
        <v>-</v>
      </c>
      <c r="O443" s="126"/>
      <c r="P443" s="127"/>
      <c r="Q443" s="127"/>
      <c r="R443" s="126"/>
      <c r="S443" s="127"/>
      <c r="T443" s="8"/>
      <c r="U443" s="158"/>
      <c r="V443" s="7"/>
      <c r="W443" s="7"/>
      <c r="X443" s="146"/>
      <c r="Y443" s="7"/>
      <c r="Z443" s="7"/>
      <c r="AA443" s="7" t="str">
        <f>IFERROR((VLOOKUP(F443,#REF!,2,FALSE)),"-")</f>
        <v>-</v>
      </c>
      <c r="AB443" s="119" t="e">
        <f>CONCATENATE(F443," - ",I443," - ",#REF!,)</f>
        <v>#REF!</v>
      </c>
    </row>
    <row r="444" spans="1:28" s="116" customFormat="1" ht="15">
      <c r="A444" s="114"/>
      <c r="B444" s="120"/>
      <c r="C444" s="129" t="str">
        <f t="shared" si="18"/>
        <v>week-0</v>
      </c>
      <c r="D444" s="120" t="str">
        <f t="shared" si="19"/>
        <v>Jan</v>
      </c>
      <c r="E444" s="7"/>
      <c r="F444" s="7"/>
      <c r="G444" s="120"/>
      <c r="H444" s="120"/>
      <c r="I444" s="118"/>
      <c r="J444" s="118"/>
      <c r="K444" s="115"/>
      <c r="L444" s="115"/>
      <c r="M444" s="8"/>
      <c r="N444" s="8" t="str">
        <f t="shared" si="20"/>
        <v>-</v>
      </c>
      <c r="O444" s="126"/>
      <c r="P444" s="127"/>
      <c r="Q444" s="127"/>
      <c r="R444" s="126"/>
      <c r="S444" s="127"/>
      <c r="T444" s="8"/>
      <c r="U444" s="158"/>
      <c r="V444" s="7"/>
      <c r="W444" s="7"/>
      <c r="X444" s="146"/>
      <c r="Y444" s="7"/>
      <c r="Z444" s="7"/>
      <c r="AA444" s="7" t="str">
        <f>IFERROR((VLOOKUP(F444,#REF!,2,FALSE)),"-")</f>
        <v>-</v>
      </c>
      <c r="AB444" s="119" t="e">
        <f>CONCATENATE(F444," - ",I444," - ",#REF!,)</f>
        <v>#REF!</v>
      </c>
    </row>
    <row r="445" spans="1:28" s="116" customFormat="1" ht="15">
      <c r="A445" s="114"/>
      <c r="B445" s="120"/>
      <c r="C445" s="129" t="str">
        <f t="shared" si="18"/>
        <v>week-0</v>
      </c>
      <c r="D445" s="120" t="str">
        <f t="shared" si="19"/>
        <v>Jan</v>
      </c>
      <c r="E445" s="7"/>
      <c r="F445" s="7"/>
      <c r="G445" s="120"/>
      <c r="H445" s="120"/>
      <c r="I445" s="118"/>
      <c r="J445" s="118"/>
      <c r="K445" s="115"/>
      <c r="L445" s="115"/>
      <c r="M445" s="8"/>
      <c r="N445" s="8" t="str">
        <f t="shared" si="20"/>
        <v>-</v>
      </c>
      <c r="O445" s="126"/>
      <c r="P445" s="127"/>
      <c r="Q445" s="127"/>
      <c r="R445" s="126"/>
      <c r="S445" s="127"/>
      <c r="T445" s="8"/>
      <c r="U445" s="158"/>
      <c r="V445" s="7"/>
      <c r="W445" s="7"/>
      <c r="X445" s="146"/>
      <c r="Y445" s="7"/>
      <c r="Z445" s="7"/>
      <c r="AA445" s="7" t="str">
        <f>IFERROR((VLOOKUP(F445,#REF!,2,FALSE)),"-")</f>
        <v>-</v>
      </c>
      <c r="AB445" s="119" t="e">
        <f>CONCATENATE(F445," - ",I445," - ",#REF!,)</f>
        <v>#REF!</v>
      </c>
    </row>
    <row r="446" spans="1:28" s="116" customFormat="1" ht="15">
      <c r="A446" s="114"/>
      <c r="B446" s="120"/>
      <c r="C446" s="129" t="str">
        <f t="shared" si="18"/>
        <v>week-0</v>
      </c>
      <c r="D446" s="120" t="str">
        <f t="shared" si="19"/>
        <v>Jan</v>
      </c>
      <c r="E446" s="7"/>
      <c r="F446" s="7"/>
      <c r="G446" s="120"/>
      <c r="H446" s="120"/>
      <c r="I446" s="118"/>
      <c r="J446" s="118"/>
      <c r="K446" s="115"/>
      <c r="L446" s="115"/>
      <c r="M446" s="8"/>
      <c r="N446" s="8" t="str">
        <f t="shared" si="20"/>
        <v>-</v>
      </c>
      <c r="O446" s="126"/>
      <c r="P446" s="127"/>
      <c r="Q446" s="127"/>
      <c r="R446" s="126"/>
      <c r="S446" s="127"/>
      <c r="T446" s="8"/>
      <c r="U446" s="158"/>
      <c r="V446" s="7"/>
      <c r="W446" s="7"/>
      <c r="X446" s="146"/>
      <c r="Y446" s="7"/>
      <c r="Z446" s="7"/>
      <c r="AA446" s="7" t="str">
        <f>IFERROR((VLOOKUP(F446,#REF!,2,FALSE)),"-")</f>
        <v>-</v>
      </c>
      <c r="AB446" s="119" t="e">
        <f>CONCATENATE(F446," - ",I446," - ",#REF!,)</f>
        <v>#REF!</v>
      </c>
    </row>
    <row r="447" spans="1:28" s="116" customFormat="1" ht="15">
      <c r="A447" s="114"/>
      <c r="B447" s="120"/>
      <c r="C447" s="129" t="str">
        <f t="shared" si="18"/>
        <v>week-0</v>
      </c>
      <c r="D447" s="120" t="str">
        <f t="shared" si="19"/>
        <v>Jan</v>
      </c>
      <c r="E447" s="7"/>
      <c r="F447" s="7"/>
      <c r="G447" s="120"/>
      <c r="H447" s="120"/>
      <c r="I447" s="118"/>
      <c r="J447" s="118"/>
      <c r="K447" s="115"/>
      <c r="L447" s="115"/>
      <c r="M447" s="8"/>
      <c r="N447" s="8" t="str">
        <f t="shared" si="20"/>
        <v>-</v>
      </c>
      <c r="O447" s="126"/>
      <c r="P447" s="127"/>
      <c r="Q447" s="127"/>
      <c r="R447" s="126"/>
      <c r="S447" s="127"/>
      <c r="T447" s="8"/>
      <c r="U447" s="158"/>
      <c r="V447" s="7"/>
      <c r="W447" s="7"/>
      <c r="X447" s="146"/>
      <c r="Y447" s="7"/>
      <c r="Z447" s="7"/>
      <c r="AA447" s="7" t="str">
        <f>IFERROR((VLOOKUP(F447,#REF!,2,FALSE)),"-")</f>
        <v>-</v>
      </c>
      <c r="AB447" s="119" t="e">
        <f>CONCATENATE(F447," - ",I447," - ",#REF!,)</f>
        <v>#REF!</v>
      </c>
    </row>
    <row r="448" spans="1:28" s="116" customFormat="1" ht="15">
      <c r="A448" s="114"/>
      <c r="B448" s="120"/>
      <c r="C448" s="129" t="str">
        <f t="shared" si="18"/>
        <v>week-0</v>
      </c>
      <c r="D448" s="120" t="str">
        <f t="shared" si="19"/>
        <v>Jan</v>
      </c>
      <c r="E448" s="7"/>
      <c r="F448" s="7"/>
      <c r="G448" s="120"/>
      <c r="H448" s="120"/>
      <c r="I448" s="118"/>
      <c r="J448" s="118"/>
      <c r="K448" s="115"/>
      <c r="L448" s="115"/>
      <c r="M448" s="8"/>
      <c r="N448" s="8" t="str">
        <f t="shared" si="20"/>
        <v>-</v>
      </c>
      <c r="O448" s="126"/>
      <c r="P448" s="127"/>
      <c r="Q448" s="127"/>
      <c r="R448" s="126"/>
      <c r="S448" s="127"/>
      <c r="T448" s="8"/>
      <c r="U448" s="158"/>
      <c r="V448" s="7"/>
      <c r="W448" s="7"/>
      <c r="X448" s="146"/>
      <c r="Y448" s="7"/>
      <c r="Z448" s="7"/>
      <c r="AA448" s="7" t="str">
        <f>IFERROR((VLOOKUP(F448,#REF!,2,FALSE)),"-")</f>
        <v>-</v>
      </c>
      <c r="AB448" s="119" t="e">
        <f>CONCATENATE(F448," - ",I448," - ",#REF!,)</f>
        <v>#REF!</v>
      </c>
    </row>
    <row r="449" spans="1:28" s="116" customFormat="1" ht="15">
      <c r="A449" s="114"/>
      <c r="B449" s="120"/>
      <c r="C449" s="129" t="str">
        <f t="shared" si="18"/>
        <v>week-0</v>
      </c>
      <c r="D449" s="120" t="str">
        <f t="shared" si="19"/>
        <v>Jan</v>
      </c>
      <c r="E449" s="7"/>
      <c r="F449" s="7"/>
      <c r="G449" s="120"/>
      <c r="H449" s="120"/>
      <c r="I449" s="118"/>
      <c r="J449" s="118"/>
      <c r="K449" s="115"/>
      <c r="L449" s="115"/>
      <c r="M449" s="8"/>
      <c r="N449" s="8" t="str">
        <f t="shared" si="20"/>
        <v>-</v>
      </c>
      <c r="O449" s="126"/>
      <c r="P449" s="127"/>
      <c r="Q449" s="127"/>
      <c r="R449" s="126"/>
      <c r="S449" s="127"/>
      <c r="T449" s="8"/>
      <c r="U449" s="158"/>
      <c r="V449" s="7"/>
      <c r="W449" s="7"/>
      <c r="X449" s="146"/>
      <c r="Y449" s="7"/>
      <c r="Z449" s="7"/>
      <c r="AA449" s="7" t="str">
        <f>IFERROR((VLOOKUP(F449,#REF!,2,FALSE)),"-")</f>
        <v>-</v>
      </c>
      <c r="AB449" s="119" t="e">
        <f>CONCATENATE(F449," - ",I449," - ",#REF!,)</f>
        <v>#REF!</v>
      </c>
    </row>
    <row r="450" spans="1:28" s="116" customFormat="1" ht="15">
      <c r="A450" s="114"/>
      <c r="B450" s="120"/>
      <c r="C450" s="129" t="str">
        <f t="shared" si="18"/>
        <v>week-0</v>
      </c>
      <c r="D450" s="120" t="str">
        <f t="shared" si="19"/>
        <v>Jan</v>
      </c>
      <c r="E450" s="7"/>
      <c r="F450" s="7"/>
      <c r="G450" s="120"/>
      <c r="H450" s="120"/>
      <c r="I450" s="118"/>
      <c r="J450" s="118"/>
      <c r="K450" s="115"/>
      <c r="L450" s="115"/>
      <c r="M450" s="8"/>
      <c r="N450" s="8" t="str">
        <f t="shared" si="20"/>
        <v>-</v>
      </c>
      <c r="O450" s="126"/>
      <c r="P450" s="127"/>
      <c r="Q450" s="127"/>
      <c r="R450" s="126"/>
      <c r="S450" s="127"/>
      <c r="T450" s="8"/>
      <c r="U450" s="158"/>
      <c r="V450" s="7"/>
      <c r="W450" s="7"/>
      <c r="X450" s="146"/>
      <c r="Y450" s="7"/>
      <c r="Z450" s="7"/>
      <c r="AA450" s="7" t="str">
        <f>IFERROR((VLOOKUP(F450,#REF!,2,FALSE)),"-")</f>
        <v>-</v>
      </c>
      <c r="AB450" s="119" t="e">
        <f>CONCATENATE(F450," - ",I450," - ",#REF!,)</f>
        <v>#REF!</v>
      </c>
    </row>
    <row r="451" spans="1:28" s="116" customFormat="1" ht="15">
      <c r="A451" s="114"/>
      <c r="B451" s="120"/>
      <c r="C451" s="129" t="str">
        <f t="shared" si="18"/>
        <v>week-0</v>
      </c>
      <c r="D451" s="120" t="str">
        <f t="shared" si="19"/>
        <v>Jan</v>
      </c>
      <c r="E451" s="7"/>
      <c r="F451" s="7"/>
      <c r="G451" s="120"/>
      <c r="H451" s="120"/>
      <c r="I451" s="118"/>
      <c r="J451" s="118"/>
      <c r="K451" s="115"/>
      <c r="L451" s="115"/>
      <c r="M451" s="8"/>
      <c r="N451" s="8" t="str">
        <f t="shared" si="20"/>
        <v>-</v>
      </c>
      <c r="O451" s="126"/>
      <c r="P451" s="127"/>
      <c r="Q451" s="127"/>
      <c r="R451" s="126"/>
      <c r="S451" s="127"/>
      <c r="T451" s="8"/>
      <c r="U451" s="158"/>
      <c r="V451" s="7"/>
      <c r="W451" s="7"/>
      <c r="X451" s="146"/>
      <c r="Y451" s="7"/>
      <c r="Z451" s="7"/>
      <c r="AA451" s="7" t="str">
        <f>IFERROR((VLOOKUP(F451,#REF!,2,FALSE)),"-")</f>
        <v>-</v>
      </c>
      <c r="AB451" s="119" t="e">
        <f>CONCATENATE(F451," - ",I451," - ",#REF!,)</f>
        <v>#REF!</v>
      </c>
    </row>
    <row r="452" spans="1:28" s="116" customFormat="1" ht="15">
      <c r="A452" s="114"/>
      <c r="B452" s="120"/>
      <c r="C452" s="129" t="str">
        <f t="shared" ref="C452:C515" si="21">"week-"&amp;WEEKNUM(B452)</f>
        <v>week-0</v>
      </c>
      <c r="D452" s="120" t="str">
        <f t="shared" ref="D452:D515" si="22">TEXT(B452,"mmm")</f>
        <v>Jan</v>
      </c>
      <c r="E452" s="7"/>
      <c r="F452" s="7"/>
      <c r="G452" s="120"/>
      <c r="H452" s="120"/>
      <c r="I452" s="118"/>
      <c r="J452" s="118"/>
      <c r="K452" s="115"/>
      <c r="L452" s="115"/>
      <c r="M452" s="8"/>
      <c r="N452" s="8" t="str">
        <f t="shared" ref="N452:N515" si="23">IF(ISBLANK(M452),"-",(M452/60))</f>
        <v>-</v>
      </c>
      <c r="O452" s="126"/>
      <c r="P452" s="127"/>
      <c r="Q452" s="127"/>
      <c r="R452" s="126"/>
      <c r="S452" s="127"/>
      <c r="T452" s="8"/>
      <c r="U452" s="158"/>
      <c r="V452" s="7"/>
      <c r="W452" s="7"/>
      <c r="X452" s="146"/>
      <c r="Y452" s="7"/>
      <c r="Z452" s="7"/>
      <c r="AA452" s="7" t="str">
        <f>IFERROR((VLOOKUP(F452,#REF!,2,FALSE)),"-")</f>
        <v>-</v>
      </c>
      <c r="AB452" s="119" t="e">
        <f>CONCATENATE(F452," - ",I452," - ",#REF!,)</f>
        <v>#REF!</v>
      </c>
    </row>
    <row r="453" spans="1:28" s="116" customFormat="1" ht="15">
      <c r="A453" s="114"/>
      <c r="B453" s="120"/>
      <c r="C453" s="129" t="str">
        <f t="shared" si="21"/>
        <v>week-0</v>
      </c>
      <c r="D453" s="120" t="str">
        <f t="shared" si="22"/>
        <v>Jan</v>
      </c>
      <c r="E453" s="7"/>
      <c r="F453" s="7"/>
      <c r="G453" s="120"/>
      <c r="H453" s="120"/>
      <c r="I453" s="118"/>
      <c r="J453" s="118"/>
      <c r="K453" s="115"/>
      <c r="L453" s="115"/>
      <c r="M453" s="8"/>
      <c r="N453" s="8" t="str">
        <f t="shared" si="23"/>
        <v>-</v>
      </c>
      <c r="O453" s="127"/>
      <c r="P453" s="127"/>
      <c r="Q453" s="127"/>
      <c r="R453" s="127"/>
      <c r="S453" s="127"/>
      <c r="T453" s="139"/>
      <c r="U453" s="158"/>
      <c r="V453" s="7"/>
      <c r="W453" s="7"/>
      <c r="X453" s="146"/>
      <c r="Y453" s="7"/>
      <c r="Z453" s="7"/>
      <c r="AA453" s="7" t="str">
        <f>IFERROR((VLOOKUP(F453,#REF!,2,FALSE)),"-")</f>
        <v>-</v>
      </c>
      <c r="AB453" s="119" t="e">
        <f>CONCATENATE(F453," - ",I453," - ",#REF!,)</f>
        <v>#REF!</v>
      </c>
    </row>
    <row r="454" spans="1:28" s="116" customFormat="1" ht="15">
      <c r="A454" s="114"/>
      <c r="B454" s="120"/>
      <c r="C454" s="129" t="str">
        <f t="shared" si="21"/>
        <v>week-0</v>
      </c>
      <c r="D454" s="120" t="str">
        <f t="shared" si="22"/>
        <v>Jan</v>
      </c>
      <c r="E454" s="7"/>
      <c r="F454" s="7"/>
      <c r="G454" s="120"/>
      <c r="H454" s="120"/>
      <c r="I454" s="118"/>
      <c r="J454" s="118"/>
      <c r="K454" s="115"/>
      <c r="L454" s="115"/>
      <c r="M454" s="8"/>
      <c r="N454" s="8" t="str">
        <f t="shared" si="23"/>
        <v>-</v>
      </c>
      <c r="O454" s="127"/>
      <c r="P454" s="127"/>
      <c r="Q454" s="127"/>
      <c r="R454" s="127"/>
      <c r="S454" s="127"/>
      <c r="T454" s="139"/>
      <c r="U454" s="158"/>
      <c r="V454" s="7"/>
      <c r="W454" s="7"/>
      <c r="X454" s="146"/>
      <c r="Y454" s="7"/>
      <c r="Z454" s="7"/>
      <c r="AA454" s="7" t="str">
        <f>IFERROR((VLOOKUP(F454,#REF!,2,FALSE)),"-")</f>
        <v>-</v>
      </c>
      <c r="AB454" s="119" t="e">
        <f>CONCATENATE(F454," - ",I454," - ",#REF!,)</f>
        <v>#REF!</v>
      </c>
    </row>
    <row r="455" spans="1:28" s="116" customFormat="1" ht="15">
      <c r="A455" s="114"/>
      <c r="B455" s="120"/>
      <c r="C455" s="129" t="str">
        <f t="shared" si="21"/>
        <v>week-0</v>
      </c>
      <c r="D455" s="120" t="str">
        <f t="shared" si="22"/>
        <v>Jan</v>
      </c>
      <c r="E455" s="7"/>
      <c r="F455" s="7"/>
      <c r="G455" s="120"/>
      <c r="H455" s="120"/>
      <c r="I455" s="118"/>
      <c r="J455" s="118"/>
      <c r="K455" s="115"/>
      <c r="L455" s="115"/>
      <c r="M455" s="8"/>
      <c r="N455" s="8" t="str">
        <f t="shared" si="23"/>
        <v>-</v>
      </c>
      <c r="O455" s="127"/>
      <c r="P455" s="127"/>
      <c r="Q455" s="127"/>
      <c r="R455" s="127"/>
      <c r="S455" s="127"/>
      <c r="T455" s="139"/>
      <c r="U455" s="158"/>
      <c r="V455" s="7"/>
      <c r="W455" s="7"/>
      <c r="X455" s="146"/>
      <c r="Y455" s="7"/>
      <c r="Z455" s="7"/>
      <c r="AA455" s="7" t="str">
        <f>IFERROR((VLOOKUP(F455,#REF!,2,FALSE)),"-")</f>
        <v>-</v>
      </c>
      <c r="AB455" s="119" t="e">
        <f>CONCATENATE(F455," - ",I455," - ",#REF!,)</f>
        <v>#REF!</v>
      </c>
    </row>
    <row r="456" spans="1:28" s="116" customFormat="1" ht="15">
      <c r="A456" s="114"/>
      <c r="B456" s="120"/>
      <c r="C456" s="129" t="str">
        <f t="shared" si="21"/>
        <v>week-0</v>
      </c>
      <c r="D456" s="120" t="str">
        <f t="shared" si="22"/>
        <v>Jan</v>
      </c>
      <c r="E456" s="7"/>
      <c r="F456" s="7"/>
      <c r="G456" s="120"/>
      <c r="H456" s="120"/>
      <c r="I456" s="118"/>
      <c r="J456" s="118"/>
      <c r="K456" s="115"/>
      <c r="L456" s="115"/>
      <c r="M456" s="8"/>
      <c r="N456" s="8" t="str">
        <f t="shared" si="23"/>
        <v>-</v>
      </c>
      <c r="O456" s="126"/>
      <c r="P456" s="127"/>
      <c r="Q456" s="127"/>
      <c r="R456" s="126"/>
      <c r="S456" s="127"/>
      <c r="T456" s="8"/>
      <c r="U456" s="158"/>
      <c r="V456" s="7"/>
      <c r="W456" s="7"/>
      <c r="X456" s="146"/>
      <c r="Y456" s="7"/>
      <c r="Z456" s="7"/>
      <c r="AA456" s="7" t="str">
        <f>IFERROR((VLOOKUP(F456,#REF!,2,FALSE)),"-")</f>
        <v>-</v>
      </c>
      <c r="AB456" s="119" t="e">
        <f>CONCATENATE(F456," - ",I456," - ",#REF!,)</f>
        <v>#REF!</v>
      </c>
    </row>
    <row r="457" spans="1:28" s="116" customFormat="1" ht="15">
      <c r="A457" s="114"/>
      <c r="B457" s="120"/>
      <c r="C457" s="129" t="str">
        <f t="shared" si="21"/>
        <v>week-0</v>
      </c>
      <c r="D457" s="120" t="str">
        <f t="shared" si="22"/>
        <v>Jan</v>
      </c>
      <c r="E457" s="7"/>
      <c r="F457" s="7"/>
      <c r="G457" s="120"/>
      <c r="H457" s="120"/>
      <c r="I457" s="118"/>
      <c r="J457" s="118"/>
      <c r="K457" s="115"/>
      <c r="L457" s="115"/>
      <c r="M457" s="8"/>
      <c r="N457" s="8" t="str">
        <f t="shared" si="23"/>
        <v>-</v>
      </c>
      <c r="O457" s="126"/>
      <c r="P457" s="127"/>
      <c r="Q457" s="127"/>
      <c r="R457" s="126"/>
      <c r="S457" s="127"/>
      <c r="T457" s="8"/>
      <c r="U457" s="158"/>
      <c r="V457" s="7"/>
      <c r="W457" s="7"/>
      <c r="X457" s="146"/>
      <c r="Y457" s="7"/>
      <c r="Z457" s="7"/>
      <c r="AA457" s="7" t="str">
        <f>IFERROR((VLOOKUP(F457,#REF!,2,FALSE)),"-")</f>
        <v>-</v>
      </c>
      <c r="AB457" s="119" t="e">
        <f>CONCATENATE(F457," - ",I457," - ",#REF!,)</f>
        <v>#REF!</v>
      </c>
    </row>
    <row r="458" spans="1:28" s="116" customFormat="1" ht="15">
      <c r="A458" s="114"/>
      <c r="B458" s="120"/>
      <c r="C458" s="129" t="str">
        <f t="shared" si="21"/>
        <v>week-0</v>
      </c>
      <c r="D458" s="120" t="str">
        <f t="shared" si="22"/>
        <v>Jan</v>
      </c>
      <c r="E458" s="7"/>
      <c r="F458" s="7"/>
      <c r="G458" s="120"/>
      <c r="H458" s="120"/>
      <c r="I458" s="118"/>
      <c r="J458" s="118"/>
      <c r="K458" s="115"/>
      <c r="L458" s="115"/>
      <c r="M458" s="8"/>
      <c r="N458" s="8" t="str">
        <f t="shared" si="23"/>
        <v>-</v>
      </c>
      <c r="O458" s="126"/>
      <c r="P458" s="127"/>
      <c r="Q458" s="127"/>
      <c r="R458" s="126"/>
      <c r="S458" s="127"/>
      <c r="T458" s="8"/>
      <c r="U458" s="158"/>
      <c r="V458" s="7"/>
      <c r="W458" s="7"/>
      <c r="X458" s="146"/>
      <c r="Y458" s="7"/>
      <c r="Z458" s="7"/>
      <c r="AA458" s="7" t="str">
        <f>IFERROR((VLOOKUP(F458,#REF!,2,FALSE)),"-")</f>
        <v>-</v>
      </c>
      <c r="AB458" s="119" t="e">
        <f>CONCATENATE(F458," - ",I458," - ",#REF!,)</f>
        <v>#REF!</v>
      </c>
    </row>
    <row r="459" spans="1:28" s="116" customFormat="1" ht="15">
      <c r="A459" s="114"/>
      <c r="B459" s="120"/>
      <c r="C459" s="129" t="str">
        <f t="shared" si="21"/>
        <v>week-0</v>
      </c>
      <c r="D459" s="120" t="str">
        <f t="shared" si="22"/>
        <v>Jan</v>
      </c>
      <c r="E459" s="7"/>
      <c r="F459" s="7"/>
      <c r="G459" s="120"/>
      <c r="H459" s="120"/>
      <c r="I459" s="118"/>
      <c r="J459" s="118"/>
      <c r="K459" s="115"/>
      <c r="L459" s="115"/>
      <c r="M459" s="8"/>
      <c r="N459" s="8" t="str">
        <f t="shared" si="23"/>
        <v>-</v>
      </c>
      <c r="O459" s="126"/>
      <c r="P459" s="127"/>
      <c r="Q459" s="127"/>
      <c r="R459" s="126"/>
      <c r="S459" s="127"/>
      <c r="T459" s="8"/>
      <c r="U459" s="158"/>
      <c r="V459" s="7"/>
      <c r="W459" s="7"/>
      <c r="X459" s="146"/>
      <c r="Y459" s="7"/>
      <c r="Z459" s="7"/>
      <c r="AA459" s="7" t="str">
        <f>IFERROR((VLOOKUP(F459,#REF!,2,FALSE)),"-")</f>
        <v>-</v>
      </c>
      <c r="AB459" s="119" t="e">
        <f>CONCATENATE(F459," - ",I459," - ",#REF!,)</f>
        <v>#REF!</v>
      </c>
    </row>
    <row r="460" spans="1:28" s="116" customFormat="1" ht="15">
      <c r="A460" s="114"/>
      <c r="B460" s="120"/>
      <c r="C460" s="129" t="str">
        <f t="shared" si="21"/>
        <v>week-0</v>
      </c>
      <c r="D460" s="120" t="str">
        <f t="shared" si="22"/>
        <v>Jan</v>
      </c>
      <c r="E460" s="7"/>
      <c r="F460" s="7"/>
      <c r="G460" s="120"/>
      <c r="H460" s="120"/>
      <c r="I460" s="118"/>
      <c r="J460" s="118"/>
      <c r="K460" s="115"/>
      <c r="L460" s="115"/>
      <c r="M460" s="8"/>
      <c r="N460" s="8" t="str">
        <f t="shared" si="23"/>
        <v>-</v>
      </c>
      <c r="O460" s="127"/>
      <c r="P460" s="127"/>
      <c r="Q460" s="127"/>
      <c r="R460" s="127"/>
      <c r="S460" s="127"/>
      <c r="T460" s="139"/>
      <c r="U460" s="158"/>
      <c r="V460" s="7"/>
      <c r="W460" s="7"/>
      <c r="X460" s="146"/>
      <c r="Y460" s="7"/>
      <c r="Z460" s="7"/>
      <c r="AA460" s="7" t="str">
        <f>IFERROR((VLOOKUP(F460,#REF!,2,FALSE)),"-")</f>
        <v>-</v>
      </c>
      <c r="AB460" s="119" t="e">
        <f>CONCATENATE(F460," - ",I460," - ",#REF!,)</f>
        <v>#REF!</v>
      </c>
    </row>
    <row r="461" spans="1:28" s="116" customFormat="1" ht="15">
      <c r="A461" s="114"/>
      <c r="B461" s="120"/>
      <c r="C461" s="129" t="str">
        <f t="shared" si="21"/>
        <v>week-0</v>
      </c>
      <c r="D461" s="120" t="str">
        <f t="shared" si="22"/>
        <v>Jan</v>
      </c>
      <c r="E461" s="7"/>
      <c r="F461" s="7"/>
      <c r="G461" s="120"/>
      <c r="H461" s="120"/>
      <c r="I461" s="118"/>
      <c r="J461" s="118"/>
      <c r="K461" s="115"/>
      <c r="L461" s="115"/>
      <c r="M461" s="8"/>
      <c r="N461" s="8" t="str">
        <f t="shared" si="23"/>
        <v>-</v>
      </c>
      <c r="O461" s="126"/>
      <c r="P461" s="127"/>
      <c r="Q461" s="127"/>
      <c r="R461" s="126"/>
      <c r="S461" s="127"/>
      <c r="T461" s="8"/>
      <c r="U461" s="158"/>
      <c r="V461" s="7"/>
      <c r="W461" s="7"/>
      <c r="X461" s="146"/>
      <c r="Y461" s="7"/>
      <c r="Z461" s="7"/>
      <c r="AA461" s="7" t="str">
        <f>IFERROR((VLOOKUP(F461,#REF!,2,FALSE)),"-")</f>
        <v>-</v>
      </c>
      <c r="AB461" s="119" t="e">
        <f>CONCATENATE(F461," - ",I461," - ",#REF!,)</f>
        <v>#REF!</v>
      </c>
    </row>
    <row r="462" spans="1:28" s="116" customFormat="1" ht="15">
      <c r="A462" s="114"/>
      <c r="B462" s="120"/>
      <c r="C462" s="129" t="str">
        <f t="shared" si="21"/>
        <v>week-0</v>
      </c>
      <c r="D462" s="120" t="str">
        <f t="shared" si="22"/>
        <v>Jan</v>
      </c>
      <c r="E462" s="7"/>
      <c r="F462" s="7"/>
      <c r="G462" s="120"/>
      <c r="H462" s="120"/>
      <c r="I462" s="118"/>
      <c r="J462" s="118"/>
      <c r="K462" s="115"/>
      <c r="L462" s="115"/>
      <c r="M462" s="8"/>
      <c r="N462" s="8" t="str">
        <f t="shared" si="23"/>
        <v>-</v>
      </c>
      <c r="O462" s="126"/>
      <c r="P462" s="127"/>
      <c r="Q462" s="127"/>
      <c r="R462" s="126"/>
      <c r="S462" s="127"/>
      <c r="T462" s="8"/>
      <c r="U462" s="158"/>
      <c r="V462" s="7"/>
      <c r="W462" s="7"/>
      <c r="X462" s="146"/>
      <c r="Y462" s="7"/>
      <c r="Z462" s="7"/>
      <c r="AA462" s="7"/>
      <c r="AB462" s="119" t="e">
        <f>CONCATENATE(F462," - ",I462," - ",#REF!,)</f>
        <v>#REF!</v>
      </c>
    </row>
    <row r="463" spans="1:28" s="116" customFormat="1" ht="15">
      <c r="A463" s="114"/>
      <c r="B463" s="120"/>
      <c r="C463" s="129" t="str">
        <f t="shared" si="21"/>
        <v>week-0</v>
      </c>
      <c r="D463" s="120" t="str">
        <f t="shared" si="22"/>
        <v>Jan</v>
      </c>
      <c r="E463" s="7"/>
      <c r="F463" s="7"/>
      <c r="G463" s="120"/>
      <c r="H463" s="120"/>
      <c r="I463" s="118"/>
      <c r="J463" s="118"/>
      <c r="K463" s="115"/>
      <c r="L463" s="115"/>
      <c r="M463" s="8"/>
      <c r="N463" s="8" t="str">
        <f t="shared" si="23"/>
        <v>-</v>
      </c>
      <c r="O463" s="127"/>
      <c r="P463" s="127"/>
      <c r="Q463" s="127"/>
      <c r="R463" s="127"/>
      <c r="S463" s="127"/>
      <c r="T463" s="139"/>
      <c r="U463" s="158"/>
      <c r="V463" s="7"/>
      <c r="W463" s="7"/>
      <c r="X463" s="146"/>
      <c r="Y463" s="7"/>
      <c r="Z463" s="7"/>
      <c r="AA463" s="7" t="str">
        <f>IFERROR((VLOOKUP(F463,#REF!,2,FALSE)),"-")</f>
        <v>-</v>
      </c>
      <c r="AB463" s="119" t="e">
        <f>CONCATENATE(F463," - ",I463," - ",#REF!,)</f>
        <v>#REF!</v>
      </c>
    </row>
    <row r="464" spans="1:28" s="116" customFormat="1" ht="15">
      <c r="A464" s="114"/>
      <c r="B464" s="120"/>
      <c r="C464" s="129" t="str">
        <f t="shared" si="21"/>
        <v>week-0</v>
      </c>
      <c r="D464" s="120" t="str">
        <f t="shared" si="22"/>
        <v>Jan</v>
      </c>
      <c r="E464" s="7"/>
      <c r="F464" s="7"/>
      <c r="G464" s="120"/>
      <c r="H464" s="120"/>
      <c r="I464" s="118"/>
      <c r="J464" s="118"/>
      <c r="K464" s="115"/>
      <c r="L464" s="115"/>
      <c r="M464" s="8"/>
      <c r="N464" s="8" t="str">
        <f t="shared" si="23"/>
        <v>-</v>
      </c>
      <c r="O464" s="127"/>
      <c r="P464" s="127"/>
      <c r="Q464" s="127"/>
      <c r="R464" s="127"/>
      <c r="S464" s="127"/>
      <c r="T464" s="139"/>
      <c r="U464" s="158"/>
      <c r="V464" s="7"/>
      <c r="W464" s="7"/>
      <c r="X464" s="146"/>
      <c r="Y464" s="7"/>
      <c r="Z464" s="7"/>
      <c r="AA464" s="7"/>
      <c r="AB464" s="119" t="e">
        <f>CONCATENATE(F464," - ",I464," - ",#REF!,)</f>
        <v>#REF!</v>
      </c>
    </row>
    <row r="465" spans="1:28" s="116" customFormat="1" ht="15">
      <c r="A465" s="114"/>
      <c r="B465" s="120"/>
      <c r="C465" s="129" t="str">
        <f t="shared" si="21"/>
        <v>week-0</v>
      </c>
      <c r="D465" s="120" t="str">
        <f t="shared" si="22"/>
        <v>Jan</v>
      </c>
      <c r="E465" s="7"/>
      <c r="F465" s="7"/>
      <c r="G465" s="120"/>
      <c r="H465" s="120"/>
      <c r="I465" s="118"/>
      <c r="J465" s="118"/>
      <c r="K465" s="115"/>
      <c r="L465" s="115"/>
      <c r="M465" s="8"/>
      <c r="N465" s="8" t="str">
        <f t="shared" si="23"/>
        <v>-</v>
      </c>
      <c r="O465" s="127"/>
      <c r="P465" s="127"/>
      <c r="Q465" s="127"/>
      <c r="R465" s="127"/>
      <c r="S465" s="127"/>
      <c r="T465" s="139"/>
      <c r="U465" s="158"/>
      <c r="V465" s="7"/>
      <c r="W465" s="7"/>
      <c r="X465" s="146"/>
      <c r="Y465" s="7"/>
      <c r="Z465" s="7"/>
      <c r="AA465" s="7"/>
      <c r="AB465" s="119" t="e">
        <f>CONCATENATE(F465," - ",I465," - ",#REF!,)</f>
        <v>#REF!</v>
      </c>
    </row>
    <row r="466" spans="1:28" s="116" customFormat="1" ht="15">
      <c r="A466" s="114"/>
      <c r="B466" s="120"/>
      <c r="C466" s="129" t="str">
        <f t="shared" si="21"/>
        <v>week-0</v>
      </c>
      <c r="D466" s="120" t="str">
        <f t="shared" si="22"/>
        <v>Jan</v>
      </c>
      <c r="E466" s="7"/>
      <c r="F466" s="7"/>
      <c r="G466" s="120"/>
      <c r="H466" s="120"/>
      <c r="I466" s="118"/>
      <c r="J466" s="118"/>
      <c r="K466" s="115"/>
      <c r="L466" s="115"/>
      <c r="M466" s="8"/>
      <c r="N466" s="8" t="str">
        <f t="shared" si="23"/>
        <v>-</v>
      </c>
      <c r="O466" s="127"/>
      <c r="P466" s="127"/>
      <c r="Q466" s="127"/>
      <c r="R466" s="127"/>
      <c r="S466" s="127"/>
      <c r="T466" s="139"/>
      <c r="U466" s="158"/>
      <c r="V466" s="7"/>
      <c r="W466" s="7"/>
      <c r="X466" s="146"/>
      <c r="Y466" s="7"/>
      <c r="Z466" s="7"/>
      <c r="AA466" s="7" t="str">
        <f>IFERROR((VLOOKUP(F466,#REF!,2,FALSE)),"-")</f>
        <v>-</v>
      </c>
      <c r="AB466" s="119" t="e">
        <f>CONCATENATE(F466," - ",I466," - ",#REF!,)</f>
        <v>#REF!</v>
      </c>
    </row>
    <row r="467" spans="1:28" s="116" customFormat="1" ht="15">
      <c r="A467" s="114"/>
      <c r="B467" s="120"/>
      <c r="C467" s="129" t="str">
        <f t="shared" si="21"/>
        <v>week-0</v>
      </c>
      <c r="D467" s="120" t="str">
        <f t="shared" si="22"/>
        <v>Jan</v>
      </c>
      <c r="E467" s="7"/>
      <c r="F467" s="7"/>
      <c r="G467" s="120"/>
      <c r="H467" s="120"/>
      <c r="I467" s="118"/>
      <c r="J467" s="118"/>
      <c r="K467" s="115"/>
      <c r="L467" s="115"/>
      <c r="M467" s="8"/>
      <c r="N467" s="8" t="str">
        <f t="shared" si="23"/>
        <v>-</v>
      </c>
      <c r="O467" s="126"/>
      <c r="P467" s="127"/>
      <c r="Q467" s="127"/>
      <c r="R467" s="126"/>
      <c r="S467" s="127"/>
      <c r="T467" s="8"/>
      <c r="U467" s="158"/>
      <c r="V467" s="7"/>
      <c r="W467" s="7"/>
      <c r="X467" s="146"/>
      <c r="Y467" s="7"/>
      <c r="Z467" s="7"/>
      <c r="AA467" s="7" t="str">
        <f>IFERROR((VLOOKUP(F467,#REF!,2,FALSE)),"-")</f>
        <v>-</v>
      </c>
      <c r="AB467" s="119" t="e">
        <f>CONCATENATE(F467," - ",I467," - ",#REF!,)</f>
        <v>#REF!</v>
      </c>
    </row>
    <row r="468" spans="1:28" s="116" customFormat="1" ht="15">
      <c r="A468" s="114"/>
      <c r="B468" s="120"/>
      <c r="C468" s="129" t="str">
        <f t="shared" si="21"/>
        <v>week-0</v>
      </c>
      <c r="D468" s="120" t="str">
        <f t="shared" si="22"/>
        <v>Jan</v>
      </c>
      <c r="E468" s="7"/>
      <c r="F468" s="7"/>
      <c r="G468" s="120"/>
      <c r="H468" s="120"/>
      <c r="I468" s="118"/>
      <c r="J468" s="118"/>
      <c r="K468" s="115"/>
      <c r="L468" s="115"/>
      <c r="M468" s="8"/>
      <c r="N468" s="8" t="str">
        <f t="shared" si="23"/>
        <v>-</v>
      </c>
      <c r="O468" s="127"/>
      <c r="P468" s="127"/>
      <c r="Q468" s="127"/>
      <c r="R468" s="127"/>
      <c r="S468" s="127"/>
      <c r="T468" s="139"/>
      <c r="U468" s="158"/>
      <c r="V468" s="7"/>
      <c r="W468" s="7"/>
      <c r="X468" s="146"/>
      <c r="Y468" s="7"/>
      <c r="Z468" s="7"/>
      <c r="AA468" s="7" t="str">
        <f>IFERROR((VLOOKUP(F468,#REF!,2,FALSE)),"-")</f>
        <v>-</v>
      </c>
      <c r="AB468" s="119" t="e">
        <f>CONCATENATE(F468," - ",I468," - ",#REF!,)</f>
        <v>#REF!</v>
      </c>
    </row>
    <row r="469" spans="1:28" s="116" customFormat="1" ht="15">
      <c r="A469" s="114"/>
      <c r="B469" s="120"/>
      <c r="C469" s="129" t="str">
        <f t="shared" si="21"/>
        <v>week-0</v>
      </c>
      <c r="D469" s="120" t="str">
        <f t="shared" si="22"/>
        <v>Jan</v>
      </c>
      <c r="E469" s="7"/>
      <c r="F469" s="7"/>
      <c r="G469" s="120"/>
      <c r="H469" s="120"/>
      <c r="I469" s="118"/>
      <c r="J469" s="118"/>
      <c r="K469" s="115"/>
      <c r="L469" s="115"/>
      <c r="M469" s="8"/>
      <c r="N469" s="8" t="str">
        <f t="shared" si="23"/>
        <v>-</v>
      </c>
      <c r="O469" s="126"/>
      <c r="P469" s="127"/>
      <c r="Q469" s="127"/>
      <c r="R469" s="126"/>
      <c r="S469" s="127"/>
      <c r="T469" s="8"/>
      <c r="U469" s="158"/>
      <c r="V469" s="7"/>
      <c r="W469" s="7"/>
      <c r="X469" s="146"/>
      <c r="Y469" s="7"/>
      <c r="Z469" s="7"/>
      <c r="AA469" s="7" t="str">
        <f>IFERROR((VLOOKUP(F469,#REF!,2,FALSE)),"-")</f>
        <v>-</v>
      </c>
      <c r="AB469" s="119" t="e">
        <f>CONCATENATE(F469," - ",I469," - ",#REF!,)</f>
        <v>#REF!</v>
      </c>
    </row>
    <row r="470" spans="1:28" s="116" customFormat="1" ht="15">
      <c r="A470" s="114"/>
      <c r="B470" s="120"/>
      <c r="C470" s="129" t="str">
        <f t="shared" si="21"/>
        <v>week-0</v>
      </c>
      <c r="D470" s="120" t="str">
        <f t="shared" si="22"/>
        <v>Jan</v>
      </c>
      <c r="E470" s="7"/>
      <c r="F470" s="7"/>
      <c r="G470" s="120"/>
      <c r="H470" s="120"/>
      <c r="I470" s="118"/>
      <c r="J470" s="118"/>
      <c r="K470" s="115"/>
      <c r="L470" s="115"/>
      <c r="M470" s="8"/>
      <c r="N470" s="8" t="str">
        <f t="shared" si="23"/>
        <v>-</v>
      </c>
      <c r="O470" s="126"/>
      <c r="P470" s="127"/>
      <c r="Q470" s="127"/>
      <c r="R470" s="126"/>
      <c r="S470" s="127"/>
      <c r="T470" s="8"/>
      <c r="U470" s="158"/>
      <c r="V470" s="7"/>
      <c r="W470" s="7"/>
      <c r="X470" s="146"/>
      <c r="Y470" s="7"/>
      <c r="Z470" s="7"/>
      <c r="AA470" s="7" t="str">
        <f>IFERROR((VLOOKUP(F470,#REF!,2,FALSE)),"-")</f>
        <v>-</v>
      </c>
      <c r="AB470" s="119" t="e">
        <f>CONCATENATE(F470," - ",I470," - ",#REF!,)</f>
        <v>#REF!</v>
      </c>
    </row>
    <row r="471" spans="1:28" s="116" customFormat="1" ht="15">
      <c r="A471" s="114"/>
      <c r="B471" s="120"/>
      <c r="C471" s="129" t="str">
        <f t="shared" si="21"/>
        <v>week-0</v>
      </c>
      <c r="D471" s="120" t="str">
        <f t="shared" si="22"/>
        <v>Jan</v>
      </c>
      <c r="E471" s="7"/>
      <c r="F471" s="7"/>
      <c r="G471" s="120"/>
      <c r="H471" s="120"/>
      <c r="I471" s="118"/>
      <c r="J471" s="118"/>
      <c r="K471" s="115"/>
      <c r="L471" s="115"/>
      <c r="M471" s="8"/>
      <c r="N471" s="8" t="str">
        <f t="shared" si="23"/>
        <v>-</v>
      </c>
      <c r="O471" s="126"/>
      <c r="P471" s="127"/>
      <c r="Q471" s="127"/>
      <c r="R471" s="126"/>
      <c r="S471" s="127"/>
      <c r="T471" s="8"/>
      <c r="U471" s="158"/>
      <c r="V471" s="7"/>
      <c r="W471" s="7"/>
      <c r="X471" s="146"/>
      <c r="Y471" s="7"/>
      <c r="Z471" s="7"/>
      <c r="AA471" s="7" t="str">
        <f>IFERROR((VLOOKUP(F471,#REF!,2,FALSE)),"-")</f>
        <v>-</v>
      </c>
      <c r="AB471" s="119" t="e">
        <f>CONCATENATE(F471," - ",I471," - ",#REF!,)</f>
        <v>#REF!</v>
      </c>
    </row>
    <row r="472" spans="1:28" s="116" customFormat="1" ht="15">
      <c r="A472" s="114"/>
      <c r="B472" s="120"/>
      <c r="C472" s="129" t="str">
        <f t="shared" si="21"/>
        <v>week-0</v>
      </c>
      <c r="D472" s="120" t="str">
        <f t="shared" si="22"/>
        <v>Jan</v>
      </c>
      <c r="E472" s="7"/>
      <c r="F472" s="7"/>
      <c r="G472" s="120"/>
      <c r="H472" s="120"/>
      <c r="I472" s="118"/>
      <c r="J472" s="118"/>
      <c r="K472" s="115"/>
      <c r="L472" s="115"/>
      <c r="M472" s="8"/>
      <c r="N472" s="8" t="str">
        <f t="shared" si="23"/>
        <v>-</v>
      </c>
      <c r="O472" s="126"/>
      <c r="P472" s="127"/>
      <c r="Q472" s="127"/>
      <c r="R472" s="126"/>
      <c r="S472" s="127"/>
      <c r="T472" s="8"/>
      <c r="U472" s="158"/>
      <c r="V472" s="7"/>
      <c r="W472" s="7"/>
      <c r="X472" s="146"/>
      <c r="Y472" s="7"/>
      <c r="Z472" s="7"/>
      <c r="AA472" s="7" t="str">
        <f>IFERROR((VLOOKUP(F472,#REF!,2,FALSE)),"-")</f>
        <v>-</v>
      </c>
      <c r="AB472" s="119" t="e">
        <f>CONCATENATE(F472," - ",I472," - ",#REF!,)</f>
        <v>#REF!</v>
      </c>
    </row>
    <row r="473" spans="1:28" s="116" customFormat="1" ht="15">
      <c r="A473" s="114"/>
      <c r="B473" s="120"/>
      <c r="C473" s="129" t="str">
        <f t="shared" si="21"/>
        <v>week-0</v>
      </c>
      <c r="D473" s="120" t="str">
        <f t="shared" si="22"/>
        <v>Jan</v>
      </c>
      <c r="E473" s="7"/>
      <c r="F473" s="7"/>
      <c r="G473" s="120"/>
      <c r="H473" s="120"/>
      <c r="I473" s="118"/>
      <c r="J473" s="118"/>
      <c r="K473" s="115"/>
      <c r="L473" s="115"/>
      <c r="M473" s="8"/>
      <c r="N473" s="8" t="str">
        <f t="shared" si="23"/>
        <v>-</v>
      </c>
      <c r="O473" s="126"/>
      <c r="P473" s="127"/>
      <c r="Q473" s="127"/>
      <c r="R473" s="126"/>
      <c r="S473" s="127"/>
      <c r="T473" s="8"/>
      <c r="U473" s="158"/>
      <c r="V473" s="7"/>
      <c r="W473" s="7"/>
      <c r="X473" s="146"/>
      <c r="Y473" s="7"/>
      <c r="Z473" s="7"/>
      <c r="AA473" s="7" t="str">
        <f>IFERROR((VLOOKUP(F473,#REF!,2,FALSE)),"-")</f>
        <v>-</v>
      </c>
      <c r="AB473" s="119" t="e">
        <f>CONCATENATE(F473," - ",I473," - ",#REF!,)</f>
        <v>#REF!</v>
      </c>
    </row>
    <row r="474" spans="1:28" s="116" customFormat="1" ht="15">
      <c r="A474" s="114"/>
      <c r="B474" s="120"/>
      <c r="C474" s="129" t="str">
        <f t="shared" si="21"/>
        <v>week-0</v>
      </c>
      <c r="D474" s="120" t="str">
        <f t="shared" si="22"/>
        <v>Jan</v>
      </c>
      <c r="E474" s="7"/>
      <c r="F474" s="7"/>
      <c r="G474" s="120"/>
      <c r="H474" s="120"/>
      <c r="I474" s="118"/>
      <c r="J474" s="118"/>
      <c r="K474" s="115"/>
      <c r="L474" s="115"/>
      <c r="M474" s="8"/>
      <c r="N474" s="8" t="str">
        <f t="shared" si="23"/>
        <v>-</v>
      </c>
      <c r="O474" s="127"/>
      <c r="P474" s="127"/>
      <c r="Q474" s="127"/>
      <c r="R474" s="127"/>
      <c r="S474" s="127"/>
      <c r="T474" s="139"/>
      <c r="U474" s="158"/>
      <c r="V474" s="7"/>
      <c r="W474" s="7"/>
      <c r="X474" s="146"/>
      <c r="Y474" s="7"/>
      <c r="Z474" s="7"/>
      <c r="AA474" s="7" t="str">
        <f>IFERROR((VLOOKUP(F474,#REF!,2,FALSE)),"-")</f>
        <v>-</v>
      </c>
      <c r="AB474" s="119" t="e">
        <f>CONCATENATE(F474," - ",I474," - ",#REF!,)</f>
        <v>#REF!</v>
      </c>
    </row>
    <row r="475" spans="1:28" s="116" customFormat="1" ht="15">
      <c r="A475" s="114"/>
      <c r="B475" s="120"/>
      <c r="C475" s="129" t="str">
        <f t="shared" si="21"/>
        <v>week-0</v>
      </c>
      <c r="D475" s="120" t="str">
        <f t="shared" si="22"/>
        <v>Jan</v>
      </c>
      <c r="E475" s="7"/>
      <c r="F475" s="7"/>
      <c r="G475" s="120"/>
      <c r="H475" s="120"/>
      <c r="I475" s="118"/>
      <c r="J475" s="118"/>
      <c r="K475" s="115"/>
      <c r="L475" s="115"/>
      <c r="M475" s="8"/>
      <c r="N475" s="8" t="str">
        <f t="shared" si="23"/>
        <v>-</v>
      </c>
      <c r="O475" s="126"/>
      <c r="P475" s="127"/>
      <c r="Q475" s="127"/>
      <c r="R475" s="126"/>
      <c r="S475" s="127"/>
      <c r="T475" s="8"/>
      <c r="U475" s="158"/>
      <c r="V475" s="7"/>
      <c r="W475" s="7"/>
      <c r="X475" s="146"/>
      <c r="Y475" s="7"/>
      <c r="Z475" s="7"/>
      <c r="AA475" s="7" t="str">
        <f>IFERROR((VLOOKUP(F475,#REF!,2,FALSE)),"-")</f>
        <v>-</v>
      </c>
      <c r="AB475" s="119" t="e">
        <f>CONCATENATE(F475," - ",I475," - ",#REF!,)</f>
        <v>#REF!</v>
      </c>
    </row>
    <row r="476" spans="1:28" s="116" customFormat="1" ht="15">
      <c r="A476" s="114"/>
      <c r="B476" s="120"/>
      <c r="C476" s="129" t="str">
        <f t="shared" si="21"/>
        <v>week-0</v>
      </c>
      <c r="D476" s="120" t="str">
        <f t="shared" si="22"/>
        <v>Jan</v>
      </c>
      <c r="E476" s="7"/>
      <c r="F476" s="7"/>
      <c r="G476" s="120"/>
      <c r="H476" s="120"/>
      <c r="I476" s="118"/>
      <c r="J476" s="118"/>
      <c r="K476" s="115"/>
      <c r="L476" s="115"/>
      <c r="M476" s="8"/>
      <c r="N476" s="8" t="str">
        <f t="shared" si="23"/>
        <v>-</v>
      </c>
      <c r="O476" s="126"/>
      <c r="P476" s="127"/>
      <c r="Q476" s="127"/>
      <c r="R476" s="126"/>
      <c r="S476" s="127"/>
      <c r="T476" s="8"/>
      <c r="U476" s="158"/>
      <c r="V476" s="7"/>
      <c r="W476" s="7"/>
      <c r="X476" s="146"/>
      <c r="Y476" s="7"/>
      <c r="Z476" s="7"/>
      <c r="AA476" s="7" t="str">
        <f>IFERROR((VLOOKUP(F476,#REF!,2,FALSE)),"-")</f>
        <v>-</v>
      </c>
      <c r="AB476" s="119" t="e">
        <f>CONCATENATE(F476," - ",I476," - ",#REF!,)</f>
        <v>#REF!</v>
      </c>
    </row>
    <row r="477" spans="1:28" s="116" customFormat="1" ht="15">
      <c r="A477" s="114"/>
      <c r="B477" s="120"/>
      <c r="C477" s="129" t="str">
        <f t="shared" si="21"/>
        <v>week-0</v>
      </c>
      <c r="D477" s="120" t="str">
        <f t="shared" si="22"/>
        <v>Jan</v>
      </c>
      <c r="E477" s="7"/>
      <c r="F477" s="7"/>
      <c r="G477" s="120"/>
      <c r="H477" s="120"/>
      <c r="I477" s="118"/>
      <c r="J477" s="118"/>
      <c r="K477" s="115"/>
      <c r="L477" s="115"/>
      <c r="M477" s="8"/>
      <c r="N477" s="8" t="str">
        <f t="shared" si="23"/>
        <v>-</v>
      </c>
      <c r="O477" s="126"/>
      <c r="P477" s="127"/>
      <c r="Q477" s="127"/>
      <c r="R477" s="126"/>
      <c r="S477" s="127"/>
      <c r="T477" s="8"/>
      <c r="U477" s="158"/>
      <c r="V477" s="7"/>
      <c r="W477" s="7"/>
      <c r="X477" s="146"/>
      <c r="Y477" s="7"/>
      <c r="Z477" s="7"/>
      <c r="AA477" s="7" t="str">
        <f>IFERROR((VLOOKUP(F477,#REF!,2,FALSE)),"-")</f>
        <v>-</v>
      </c>
      <c r="AB477" s="119" t="e">
        <f>CONCATENATE(F477," - ",I477," - ",#REF!,)</f>
        <v>#REF!</v>
      </c>
    </row>
    <row r="478" spans="1:28" s="116" customFormat="1" ht="15">
      <c r="A478" s="114"/>
      <c r="B478" s="120"/>
      <c r="C478" s="129" t="str">
        <f t="shared" si="21"/>
        <v>week-0</v>
      </c>
      <c r="D478" s="120" t="str">
        <f t="shared" si="22"/>
        <v>Jan</v>
      </c>
      <c r="E478" s="7"/>
      <c r="F478" s="7"/>
      <c r="G478" s="120"/>
      <c r="H478" s="120"/>
      <c r="I478" s="124"/>
      <c r="J478" s="124"/>
      <c r="K478" s="115"/>
      <c r="L478" s="115"/>
      <c r="M478" s="8"/>
      <c r="N478" s="8" t="str">
        <f t="shared" si="23"/>
        <v>-</v>
      </c>
      <c r="O478" s="126"/>
      <c r="P478" s="127"/>
      <c r="Q478" s="127"/>
      <c r="R478" s="126"/>
      <c r="S478" s="127"/>
      <c r="T478" s="8"/>
      <c r="U478" s="158"/>
      <c r="V478" s="7"/>
      <c r="W478" s="7"/>
      <c r="X478" s="146"/>
      <c r="Y478" s="7"/>
      <c r="Z478" s="7"/>
      <c r="AA478" s="7" t="str">
        <f>IFERROR((VLOOKUP(F478,#REF!,2,FALSE)),"-")</f>
        <v>-</v>
      </c>
      <c r="AB478" s="119" t="e">
        <f>CONCATENATE(F478," - ",I478," - ",#REF!,)</f>
        <v>#REF!</v>
      </c>
    </row>
    <row r="479" spans="1:28" s="116" customFormat="1" ht="15">
      <c r="A479" s="114"/>
      <c r="B479" s="120"/>
      <c r="C479" s="129" t="str">
        <f t="shared" si="21"/>
        <v>week-0</v>
      </c>
      <c r="D479" s="120" t="str">
        <f t="shared" si="22"/>
        <v>Jan</v>
      </c>
      <c r="E479" s="7"/>
      <c r="F479" s="7"/>
      <c r="G479" s="120"/>
      <c r="H479" s="120"/>
      <c r="I479" s="118"/>
      <c r="J479" s="118"/>
      <c r="K479" s="115"/>
      <c r="L479" s="115"/>
      <c r="M479" s="8"/>
      <c r="N479" s="8" t="str">
        <f t="shared" si="23"/>
        <v>-</v>
      </c>
      <c r="O479" s="127"/>
      <c r="P479" s="127"/>
      <c r="Q479" s="127"/>
      <c r="R479" s="127"/>
      <c r="S479" s="127"/>
      <c r="T479" s="139"/>
      <c r="U479" s="158"/>
      <c r="V479" s="7"/>
      <c r="W479" s="7"/>
      <c r="X479" s="146"/>
      <c r="Y479" s="7"/>
      <c r="Z479" s="7"/>
      <c r="AA479" s="7" t="str">
        <f>IFERROR((VLOOKUP(F479,#REF!,2,FALSE)),"-")</f>
        <v>-</v>
      </c>
      <c r="AB479" s="119" t="e">
        <f>CONCATENATE(F479," - ",I479," - ",#REF!,)</f>
        <v>#REF!</v>
      </c>
    </row>
    <row r="480" spans="1:28" s="116" customFormat="1" ht="15">
      <c r="A480" s="114"/>
      <c r="B480" s="120"/>
      <c r="C480" s="129" t="str">
        <f t="shared" si="21"/>
        <v>week-0</v>
      </c>
      <c r="D480" s="120" t="str">
        <f t="shared" si="22"/>
        <v>Jan</v>
      </c>
      <c r="E480" s="7"/>
      <c r="F480" s="7"/>
      <c r="G480" s="120"/>
      <c r="H480" s="120"/>
      <c r="I480" s="118"/>
      <c r="J480" s="118"/>
      <c r="K480" s="115"/>
      <c r="L480" s="115"/>
      <c r="M480" s="8"/>
      <c r="N480" s="8" t="str">
        <f t="shared" si="23"/>
        <v>-</v>
      </c>
      <c r="O480" s="127"/>
      <c r="P480" s="127"/>
      <c r="Q480" s="127"/>
      <c r="R480" s="127"/>
      <c r="S480" s="127"/>
      <c r="T480" s="139"/>
      <c r="U480" s="158"/>
      <c r="V480" s="7"/>
      <c r="W480" s="7"/>
      <c r="X480" s="146"/>
      <c r="Y480" s="7"/>
      <c r="Z480" s="7"/>
      <c r="AA480" s="7" t="str">
        <f>IFERROR((VLOOKUP(F480,#REF!,2,FALSE)),"-")</f>
        <v>-</v>
      </c>
      <c r="AB480" s="119" t="e">
        <f>CONCATENATE(F480," - ",I480," - ",#REF!,)</f>
        <v>#REF!</v>
      </c>
    </row>
    <row r="481" spans="1:28" s="116" customFormat="1" ht="15">
      <c r="A481" s="114"/>
      <c r="B481" s="120"/>
      <c r="C481" s="129" t="str">
        <f t="shared" si="21"/>
        <v>week-0</v>
      </c>
      <c r="D481" s="120" t="str">
        <f t="shared" si="22"/>
        <v>Jan</v>
      </c>
      <c r="E481" s="7"/>
      <c r="F481" s="7"/>
      <c r="G481" s="120"/>
      <c r="H481" s="120"/>
      <c r="I481" s="118"/>
      <c r="J481" s="118"/>
      <c r="K481" s="115"/>
      <c r="L481" s="115"/>
      <c r="M481" s="8"/>
      <c r="N481" s="8" t="str">
        <f t="shared" si="23"/>
        <v>-</v>
      </c>
      <c r="O481" s="127"/>
      <c r="P481" s="127"/>
      <c r="Q481" s="127"/>
      <c r="R481" s="127"/>
      <c r="S481" s="127"/>
      <c r="T481" s="139"/>
      <c r="U481" s="158"/>
      <c r="V481" s="7"/>
      <c r="W481" s="7"/>
      <c r="X481" s="146"/>
      <c r="Y481" s="7"/>
      <c r="Z481" s="7"/>
      <c r="AA481" s="7" t="str">
        <f>IFERROR((VLOOKUP(F481,#REF!,2,FALSE)),"-")</f>
        <v>-</v>
      </c>
      <c r="AB481" s="119" t="e">
        <f>CONCATENATE(F481," - ",I481," - ",#REF!,)</f>
        <v>#REF!</v>
      </c>
    </row>
    <row r="482" spans="1:28" s="116" customFormat="1" ht="15">
      <c r="A482" s="114"/>
      <c r="B482" s="120"/>
      <c r="C482" s="129" t="str">
        <f t="shared" si="21"/>
        <v>week-0</v>
      </c>
      <c r="D482" s="120" t="str">
        <f t="shared" si="22"/>
        <v>Jan</v>
      </c>
      <c r="E482" s="7"/>
      <c r="F482" s="7"/>
      <c r="G482" s="120"/>
      <c r="H482" s="120"/>
      <c r="I482" s="118"/>
      <c r="J482" s="118"/>
      <c r="K482" s="115"/>
      <c r="L482" s="115"/>
      <c r="M482" s="8"/>
      <c r="N482" s="8" t="str">
        <f t="shared" si="23"/>
        <v>-</v>
      </c>
      <c r="O482" s="127"/>
      <c r="P482" s="127"/>
      <c r="Q482" s="127"/>
      <c r="R482" s="127"/>
      <c r="S482" s="127"/>
      <c r="T482" s="139"/>
      <c r="U482" s="158"/>
      <c r="V482" s="7"/>
      <c r="W482" s="7"/>
      <c r="X482" s="146"/>
      <c r="Y482" s="7"/>
      <c r="Z482" s="7"/>
      <c r="AA482" s="7" t="str">
        <f>IFERROR((VLOOKUP(F482,#REF!,2,FALSE)),"-")</f>
        <v>-</v>
      </c>
      <c r="AB482" s="119" t="e">
        <f>CONCATENATE(F482," - ",I482," - ",#REF!,)</f>
        <v>#REF!</v>
      </c>
    </row>
    <row r="483" spans="1:28" s="116" customFormat="1" ht="15">
      <c r="A483" s="114"/>
      <c r="B483" s="120"/>
      <c r="C483" s="129" t="str">
        <f t="shared" si="21"/>
        <v>week-0</v>
      </c>
      <c r="D483" s="120" t="str">
        <f t="shared" si="22"/>
        <v>Jan</v>
      </c>
      <c r="E483" s="7"/>
      <c r="F483" s="7"/>
      <c r="G483" s="120"/>
      <c r="H483" s="120"/>
      <c r="I483" s="118"/>
      <c r="J483" s="118"/>
      <c r="K483" s="115"/>
      <c r="L483" s="115"/>
      <c r="M483" s="8"/>
      <c r="N483" s="8" t="str">
        <f t="shared" si="23"/>
        <v>-</v>
      </c>
      <c r="O483" s="126"/>
      <c r="P483" s="127"/>
      <c r="Q483" s="127"/>
      <c r="R483" s="126"/>
      <c r="S483" s="127"/>
      <c r="T483" s="8"/>
      <c r="U483" s="158"/>
      <c r="V483" s="7"/>
      <c r="W483" s="7"/>
      <c r="X483" s="146"/>
      <c r="Y483" s="7"/>
      <c r="Z483" s="7"/>
      <c r="AA483" s="7" t="str">
        <f>IFERROR((VLOOKUP(F483,#REF!,2,FALSE)),"-")</f>
        <v>-</v>
      </c>
      <c r="AB483" s="119" t="e">
        <f>CONCATENATE(F483," - ",I483," - ",#REF!,)</f>
        <v>#REF!</v>
      </c>
    </row>
    <row r="484" spans="1:28" s="116" customFormat="1" ht="15">
      <c r="A484" s="114"/>
      <c r="B484" s="120"/>
      <c r="C484" s="129" t="str">
        <f t="shared" si="21"/>
        <v>week-0</v>
      </c>
      <c r="D484" s="120" t="str">
        <f t="shared" si="22"/>
        <v>Jan</v>
      </c>
      <c r="E484" s="7"/>
      <c r="F484" s="7"/>
      <c r="G484" s="120"/>
      <c r="H484" s="120"/>
      <c r="I484" s="118"/>
      <c r="J484" s="118"/>
      <c r="K484" s="115"/>
      <c r="L484" s="115"/>
      <c r="M484" s="8"/>
      <c r="N484" s="8" t="str">
        <f t="shared" si="23"/>
        <v>-</v>
      </c>
      <c r="O484" s="126"/>
      <c r="P484" s="127"/>
      <c r="Q484" s="127"/>
      <c r="R484" s="126"/>
      <c r="S484" s="127"/>
      <c r="T484" s="8"/>
      <c r="U484" s="158"/>
      <c r="V484" s="7"/>
      <c r="W484" s="7"/>
      <c r="X484" s="146"/>
      <c r="Y484" s="7"/>
      <c r="Z484" s="7"/>
      <c r="AA484" s="7" t="str">
        <f>IFERROR((VLOOKUP(F484,#REF!,2,FALSE)),"-")</f>
        <v>-</v>
      </c>
      <c r="AB484" s="119" t="e">
        <f>CONCATENATE(F484," - ",I484," - ",#REF!,)</f>
        <v>#REF!</v>
      </c>
    </row>
    <row r="485" spans="1:28" s="116" customFormat="1" ht="15">
      <c r="A485" s="114"/>
      <c r="B485" s="120"/>
      <c r="C485" s="129" t="str">
        <f t="shared" si="21"/>
        <v>week-0</v>
      </c>
      <c r="D485" s="120" t="str">
        <f t="shared" si="22"/>
        <v>Jan</v>
      </c>
      <c r="E485" s="7"/>
      <c r="F485" s="7"/>
      <c r="G485" s="120"/>
      <c r="H485" s="120"/>
      <c r="I485" s="118"/>
      <c r="J485" s="118"/>
      <c r="K485" s="115"/>
      <c r="L485" s="115"/>
      <c r="M485" s="8"/>
      <c r="N485" s="8" t="str">
        <f t="shared" si="23"/>
        <v>-</v>
      </c>
      <c r="O485" s="127"/>
      <c r="P485" s="127"/>
      <c r="Q485" s="127"/>
      <c r="R485" s="127"/>
      <c r="S485" s="127"/>
      <c r="T485" s="139"/>
      <c r="U485" s="158"/>
      <c r="V485" s="7"/>
      <c r="W485" s="7"/>
      <c r="X485" s="146"/>
      <c r="Y485" s="7"/>
      <c r="Z485" s="7"/>
      <c r="AA485" s="7" t="str">
        <f>IFERROR((VLOOKUP(F485,#REF!,2,FALSE)),"-")</f>
        <v>-</v>
      </c>
      <c r="AB485" s="119" t="e">
        <f>CONCATENATE(F485," - ",I485," - ",#REF!,)</f>
        <v>#REF!</v>
      </c>
    </row>
    <row r="486" spans="1:28" s="116" customFormat="1" ht="15">
      <c r="A486" s="114"/>
      <c r="B486" s="120"/>
      <c r="C486" s="129" t="str">
        <f t="shared" si="21"/>
        <v>week-0</v>
      </c>
      <c r="D486" s="120" t="str">
        <f t="shared" si="22"/>
        <v>Jan</v>
      </c>
      <c r="E486" s="7"/>
      <c r="F486" s="7"/>
      <c r="G486" s="120"/>
      <c r="H486" s="120"/>
      <c r="I486" s="118"/>
      <c r="J486" s="118"/>
      <c r="K486" s="115"/>
      <c r="L486" s="115"/>
      <c r="M486" s="8"/>
      <c r="N486" s="8" t="str">
        <f t="shared" si="23"/>
        <v>-</v>
      </c>
      <c r="O486" s="126"/>
      <c r="P486" s="127"/>
      <c r="Q486" s="127"/>
      <c r="R486" s="126"/>
      <c r="S486" s="127"/>
      <c r="T486" s="8"/>
      <c r="U486" s="158"/>
      <c r="V486" s="7"/>
      <c r="W486" s="7"/>
      <c r="X486" s="146"/>
      <c r="Y486" s="7"/>
      <c r="Z486" s="7"/>
      <c r="AA486" s="7" t="str">
        <f>IFERROR((VLOOKUP(F486,#REF!,2,FALSE)),"-")</f>
        <v>-</v>
      </c>
      <c r="AB486" s="119" t="e">
        <f>CONCATENATE(F486," - ",I486," - ",#REF!,)</f>
        <v>#REF!</v>
      </c>
    </row>
    <row r="487" spans="1:28" s="116" customFormat="1" ht="15">
      <c r="A487" s="114"/>
      <c r="B487" s="120"/>
      <c r="C487" s="129" t="str">
        <f t="shared" si="21"/>
        <v>week-0</v>
      </c>
      <c r="D487" s="120" t="str">
        <f t="shared" si="22"/>
        <v>Jan</v>
      </c>
      <c r="E487" s="7"/>
      <c r="F487" s="7"/>
      <c r="G487" s="120"/>
      <c r="H487" s="120"/>
      <c r="I487" s="118"/>
      <c r="J487" s="118"/>
      <c r="K487" s="115"/>
      <c r="L487" s="115"/>
      <c r="M487" s="8"/>
      <c r="N487" s="8" t="str">
        <f t="shared" si="23"/>
        <v>-</v>
      </c>
      <c r="O487" s="127"/>
      <c r="P487" s="127"/>
      <c r="Q487" s="127"/>
      <c r="R487" s="127"/>
      <c r="S487" s="127"/>
      <c r="T487" s="139"/>
      <c r="U487" s="158"/>
      <c r="V487" s="7"/>
      <c r="W487" s="7"/>
      <c r="X487" s="146"/>
      <c r="Y487" s="7"/>
      <c r="Z487" s="7"/>
      <c r="AA487" s="7" t="str">
        <f>IFERROR((VLOOKUP(F487,#REF!,2,FALSE)),"-")</f>
        <v>-</v>
      </c>
      <c r="AB487" s="119" t="e">
        <f>CONCATENATE(F487," - ",I487," - ",#REF!,)</f>
        <v>#REF!</v>
      </c>
    </row>
    <row r="488" spans="1:28" s="116" customFormat="1" ht="15">
      <c r="A488" s="114"/>
      <c r="B488" s="120"/>
      <c r="C488" s="129" t="str">
        <f t="shared" si="21"/>
        <v>week-0</v>
      </c>
      <c r="D488" s="120" t="str">
        <f t="shared" si="22"/>
        <v>Jan</v>
      </c>
      <c r="E488" s="7"/>
      <c r="F488" s="7"/>
      <c r="G488" s="120"/>
      <c r="H488" s="120"/>
      <c r="I488" s="118"/>
      <c r="J488" s="118"/>
      <c r="K488" s="115"/>
      <c r="L488" s="115"/>
      <c r="M488" s="8"/>
      <c r="N488" s="8" t="str">
        <f t="shared" si="23"/>
        <v>-</v>
      </c>
      <c r="O488" s="126"/>
      <c r="P488" s="127"/>
      <c r="Q488" s="127"/>
      <c r="R488" s="126"/>
      <c r="S488" s="127"/>
      <c r="T488" s="8"/>
      <c r="U488" s="158"/>
      <c r="V488" s="7"/>
      <c r="W488" s="7"/>
      <c r="X488" s="146"/>
      <c r="Y488" s="7"/>
      <c r="Z488" s="7"/>
      <c r="AA488" s="7" t="str">
        <f>IFERROR((VLOOKUP(F488,#REF!,2,FALSE)),"-")</f>
        <v>-</v>
      </c>
      <c r="AB488" s="119" t="e">
        <f>CONCATENATE(F488," - ",I488," - ",#REF!,)</f>
        <v>#REF!</v>
      </c>
    </row>
    <row r="489" spans="1:28" s="116" customFormat="1" ht="15">
      <c r="A489" s="114"/>
      <c r="B489" s="120"/>
      <c r="C489" s="129" t="str">
        <f t="shared" si="21"/>
        <v>week-0</v>
      </c>
      <c r="D489" s="120" t="str">
        <f t="shared" si="22"/>
        <v>Jan</v>
      </c>
      <c r="E489" s="7"/>
      <c r="F489" s="7"/>
      <c r="G489" s="120"/>
      <c r="H489" s="120"/>
      <c r="I489" s="118"/>
      <c r="J489" s="118"/>
      <c r="K489" s="115"/>
      <c r="L489" s="115"/>
      <c r="M489" s="8"/>
      <c r="N489" s="8" t="str">
        <f t="shared" si="23"/>
        <v>-</v>
      </c>
      <c r="O489" s="126"/>
      <c r="P489" s="127"/>
      <c r="Q489" s="127"/>
      <c r="R489" s="126"/>
      <c r="S489" s="127"/>
      <c r="T489" s="8"/>
      <c r="U489" s="158"/>
      <c r="V489" s="7"/>
      <c r="W489" s="7"/>
      <c r="X489" s="146"/>
      <c r="Y489" s="7"/>
      <c r="Z489" s="7"/>
      <c r="AA489" s="7" t="str">
        <f>IFERROR((VLOOKUP(F489,#REF!,2,FALSE)),"-")</f>
        <v>-</v>
      </c>
      <c r="AB489" s="119" t="e">
        <f>CONCATENATE(F489," - ",I489," - ",#REF!,)</f>
        <v>#REF!</v>
      </c>
    </row>
    <row r="490" spans="1:28" s="116" customFormat="1" ht="15">
      <c r="A490" s="114"/>
      <c r="B490" s="120"/>
      <c r="C490" s="129" t="str">
        <f t="shared" si="21"/>
        <v>week-0</v>
      </c>
      <c r="D490" s="120" t="str">
        <f t="shared" si="22"/>
        <v>Jan</v>
      </c>
      <c r="E490" s="7"/>
      <c r="F490" s="7"/>
      <c r="G490" s="120"/>
      <c r="H490" s="120"/>
      <c r="I490" s="118"/>
      <c r="J490" s="118"/>
      <c r="K490" s="115"/>
      <c r="L490" s="115"/>
      <c r="M490" s="8"/>
      <c r="N490" s="8" t="str">
        <f t="shared" si="23"/>
        <v>-</v>
      </c>
      <c r="O490" s="126"/>
      <c r="P490" s="127"/>
      <c r="Q490" s="127"/>
      <c r="R490" s="126"/>
      <c r="S490" s="127"/>
      <c r="T490" s="8"/>
      <c r="U490" s="158"/>
      <c r="V490" s="7"/>
      <c r="W490" s="7"/>
      <c r="X490" s="146"/>
      <c r="Y490" s="7"/>
      <c r="Z490" s="7"/>
      <c r="AA490" s="7" t="str">
        <f>IFERROR((VLOOKUP(F490,#REF!,2,FALSE)),"-")</f>
        <v>-</v>
      </c>
      <c r="AB490" s="119" t="e">
        <f>CONCATENATE(F490," - ",I490," - ",#REF!,)</f>
        <v>#REF!</v>
      </c>
    </row>
    <row r="491" spans="1:28" s="116" customFormat="1" ht="15">
      <c r="A491" s="114"/>
      <c r="B491" s="120"/>
      <c r="C491" s="129" t="str">
        <f t="shared" si="21"/>
        <v>week-0</v>
      </c>
      <c r="D491" s="120" t="str">
        <f t="shared" si="22"/>
        <v>Jan</v>
      </c>
      <c r="E491" s="7"/>
      <c r="F491" s="7"/>
      <c r="G491" s="120"/>
      <c r="H491" s="120"/>
      <c r="I491" s="118"/>
      <c r="J491" s="118"/>
      <c r="K491" s="115"/>
      <c r="L491" s="115"/>
      <c r="M491" s="8"/>
      <c r="N491" s="8" t="str">
        <f t="shared" si="23"/>
        <v>-</v>
      </c>
      <c r="O491" s="127"/>
      <c r="P491" s="127"/>
      <c r="Q491" s="127"/>
      <c r="R491" s="127"/>
      <c r="S491" s="127"/>
      <c r="T491" s="139"/>
      <c r="U491" s="158"/>
      <c r="V491" s="7"/>
      <c r="W491" s="7"/>
      <c r="X491" s="146"/>
      <c r="Y491" s="7"/>
      <c r="Z491" s="7"/>
      <c r="AA491" s="7" t="str">
        <f>IFERROR((VLOOKUP(F491,#REF!,2,FALSE)),"-")</f>
        <v>-</v>
      </c>
      <c r="AB491" s="119" t="e">
        <f>CONCATENATE(F491," - ",I491," - ",#REF!,)</f>
        <v>#REF!</v>
      </c>
    </row>
    <row r="492" spans="1:28" s="116" customFormat="1" ht="15">
      <c r="A492" s="114"/>
      <c r="B492" s="120"/>
      <c r="C492" s="129" t="str">
        <f t="shared" si="21"/>
        <v>week-0</v>
      </c>
      <c r="D492" s="120" t="str">
        <f t="shared" si="22"/>
        <v>Jan</v>
      </c>
      <c r="E492" s="7"/>
      <c r="F492" s="7"/>
      <c r="G492" s="120"/>
      <c r="H492" s="120"/>
      <c r="I492" s="118"/>
      <c r="J492" s="118"/>
      <c r="K492" s="115"/>
      <c r="L492" s="115"/>
      <c r="M492" s="8"/>
      <c r="N492" s="8" t="str">
        <f t="shared" si="23"/>
        <v>-</v>
      </c>
      <c r="O492" s="127"/>
      <c r="P492" s="127"/>
      <c r="Q492" s="127"/>
      <c r="R492" s="127"/>
      <c r="S492" s="127"/>
      <c r="T492" s="139"/>
      <c r="U492" s="158"/>
      <c r="V492" s="7"/>
      <c r="W492" s="7"/>
      <c r="X492" s="146"/>
      <c r="Y492" s="7"/>
      <c r="Z492" s="7"/>
      <c r="AA492" s="7" t="str">
        <f>IFERROR((VLOOKUP(F492,#REF!,2,FALSE)),"-")</f>
        <v>-</v>
      </c>
      <c r="AB492" s="119" t="e">
        <f>CONCATENATE(F492," - ",I492," - ",#REF!,)</f>
        <v>#REF!</v>
      </c>
    </row>
    <row r="493" spans="1:28" s="116" customFormat="1" ht="15">
      <c r="A493" s="114"/>
      <c r="B493" s="120"/>
      <c r="C493" s="129" t="str">
        <f t="shared" si="21"/>
        <v>week-0</v>
      </c>
      <c r="D493" s="120" t="str">
        <f t="shared" si="22"/>
        <v>Jan</v>
      </c>
      <c r="E493" s="7"/>
      <c r="F493" s="7"/>
      <c r="G493" s="120"/>
      <c r="H493" s="120"/>
      <c r="I493" s="118"/>
      <c r="J493" s="118"/>
      <c r="K493" s="115"/>
      <c r="L493" s="115"/>
      <c r="M493" s="8"/>
      <c r="N493" s="8" t="str">
        <f t="shared" si="23"/>
        <v>-</v>
      </c>
      <c r="O493" s="126"/>
      <c r="P493" s="127"/>
      <c r="Q493" s="127"/>
      <c r="R493" s="126"/>
      <c r="S493" s="127"/>
      <c r="T493" s="8"/>
      <c r="U493" s="158"/>
      <c r="V493" s="7"/>
      <c r="W493" s="7"/>
      <c r="X493" s="146"/>
      <c r="Y493" s="7"/>
      <c r="Z493" s="7"/>
      <c r="AA493" s="7" t="str">
        <f>IFERROR((VLOOKUP(F493,#REF!,2,FALSE)),"-")</f>
        <v>-</v>
      </c>
      <c r="AB493" s="119" t="e">
        <f>CONCATENATE(F493," - ",I493," - ",#REF!,)</f>
        <v>#REF!</v>
      </c>
    </row>
    <row r="494" spans="1:28" s="116" customFormat="1" ht="15">
      <c r="A494" s="114"/>
      <c r="B494" s="120"/>
      <c r="C494" s="129" t="str">
        <f t="shared" si="21"/>
        <v>week-0</v>
      </c>
      <c r="D494" s="120" t="str">
        <f t="shared" si="22"/>
        <v>Jan</v>
      </c>
      <c r="E494" s="7"/>
      <c r="F494" s="7"/>
      <c r="G494" s="120"/>
      <c r="H494" s="120"/>
      <c r="I494" s="118"/>
      <c r="J494" s="118"/>
      <c r="K494" s="115"/>
      <c r="L494" s="115"/>
      <c r="M494" s="8"/>
      <c r="N494" s="8" t="str">
        <f t="shared" si="23"/>
        <v>-</v>
      </c>
      <c r="O494" s="126"/>
      <c r="P494" s="127"/>
      <c r="Q494" s="127"/>
      <c r="R494" s="126"/>
      <c r="S494" s="127"/>
      <c r="T494" s="8"/>
      <c r="U494" s="158"/>
      <c r="V494" s="7"/>
      <c r="W494" s="7"/>
      <c r="X494" s="146"/>
      <c r="Y494" s="7"/>
      <c r="Z494" s="7"/>
      <c r="AA494" s="7" t="str">
        <f>IFERROR((VLOOKUP(F494,#REF!,2,FALSE)),"-")</f>
        <v>-</v>
      </c>
      <c r="AB494" s="119" t="e">
        <f>CONCATENATE(F494," - ",I494," - ",#REF!,)</f>
        <v>#REF!</v>
      </c>
    </row>
    <row r="495" spans="1:28" s="116" customFormat="1" ht="15">
      <c r="A495" s="114"/>
      <c r="B495" s="120"/>
      <c r="C495" s="129" t="str">
        <f t="shared" si="21"/>
        <v>week-0</v>
      </c>
      <c r="D495" s="120" t="str">
        <f t="shared" si="22"/>
        <v>Jan</v>
      </c>
      <c r="E495" s="7"/>
      <c r="F495" s="7"/>
      <c r="G495" s="120"/>
      <c r="H495" s="120"/>
      <c r="I495" s="118"/>
      <c r="J495" s="118"/>
      <c r="K495" s="115"/>
      <c r="L495" s="115"/>
      <c r="M495" s="8"/>
      <c r="N495" s="8" t="str">
        <f t="shared" si="23"/>
        <v>-</v>
      </c>
      <c r="O495" s="126"/>
      <c r="P495" s="127"/>
      <c r="Q495" s="127"/>
      <c r="R495" s="126"/>
      <c r="S495" s="127"/>
      <c r="T495" s="8"/>
      <c r="U495" s="158"/>
      <c r="V495" s="7"/>
      <c r="W495" s="7"/>
      <c r="X495" s="146"/>
      <c r="Y495" s="7"/>
      <c r="Z495" s="7"/>
      <c r="AA495" s="7" t="str">
        <f>IFERROR((VLOOKUP(F495,#REF!,2,FALSE)),"-")</f>
        <v>-</v>
      </c>
      <c r="AB495" s="119" t="e">
        <f>CONCATENATE(F495," - ",I495," - ",#REF!,)</f>
        <v>#REF!</v>
      </c>
    </row>
    <row r="496" spans="1:28" s="116" customFormat="1" ht="15">
      <c r="A496" s="114"/>
      <c r="B496" s="120"/>
      <c r="C496" s="129" t="str">
        <f t="shared" si="21"/>
        <v>week-0</v>
      </c>
      <c r="D496" s="120" t="str">
        <f t="shared" si="22"/>
        <v>Jan</v>
      </c>
      <c r="E496" s="7"/>
      <c r="F496" s="7"/>
      <c r="G496" s="120"/>
      <c r="H496" s="120"/>
      <c r="I496" s="118"/>
      <c r="J496" s="118"/>
      <c r="K496" s="115"/>
      <c r="L496" s="115"/>
      <c r="M496" s="8"/>
      <c r="N496" s="8" t="str">
        <f t="shared" si="23"/>
        <v>-</v>
      </c>
      <c r="O496" s="126"/>
      <c r="P496" s="127"/>
      <c r="Q496" s="127"/>
      <c r="R496" s="126"/>
      <c r="S496" s="127"/>
      <c r="T496" s="8"/>
      <c r="U496" s="158"/>
      <c r="V496" s="7"/>
      <c r="W496" s="7"/>
      <c r="X496" s="146"/>
      <c r="Y496" s="7"/>
      <c r="Z496" s="7"/>
      <c r="AA496" s="7" t="str">
        <f>IFERROR((VLOOKUP(F496,#REF!,2,FALSE)),"-")</f>
        <v>-</v>
      </c>
      <c r="AB496" s="119" t="e">
        <f>CONCATENATE(F496," - ",I496," - ",#REF!,)</f>
        <v>#REF!</v>
      </c>
    </row>
    <row r="497" spans="1:28" s="116" customFormat="1" ht="15">
      <c r="A497" s="114"/>
      <c r="B497" s="120"/>
      <c r="C497" s="129" t="str">
        <f t="shared" si="21"/>
        <v>week-0</v>
      </c>
      <c r="D497" s="120" t="str">
        <f t="shared" si="22"/>
        <v>Jan</v>
      </c>
      <c r="E497" s="7"/>
      <c r="F497" s="7"/>
      <c r="G497" s="120"/>
      <c r="H497" s="120"/>
      <c r="I497" s="118"/>
      <c r="J497" s="118"/>
      <c r="K497" s="115"/>
      <c r="L497" s="115"/>
      <c r="M497" s="8"/>
      <c r="N497" s="8" t="str">
        <f t="shared" si="23"/>
        <v>-</v>
      </c>
      <c r="O497" s="126"/>
      <c r="P497" s="127"/>
      <c r="Q497" s="127"/>
      <c r="R497" s="126"/>
      <c r="S497" s="127"/>
      <c r="T497" s="8"/>
      <c r="U497" s="158"/>
      <c r="V497" s="7"/>
      <c r="W497" s="7"/>
      <c r="X497" s="146"/>
      <c r="Y497" s="7"/>
      <c r="Z497" s="7"/>
      <c r="AA497" s="7" t="str">
        <f>IFERROR((VLOOKUP(F497,#REF!,2,FALSE)),"-")</f>
        <v>-</v>
      </c>
      <c r="AB497" s="119" t="e">
        <f>CONCATENATE(F497," - ",I497," - ",#REF!,)</f>
        <v>#REF!</v>
      </c>
    </row>
    <row r="498" spans="1:28" s="116" customFormat="1" ht="15">
      <c r="A498" s="114"/>
      <c r="B498" s="120"/>
      <c r="C498" s="129" t="str">
        <f t="shared" si="21"/>
        <v>week-0</v>
      </c>
      <c r="D498" s="120" t="str">
        <f t="shared" si="22"/>
        <v>Jan</v>
      </c>
      <c r="E498" s="7"/>
      <c r="F498" s="7"/>
      <c r="G498" s="120"/>
      <c r="H498" s="120"/>
      <c r="I498" s="118"/>
      <c r="J498" s="118"/>
      <c r="K498" s="115"/>
      <c r="L498" s="115"/>
      <c r="M498" s="8"/>
      <c r="N498" s="8" t="str">
        <f t="shared" si="23"/>
        <v>-</v>
      </c>
      <c r="O498" s="126"/>
      <c r="P498" s="127"/>
      <c r="Q498" s="127"/>
      <c r="R498" s="126"/>
      <c r="S498" s="127"/>
      <c r="T498" s="8"/>
      <c r="U498" s="158"/>
      <c r="V498" s="7"/>
      <c r="W498" s="7"/>
      <c r="X498" s="146"/>
      <c r="Y498" s="7"/>
      <c r="Z498" s="7"/>
      <c r="AA498" s="7" t="str">
        <f>IFERROR((VLOOKUP(F498,#REF!,2,FALSE)),"-")</f>
        <v>-</v>
      </c>
      <c r="AB498" s="119" t="e">
        <f>CONCATENATE(F498," - ",I498," - ",#REF!,)</f>
        <v>#REF!</v>
      </c>
    </row>
    <row r="499" spans="1:28" s="116" customFormat="1" ht="15">
      <c r="A499" s="114"/>
      <c r="B499" s="120"/>
      <c r="C499" s="129" t="str">
        <f t="shared" si="21"/>
        <v>week-0</v>
      </c>
      <c r="D499" s="120" t="str">
        <f t="shared" si="22"/>
        <v>Jan</v>
      </c>
      <c r="E499" s="7"/>
      <c r="F499" s="7"/>
      <c r="G499" s="120"/>
      <c r="H499" s="120"/>
      <c r="I499" s="118"/>
      <c r="J499" s="118"/>
      <c r="K499" s="115"/>
      <c r="L499" s="115"/>
      <c r="M499" s="8"/>
      <c r="N499" s="8" t="str">
        <f t="shared" si="23"/>
        <v>-</v>
      </c>
      <c r="O499" s="127"/>
      <c r="P499" s="127"/>
      <c r="Q499" s="127"/>
      <c r="R499" s="127"/>
      <c r="S499" s="127"/>
      <c r="T499" s="139"/>
      <c r="U499" s="158"/>
      <c r="V499" s="7"/>
      <c r="W499" s="7"/>
      <c r="X499" s="146"/>
      <c r="Y499" s="7"/>
      <c r="Z499" s="7"/>
      <c r="AA499" s="7" t="str">
        <f>IFERROR((VLOOKUP(F499,#REF!,2,FALSE)),"-")</f>
        <v>-</v>
      </c>
      <c r="AB499" s="119" t="e">
        <f>CONCATENATE(F499," - ",I499," - ",#REF!,)</f>
        <v>#REF!</v>
      </c>
    </row>
    <row r="500" spans="1:28" s="116" customFormat="1" ht="15">
      <c r="A500" s="114"/>
      <c r="B500" s="120"/>
      <c r="C500" s="129" t="str">
        <f t="shared" si="21"/>
        <v>week-0</v>
      </c>
      <c r="D500" s="120" t="str">
        <f t="shared" si="22"/>
        <v>Jan</v>
      </c>
      <c r="E500" s="7"/>
      <c r="F500" s="7"/>
      <c r="G500" s="120"/>
      <c r="H500" s="120"/>
      <c r="I500" s="118"/>
      <c r="J500" s="118"/>
      <c r="K500" s="115"/>
      <c r="L500" s="115"/>
      <c r="M500" s="8"/>
      <c r="N500" s="8" t="str">
        <f t="shared" si="23"/>
        <v>-</v>
      </c>
      <c r="O500" s="127"/>
      <c r="P500" s="127"/>
      <c r="Q500" s="127"/>
      <c r="R500" s="127"/>
      <c r="S500" s="127"/>
      <c r="T500" s="139"/>
      <c r="U500" s="158"/>
      <c r="V500" s="7"/>
      <c r="W500" s="7"/>
      <c r="X500" s="146"/>
      <c r="Y500" s="7"/>
      <c r="Z500" s="7"/>
      <c r="AA500" s="7" t="str">
        <f>IFERROR((VLOOKUP(F500,#REF!,2,FALSE)),"-")</f>
        <v>-</v>
      </c>
      <c r="AB500" s="119" t="e">
        <f>CONCATENATE(F500," - ",I500," - ",#REF!,)</f>
        <v>#REF!</v>
      </c>
    </row>
    <row r="501" spans="1:28" s="116" customFormat="1" ht="15">
      <c r="A501" s="114"/>
      <c r="B501" s="120"/>
      <c r="C501" s="129" t="str">
        <f t="shared" si="21"/>
        <v>week-0</v>
      </c>
      <c r="D501" s="120" t="str">
        <f t="shared" si="22"/>
        <v>Jan</v>
      </c>
      <c r="E501" s="7"/>
      <c r="F501" s="7"/>
      <c r="G501" s="120"/>
      <c r="H501" s="120"/>
      <c r="I501" s="118"/>
      <c r="J501" s="118"/>
      <c r="K501" s="115"/>
      <c r="L501" s="115"/>
      <c r="M501" s="8"/>
      <c r="N501" s="8" t="str">
        <f t="shared" si="23"/>
        <v>-</v>
      </c>
      <c r="O501" s="126"/>
      <c r="P501" s="127"/>
      <c r="Q501" s="127"/>
      <c r="R501" s="126"/>
      <c r="S501" s="127"/>
      <c r="T501" s="8"/>
      <c r="U501" s="158"/>
      <c r="V501" s="7"/>
      <c r="W501" s="7"/>
      <c r="X501" s="146"/>
      <c r="Y501" s="7"/>
      <c r="Z501" s="7"/>
      <c r="AA501" s="7" t="str">
        <f>IFERROR((VLOOKUP(F501,#REF!,2,FALSE)),"-")</f>
        <v>-</v>
      </c>
      <c r="AB501" s="119" t="e">
        <f>CONCATENATE(F501," - ",I501," - ",#REF!,)</f>
        <v>#REF!</v>
      </c>
    </row>
    <row r="502" spans="1:28" s="116" customFormat="1" ht="15">
      <c r="A502" s="114"/>
      <c r="B502" s="120"/>
      <c r="C502" s="129" t="str">
        <f t="shared" si="21"/>
        <v>week-0</v>
      </c>
      <c r="D502" s="120" t="str">
        <f t="shared" si="22"/>
        <v>Jan</v>
      </c>
      <c r="E502" s="7"/>
      <c r="F502" s="7"/>
      <c r="G502" s="120"/>
      <c r="H502" s="120"/>
      <c r="I502" s="118"/>
      <c r="J502" s="118"/>
      <c r="K502" s="115"/>
      <c r="L502" s="115"/>
      <c r="M502" s="8"/>
      <c r="N502" s="8" t="str">
        <f t="shared" si="23"/>
        <v>-</v>
      </c>
      <c r="O502" s="126"/>
      <c r="P502" s="127"/>
      <c r="Q502" s="127"/>
      <c r="R502" s="126"/>
      <c r="S502" s="127"/>
      <c r="T502" s="8"/>
      <c r="U502" s="158"/>
      <c r="V502" s="7"/>
      <c r="W502" s="7"/>
      <c r="X502" s="146"/>
      <c r="Y502" s="7"/>
      <c r="Z502" s="7"/>
      <c r="AA502" s="7" t="str">
        <f>IFERROR((VLOOKUP(F502,#REF!,2,FALSE)),"-")</f>
        <v>-</v>
      </c>
      <c r="AB502" s="119" t="e">
        <f>CONCATENATE(F502," - ",I502," - ",#REF!,)</f>
        <v>#REF!</v>
      </c>
    </row>
    <row r="503" spans="1:28" s="116" customFormat="1" ht="15">
      <c r="A503" s="114"/>
      <c r="B503" s="120"/>
      <c r="C503" s="129" t="str">
        <f t="shared" si="21"/>
        <v>week-0</v>
      </c>
      <c r="D503" s="120" t="str">
        <f t="shared" si="22"/>
        <v>Jan</v>
      </c>
      <c r="E503" s="7"/>
      <c r="F503" s="7"/>
      <c r="G503" s="120"/>
      <c r="H503" s="120"/>
      <c r="I503" s="118"/>
      <c r="J503" s="118"/>
      <c r="K503" s="115"/>
      <c r="L503" s="115"/>
      <c r="M503" s="8"/>
      <c r="N503" s="8" t="str">
        <f t="shared" si="23"/>
        <v>-</v>
      </c>
      <c r="O503" s="126"/>
      <c r="P503" s="127"/>
      <c r="Q503" s="127"/>
      <c r="R503" s="126"/>
      <c r="S503" s="127"/>
      <c r="T503" s="8"/>
      <c r="U503" s="158"/>
      <c r="V503" s="7"/>
      <c r="W503" s="7"/>
      <c r="X503" s="146"/>
      <c r="Y503" s="7"/>
      <c r="Z503" s="7"/>
      <c r="AA503" s="7" t="str">
        <f>IFERROR((VLOOKUP(F503,#REF!,2,FALSE)),"-")</f>
        <v>-</v>
      </c>
      <c r="AB503" s="119" t="e">
        <f>CONCATENATE(F503," - ",I503," - ",#REF!,)</f>
        <v>#REF!</v>
      </c>
    </row>
    <row r="504" spans="1:28" s="116" customFormat="1" ht="15">
      <c r="A504" s="114"/>
      <c r="B504" s="120"/>
      <c r="C504" s="129" t="str">
        <f t="shared" si="21"/>
        <v>week-0</v>
      </c>
      <c r="D504" s="120" t="str">
        <f t="shared" si="22"/>
        <v>Jan</v>
      </c>
      <c r="E504" s="7"/>
      <c r="F504" s="7"/>
      <c r="G504" s="120"/>
      <c r="H504" s="120"/>
      <c r="I504" s="118"/>
      <c r="J504" s="118"/>
      <c r="K504" s="115"/>
      <c r="L504" s="115"/>
      <c r="M504" s="8"/>
      <c r="N504" s="8" t="str">
        <f t="shared" si="23"/>
        <v>-</v>
      </c>
      <c r="O504" s="127"/>
      <c r="P504" s="127"/>
      <c r="Q504" s="127"/>
      <c r="R504" s="127"/>
      <c r="S504" s="127"/>
      <c r="T504" s="139"/>
      <c r="U504" s="158"/>
      <c r="V504" s="7"/>
      <c r="W504" s="7"/>
      <c r="X504" s="146"/>
      <c r="Y504" s="7"/>
      <c r="Z504" s="7"/>
      <c r="AA504" s="7"/>
      <c r="AB504" s="119" t="e">
        <f>CONCATENATE(F504," - ",I504," - ",#REF!,)</f>
        <v>#REF!</v>
      </c>
    </row>
    <row r="505" spans="1:28" s="116" customFormat="1" ht="15">
      <c r="A505" s="114"/>
      <c r="B505" s="120"/>
      <c r="C505" s="129" t="str">
        <f t="shared" si="21"/>
        <v>week-0</v>
      </c>
      <c r="D505" s="120" t="str">
        <f t="shared" si="22"/>
        <v>Jan</v>
      </c>
      <c r="E505" s="7"/>
      <c r="F505" s="7"/>
      <c r="G505" s="120"/>
      <c r="H505" s="120"/>
      <c r="I505" s="118"/>
      <c r="J505" s="118"/>
      <c r="K505" s="115"/>
      <c r="L505" s="115"/>
      <c r="M505" s="8"/>
      <c r="N505" s="8" t="str">
        <f t="shared" si="23"/>
        <v>-</v>
      </c>
      <c r="O505" s="127"/>
      <c r="P505" s="127"/>
      <c r="Q505" s="127"/>
      <c r="R505" s="127"/>
      <c r="S505" s="127"/>
      <c r="T505" s="139"/>
      <c r="U505" s="158"/>
      <c r="V505" s="7"/>
      <c r="W505" s="7"/>
      <c r="X505" s="146"/>
      <c r="Y505" s="7"/>
      <c r="Z505" s="7"/>
      <c r="AA505" s="7" t="str">
        <f>IFERROR((VLOOKUP(F505,#REF!,2,FALSE)),"-")</f>
        <v>-</v>
      </c>
      <c r="AB505" s="119" t="e">
        <f>CONCATENATE(F505," - ",I505," - ",#REF!,)</f>
        <v>#REF!</v>
      </c>
    </row>
    <row r="506" spans="1:28" s="116" customFormat="1" ht="15">
      <c r="A506" s="114"/>
      <c r="B506" s="120"/>
      <c r="C506" s="129" t="str">
        <f t="shared" si="21"/>
        <v>week-0</v>
      </c>
      <c r="D506" s="120" t="str">
        <f t="shared" si="22"/>
        <v>Jan</v>
      </c>
      <c r="E506" s="7"/>
      <c r="F506" s="7"/>
      <c r="G506" s="120"/>
      <c r="H506" s="120"/>
      <c r="I506" s="118"/>
      <c r="J506" s="118"/>
      <c r="K506" s="115"/>
      <c r="L506" s="115"/>
      <c r="M506" s="8"/>
      <c r="N506" s="8" t="str">
        <f t="shared" si="23"/>
        <v>-</v>
      </c>
      <c r="O506" s="126"/>
      <c r="P506" s="127"/>
      <c r="Q506" s="127"/>
      <c r="R506" s="126"/>
      <c r="S506" s="127"/>
      <c r="T506" s="8"/>
      <c r="U506" s="158"/>
      <c r="V506" s="7"/>
      <c r="W506" s="7"/>
      <c r="X506" s="146"/>
      <c r="Y506" s="7"/>
      <c r="Z506" s="7"/>
      <c r="AA506" s="7" t="str">
        <f>IFERROR((VLOOKUP(F506,#REF!,2,FALSE)),"-")</f>
        <v>-</v>
      </c>
      <c r="AB506" s="119" t="e">
        <f>CONCATENATE(F506," - ",I506," - ",#REF!,)</f>
        <v>#REF!</v>
      </c>
    </row>
    <row r="507" spans="1:28" s="116" customFormat="1" ht="15">
      <c r="A507" s="114"/>
      <c r="B507" s="120"/>
      <c r="C507" s="129" t="str">
        <f t="shared" si="21"/>
        <v>week-0</v>
      </c>
      <c r="D507" s="120" t="str">
        <f t="shared" si="22"/>
        <v>Jan</v>
      </c>
      <c r="E507" s="7"/>
      <c r="F507" s="7"/>
      <c r="G507" s="120"/>
      <c r="H507" s="120"/>
      <c r="I507" s="118"/>
      <c r="J507" s="118"/>
      <c r="K507" s="115"/>
      <c r="L507" s="115"/>
      <c r="M507" s="8"/>
      <c r="N507" s="8" t="str">
        <f t="shared" si="23"/>
        <v>-</v>
      </c>
      <c r="O507" s="127"/>
      <c r="P507" s="127"/>
      <c r="Q507" s="127"/>
      <c r="R507" s="127"/>
      <c r="S507" s="127"/>
      <c r="T507" s="139"/>
      <c r="U507" s="158"/>
      <c r="V507" s="7"/>
      <c r="W507" s="7"/>
      <c r="X507" s="146"/>
      <c r="Y507" s="7"/>
      <c r="Z507" s="7"/>
      <c r="AA507" s="7" t="str">
        <f>IFERROR((VLOOKUP(F507,#REF!,2,FALSE)),"-")</f>
        <v>-</v>
      </c>
      <c r="AB507" s="119" t="e">
        <f>CONCATENATE(F507," - ",I507," - ",#REF!,)</f>
        <v>#REF!</v>
      </c>
    </row>
    <row r="508" spans="1:28" s="116" customFormat="1" ht="15">
      <c r="A508" s="114"/>
      <c r="B508" s="120"/>
      <c r="C508" s="129" t="str">
        <f t="shared" si="21"/>
        <v>week-0</v>
      </c>
      <c r="D508" s="120" t="str">
        <f t="shared" si="22"/>
        <v>Jan</v>
      </c>
      <c r="E508" s="7"/>
      <c r="F508" s="7"/>
      <c r="G508" s="120"/>
      <c r="H508" s="120"/>
      <c r="I508" s="118"/>
      <c r="J508" s="118"/>
      <c r="K508" s="115"/>
      <c r="L508" s="115"/>
      <c r="M508" s="8"/>
      <c r="N508" s="8" t="str">
        <f t="shared" si="23"/>
        <v>-</v>
      </c>
      <c r="O508" s="126"/>
      <c r="P508" s="127"/>
      <c r="Q508" s="127"/>
      <c r="R508" s="126"/>
      <c r="S508" s="127"/>
      <c r="T508" s="8"/>
      <c r="U508" s="158"/>
      <c r="V508" s="7"/>
      <c r="W508" s="7"/>
      <c r="X508" s="146"/>
      <c r="Y508" s="7"/>
      <c r="Z508" s="7"/>
      <c r="AA508" s="7" t="str">
        <f>IFERROR((VLOOKUP(F508,#REF!,2,FALSE)),"-")</f>
        <v>-</v>
      </c>
      <c r="AB508" s="119" t="e">
        <f>CONCATENATE(F508," - ",I508," - ",#REF!,)</f>
        <v>#REF!</v>
      </c>
    </row>
    <row r="509" spans="1:28" s="116" customFormat="1" ht="15">
      <c r="A509" s="114"/>
      <c r="B509" s="120"/>
      <c r="C509" s="129" t="str">
        <f t="shared" si="21"/>
        <v>week-0</v>
      </c>
      <c r="D509" s="120" t="str">
        <f t="shared" si="22"/>
        <v>Jan</v>
      </c>
      <c r="E509" s="7"/>
      <c r="F509" s="7"/>
      <c r="G509" s="120"/>
      <c r="H509" s="120"/>
      <c r="I509" s="118"/>
      <c r="J509" s="118"/>
      <c r="K509" s="115"/>
      <c r="L509" s="115"/>
      <c r="M509" s="8"/>
      <c r="N509" s="8" t="str">
        <f t="shared" si="23"/>
        <v>-</v>
      </c>
      <c r="O509" s="126"/>
      <c r="P509" s="127"/>
      <c r="Q509" s="127"/>
      <c r="R509" s="126"/>
      <c r="S509" s="127"/>
      <c r="T509" s="8"/>
      <c r="U509" s="158"/>
      <c r="V509" s="7"/>
      <c r="W509" s="7"/>
      <c r="X509" s="146"/>
      <c r="Y509" s="7"/>
      <c r="Z509" s="7"/>
      <c r="AA509" s="7" t="str">
        <f>IFERROR((VLOOKUP(F509,#REF!,2,FALSE)),"-")</f>
        <v>-</v>
      </c>
      <c r="AB509" s="119" t="e">
        <f>CONCATENATE(F509," - ",I509," - ",#REF!,)</f>
        <v>#REF!</v>
      </c>
    </row>
    <row r="510" spans="1:28" s="116" customFormat="1" ht="15">
      <c r="A510" s="114"/>
      <c r="B510" s="120"/>
      <c r="C510" s="129" t="str">
        <f t="shared" si="21"/>
        <v>week-0</v>
      </c>
      <c r="D510" s="120" t="str">
        <f t="shared" si="22"/>
        <v>Jan</v>
      </c>
      <c r="E510" s="7"/>
      <c r="F510" s="7"/>
      <c r="G510" s="120"/>
      <c r="H510" s="120"/>
      <c r="I510" s="118"/>
      <c r="J510" s="118"/>
      <c r="K510" s="115"/>
      <c r="L510" s="115"/>
      <c r="M510" s="8"/>
      <c r="N510" s="8" t="str">
        <f t="shared" si="23"/>
        <v>-</v>
      </c>
      <c r="O510" s="126"/>
      <c r="P510" s="127"/>
      <c r="Q510" s="127"/>
      <c r="R510" s="126"/>
      <c r="S510" s="127"/>
      <c r="T510" s="8"/>
      <c r="U510" s="158"/>
      <c r="V510" s="7"/>
      <c r="W510" s="7"/>
      <c r="X510" s="146"/>
      <c r="Y510" s="7"/>
      <c r="Z510" s="7"/>
      <c r="AA510" s="7" t="str">
        <f>IFERROR((VLOOKUP(F510,#REF!,2,FALSE)),"-")</f>
        <v>-</v>
      </c>
      <c r="AB510" s="119" t="e">
        <f>CONCATENATE(F510," - ",I510," - ",#REF!,)</f>
        <v>#REF!</v>
      </c>
    </row>
    <row r="511" spans="1:28" s="116" customFormat="1" ht="15">
      <c r="A511" s="114"/>
      <c r="B511" s="120"/>
      <c r="C511" s="129" t="str">
        <f t="shared" si="21"/>
        <v>week-0</v>
      </c>
      <c r="D511" s="120" t="str">
        <f t="shared" si="22"/>
        <v>Jan</v>
      </c>
      <c r="E511" s="7"/>
      <c r="F511" s="7"/>
      <c r="G511" s="120"/>
      <c r="H511" s="120"/>
      <c r="I511" s="118"/>
      <c r="J511" s="118"/>
      <c r="K511" s="115"/>
      <c r="L511" s="115"/>
      <c r="M511" s="8"/>
      <c r="N511" s="8" t="str">
        <f t="shared" si="23"/>
        <v>-</v>
      </c>
      <c r="O511" s="126"/>
      <c r="P511" s="127"/>
      <c r="Q511" s="127"/>
      <c r="R511" s="126"/>
      <c r="S511" s="127"/>
      <c r="T511" s="8"/>
      <c r="U511" s="158"/>
      <c r="V511" s="7"/>
      <c r="W511" s="7"/>
      <c r="X511" s="146"/>
      <c r="Y511" s="7"/>
      <c r="Z511" s="7"/>
      <c r="AA511" s="7" t="str">
        <f>IFERROR((VLOOKUP(F511,#REF!,2,FALSE)),"-")</f>
        <v>-</v>
      </c>
      <c r="AB511" s="119" t="e">
        <f>CONCATENATE(F511," - ",I511," - ",#REF!,)</f>
        <v>#REF!</v>
      </c>
    </row>
    <row r="512" spans="1:28" s="116" customFormat="1" ht="15">
      <c r="A512" s="114"/>
      <c r="B512" s="120"/>
      <c r="C512" s="129" t="str">
        <f t="shared" si="21"/>
        <v>week-0</v>
      </c>
      <c r="D512" s="120" t="str">
        <f t="shared" si="22"/>
        <v>Jan</v>
      </c>
      <c r="E512" s="7"/>
      <c r="F512" s="7"/>
      <c r="G512" s="120"/>
      <c r="H512" s="120"/>
      <c r="I512" s="118"/>
      <c r="J512" s="118"/>
      <c r="K512" s="115"/>
      <c r="L512" s="115"/>
      <c r="M512" s="8"/>
      <c r="N512" s="8" t="str">
        <f t="shared" si="23"/>
        <v>-</v>
      </c>
      <c r="O512" s="126"/>
      <c r="P512" s="127"/>
      <c r="Q512" s="127"/>
      <c r="R512" s="126"/>
      <c r="S512" s="127"/>
      <c r="T512" s="8"/>
      <c r="U512" s="158"/>
      <c r="V512" s="7"/>
      <c r="W512" s="7"/>
      <c r="X512" s="146"/>
      <c r="Y512" s="7"/>
      <c r="Z512" s="7"/>
      <c r="AA512" s="7" t="str">
        <f>IFERROR((VLOOKUP(F512,#REF!,2,FALSE)),"-")</f>
        <v>-</v>
      </c>
      <c r="AB512" s="119" t="e">
        <f>CONCATENATE(F512," - ",I512," - ",#REF!,)</f>
        <v>#REF!</v>
      </c>
    </row>
    <row r="513" spans="1:28" s="116" customFormat="1" ht="15">
      <c r="A513" s="114"/>
      <c r="B513" s="120"/>
      <c r="C513" s="129" t="str">
        <f t="shared" si="21"/>
        <v>week-0</v>
      </c>
      <c r="D513" s="120" t="str">
        <f t="shared" si="22"/>
        <v>Jan</v>
      </c>
      <c r="E513" s="7"/>
      <c r="F513" s="7"/>
      <c r="G513" s="120"/>
      <c r="H513" s="120"/>
      <c r="I513" s="118"/>
      <c r="J513" s="118"/>
      <c r="K513" s="115"/>
      <c r="L513" s="115"/>
      <c r="M513" s="8"/>
      <c r="N513" s="8" t="str">
        <f t="shared" si="23"/>
        <v>-</v>
      </c>
      <c r="O513" s="126"/>
      <c r="P513" s="127"/>
      <c r="Q513" s="127"/>
      <c r="R513" s="126"/>
      <c r="S513" s="127"/>
      <c r="T513" s="8"/>
      <c r="U513" s="158"/>
      <c r="V513" s="7"/>
      <c r="W513" s="7"/>
      <c r="X513" s="146"/>
      <c r="Y513" s="7"/>
      <c r="Z513" s="7"/>
      <c r="AA513" s="7" t="str">
        <f>IFERROR((VLOOKUP(F513,#REF!,2,FALSE)),"-")</f>
        <v>-</v>
      </c>
      <c r="AB513" s="119" t="e">
        <f>CONCATENATE(F513," - ",I513," - ",#REF!,)</f>
        <v>#REF!</v>
      </c>
    </row>
    <row r="514" spans="1:28" s="116" customFormat="1" ht="15">
      <c r="A514" s="114"/>
      <c r="B514" s="120"/>
      <c r="C514" s="129" t="str">
        <f t="shared" si="21"/>
        <v>week-0</v>
      </c>
      <c r="D514" s="120" t="str">
        <f t="shared" si="22"/>
        <v>Jan</v>
      </c>
      <c r="E514" s="7"/>
      <c r="F514" s="7"/>
      <c r="G514" s="120"/>
      <c r="H514" s="120"/>
      <c r="I514" s="118"/>
      <c r="J514" s="118"/>
      <c r="K514" s="115"/>
      <c r="L514" s="115"/>
      <c r="M514" s="8"/>
      <c r="N514" s="8" t="str">
        <f t="shared" si="23"/>
        <v>-</v>
      </c>
      <c r="O514" s="126"/>
      <c r="P514" s="127"/>
      <c r="Q514" s="127"/>
      <c r="R514" s="126"/>
      <c r="S514" s="127"/>
      <c r="T514" s="8"/>
      <c r="U514" s="158"/>
      <c r="V514" s="7"/>
      <c r="W514" s="7"/>
      <c r="X514" s="146"/>
      <c r="Y514" s="7"/>
      <c r="Z514" s="7"/>
      <c r="AA514" s="7" t="str">
        <f>IFERROR((VLOOKUP(F514,#REF!,2,FALSE)),"-")</f>
        <v>-</v>
      </c>
      <c r="AB514" s="119" t="e">
        <f>CONCATENATE(F514," - ",I514," - ",#REF!,)</f>
        <v>#REF!</v>
      </c>
    </row>
    <row r="515" spans="1:28" s="116" customFormat="1" ht="15">
      <c r="A515" s="114"/>
      <c r="B515" s="120"/>
      <c r="C515" s="129" t="str">
        <f t="shared" si="21"/>
        <v>week-0</v>
      </c>
      <c r="D515" s="120" t="str">
        <f t="shared" si="22"/>
        <v>Jan</v>
      </c>
      <c r="E515" s="7"/>
      <c r="F515" s="7"/>
      <c r="G515" s="120"/>
      <c r="H515" s="120"/>
      <c r="I515" s="118"/>
      <c r="J515" s="118"/>
      <c r="K515" s="115"/>
      <c r="L515" s="115"/>
      <c r="M515" s="8"/>
      <c r="N515" s="8" t="str">
        <f t="shared" si="23"/>
        <v>-</v>
      </c>
      <c r="O515" s="126"/>
      <c r="P515" s="127"/>
      <c r="Q515" s="127"/>
      <c r="R515" s="126"/>
      <c r="S515" s="127"/>
      <c r="T515" s="8"/>
      <c r="U515" s="158"/>
      <c r="V515" s="7"/>
      <c r="W515" s="7"/>
      <c r="X515" s="146"/>
      <c r="Y515" s="7"/>
      <c r="Z515" s="7"/>
      <c r="AA515" s="7" t="str">
        <f>IFERROR((VLOOKUP(F515,#REF!,2,FALSE)),"-")</f>
        <v>-</v>
      </c>
      <c r="AB515" s="119" t="e">
        <f>CONCATENATE(F515," - ",I515," - ",#REF!,)</f>
        <v>#REF!</v>
      </c>
    </row>
    <row r="516" spans="1:28" s="116" customFormat="1" ht="15">
      <c r="A516" s="114"/>
      <c r="B516" s="120"/>
      <c r="C516" s="129" t="str">
        <f t="shared" ref="C516:C579" si="24">"week-"&amp;WEEKNUM(B516)</f>
        <v>week-0</v>
      </c>
      <c r="D516" s="120" t="str">
        <f t="shared" ref="D516:D579" si="25">TEXT(B516,"mmm")</f>
        <v>Jan</v>
      </c>
      <c r="E516" s="7"/>
      <c r="F516" s="7"/>
      <c r="G516" s="120"/>
      <c r="H516" s="120"/>
      <c r="I516" s="118"/>
      <c r="J516" s="118"/>
      <c r="K516" s="115"/>
      <c r="L516" s="115"/>
      <c r="M516" s="8"/>
      <c r="N516" s="8" t="str">
        <f t="shared" ref="N516:N579" si="26">IF(ISBLANK(M516),"-",(M516/60))</f>
        <v>-</v>
      </c>
      <c r="O516" s="126"/>
      <c r="P516" s="127"/>
      <c r="Q516" s="127"/>
      <c r="R516" s="126"/>
      <c r="S516" s="127"/>
      <c r="T516" s="8"/>
      <c r="U516" s="158"/>
      <c r="V516" s="7"/>
      <c r="W516" s="7"/>
      <c r="X516" s="146"/>
      <c r="Y516" s="7"/>
      <c r="Z516" s="7"/>
      <c r="AA516" s="7" t="str">
        <f>IFERROR((VLOOKUP(F516,#REF!,2,FALSE)),"-")</f>
        <v>-</v>
      </c>
      <c r="AB516" s="119" t="e">
        <f>CONCATENATE(F516," - ",I516," - ",#REF!,)</f>
        <v>#REF!</v>
      </c>
    </row>
    <row r="517" spans="1:28" s="116" customFormat="1" ht="15">
      <c r="A517" s="114"/>
      <c r="B517" s="120"/>
      <c r="C517" s="129" t="str">
        <f t="shared" si="24"/>
        <v>week-0</v>
      </c>
      <c r="D517" s="120" t="str">
        <f t="shared" si="25"/>
        <v>Jan</v>
      </c>
      <c r="E517" s="7"/>
      <c r="F517" s="7"/>
      <c r="G517" s="120"/>
      <c r="H517" s="120"/>
      <c r="I517" s="118"/>
      <c r="J517" s="118"/>
      <c r="K517" s="115"/>
      <c r="L517" s="115"/>
      <c r="M517" s="8"/>
      <c r="N517" s="8" t="str">
        <f t="shared" si="26"/>
        <v>-</v>
      </c>
      <c r="O517" s="126"/>
      <c r="P517" s="127"/>
      <c r="Q517" s="127"/>
      <c r="R517" s="126"/>
      <c r="S517" s="127"/>
      <c r="T517" s="8"/>
      <c r="U517" s="158"/>
      <c r="V517" s="7"/>
      <c r="W517" s="7"/>
      <c r="X517" s="146"/>
      <c r="Y517" s="7"/>
      <c r="Z517" s="7"/>
      <c r="AA517" s="7" t="str">
        <f>IFERROR((VLOOKUP(F517,#REF!,2,FALSE)),"-")</f>
        <v>-</v>
      </c>
      <c r="AB517" s="119" t="e">
        <f>CONCATENATE(F517," - ",I517," - ",#REF!,)</f>
        <v>#REF!</v>
      </c>
    </row>
    <row r="518" spans="1:28" s="116" customFormat="1" ht="15">
      <c r="A518" s="114"/>
      <c r="B518" s="120"/>
      <c r="C518" s="129" t="str">
        <f t="shared" si="24"/>
        <v>week-0</v>
      </c>
      <c r="D518" s="120" t="str">
        <f t="shared" si="25"/>
        <v>Jan</v>
      </c>
      <c r="E518" s="7"/>
      <c r="F518" s="7"/>
      <c r="G518" s="120"/>
      <c r="H518" s="120"/>
      <c r="I518" s="118"/>
      <c r="J518" s="118"/>
      <c r="K518" s="115"/>
      <c r="L518" s="115"/>
      <c r="M518" s="8"/>
      <c r="N518" s="8" t="str">
        <f t="shared" si="26"/>
        <v>-</v>
      </c>
      <c r="O518" s="126"/>
      <c r="P518" s="127"/>
      <c r="Q518" s="127"/>
      <c r="R518" s="126"/>
      <c r="S518" s="127"/>
      <c r="T518" s="8"/>
      <c r="U518" s="158"/>
      <c r="V518" s="7"/>
      <c r="W518" s="7"/>
      <c r="X518" s="146"/>
      <c r="Y518" s="7"/>
      <c r="Z518" s="7"/>
      <c r="AA518" s="7" t="str">
        <f>IFERROR((VLOOKUP(F518,#REF!,2,FALSE)),"-")</f>
        <v>-</v>
      </c>
      <c r="AB518" s="119" t="e">
        <f>CONCATENATE(F518," - ",I518," - ",#REF!,)</f>
        <v>#REF!</v>
      </c>
    </row>
    <row r="519" spans="1:28" s="116" customFormat="1" ht="15">
      <c r="A519" s="114"/>
      <c r="B519" s="120"/>
      <c r="C519" s="129" t="str">
        <f t="shared" si="24"/>
        <v>week-0</v>
      </c>
      <c r="D519" s="120" t="str">
        <f t="shared" si="25"/>
        <v>Jan</v>
      </c>
      <c r="E519" s="7"/>
      <c r="F519" s="7"/>
      <c r="G519" s="120"/>
      <c r="H519" s="120"/>
      <c r="I519" s="118"/>
      <c r="J519" s="118"/>
      <c r="K519" s="115"/>
      <c r="L519" s="115"/>
      <c r="M519" s="8"/>
      <c r="N519" s="8" t="str">
        <f t="shared" si="26"/>
        <v>-</v>
      </c>
      <c r="O519" s="126"/>
      <c r="P519" s="127"/>
      <c r="Q519" s="127"/>
      <c r="R519" s="126"/>
      <c r="S519" s="127"/>
      <c r="T519" s="8"/>
      <c r="U519" s="158"/>
      <c r="V519" s="7"/>
      <c r="W519" s="7"/>
      <c r="X519" s="146"/>
      <c r="Y519" s="7"/>
      <c r="Z519" s="7"/>
      <c r="AA519" s="7" t="str">
        <f>IFERROR((VLOOKUP(F519,#REF!,2,FALSE)),"-")</f>
        <v>-</v>
      </c>
      <c r="AB519" s="119" t="e">
        <f>CONCATENATE(F519," - ",I519," - ",#REF!,)</f>
        <v>#REF!</v>
      </c>
    </row>
    <row r="520" spans="1:28" s="116" customFormat="1" ht="15">
      <c r="A520" s="114"/>
      <c r="B520" s="120"/>
      <c r="C520" s="129" t="str">
        <f t="shared" si="24"/>
        <v>week-0</v>
      </c>
      <c r="D520" s="120" t="str">
        <f t="shared" si="25"/>
        <v>Jan</v>
      </c>
      <c r="E520" s="7"/>
      <c r="F520" s="7"/>
      <c r="G520" s="120"/>
      <c r="H520" s="120"/>
      <c r="I520" s="118"/>
      <c r="J520" s="118"/>
      <c r="K520" s="115"/>
      <c r="L520" s="115"/>
      <c r="M520" s="8"/>
      <c r="N520" s="8" t="str">
        <f t="shared" si="26"/>
        <v>-</v>
      </c>
      <c r="O520" s="126"/>
      <c r="P520" s="127"/>
      <c r="Q520" s="127"/>
      <c r="R520" s="126"/>
      <c r="S520" s="127"/>
      <c r="T520" s="8"/>
      <c r="U520" s="158"/>
      <c r="V520" s="7"/>
      <c r="W520" s="7"/>
      <c r="X520" s="146"/>
      <c r="Y520" s="7"/>
      <c r="Z520" s="7"/>
      <c r="AA520" s="7" t="str">
        <f>IFERROR((VLOOKUP(F520,#REF!,2,FALSE)),"-")</f>
        <v>-</v>
      </c>
      <c r="AB520" s="119" t="e">
        <f>CONCATENATE(F520," - ",I520," - ",#REF!,)</f>
        <v>#REF!</v>
      </c>
    </row>
    <row r="521" spans="1:28" s="116" customFormat="1" ht="15">
      <c r="A521" s="114"/>
      <c r="B521" s="120"/>
      <c r="C521" s="129" t="str">
        <f t="shared" si="24"/>
        <v>week-0</v>
      </c>
      <c r="D521" s="120" t="str">
        <f t="shared" si="25"/>
        <v>Jan</v>
      </c>
      <c r="E521" s="7"/>
      <c r="F521" s="7"/>
      <c r="G521" s="120"/>
      <c r="H521" s="120"/>
      <c r="I521" s="118"/>
      <c r="J521" s="118"/>
      <c r="K521" s="115"/>
      <c r="L521" s="115"/>
      <c r="M521" s="8"/>
      <c r="N521" s="8" t="str">
        <f t="shared" si="26"/>
        <v>-</v>
      </c>
      <c r="O521" s="126"/>
      <c r="P521" s="127"/>
      <c r="Q521" s="127"/>
      <c r="R521" s="126"/>
      <c r="S521" s="127"/>
      <c r="T521" s="8"/>
      <c r="U521" s="158"/>
      <c r="V521" s="7"/>
      <c r="W521" s="7"/>
      <c r="X521" s="146"/>
      <c r="Y521" s="7"/>
      <c r="Z521" s="7"/>
      <c r="AA521" s="7" t="str">
        <f>IFERROR((VLOOKUP(F521,#REF!,2,FALSE)),"-")</f>
        <v>-</v>
      </c>
      <c r="AB521" s="119" t="e">
        <f>CONCATENATE(F521," - ",I521," - ",#REF!,)</f>
        <v>#REF!</v>
      </c>
    </row>
    <row r="522" spans="1:28" s="116" customFormat="1" ht="15">
      <c r="A522" s="114"/>
      <c r="B522" s="120"/>
      <c r="C522" s="129" t="str">
        <f t="shared" si="24"/>
        <v>week-0</v>
      </c>
      <c r="D522" s="120" t="str">
        <f t="shared" si="25"/>
        <v>Jan</v>
      </c>
      <c r="E522" s="7"/>
      <c r="F522" s="7"/>
      <c r="G522" s="120"/>
      <c r="H522" s="120"/>
      <c r="I522" s="118"/>
      <c r="J522" s="118"/>
      <c r="K522" s="115"/>
      <c r="L522" s="115"/>
      <c r="M522" s="8"/>
      <c r="N522" s="8" t="str">
        <f t="shared" si="26"/>
        <v>-</v>
      </c>
      <c r="O522" s="126"/>
      <c r="P522" s="127"/>
      <c r="Q522" s="127"/>
      <c r="R522" s="126"/>
      <c r="S522" s="127"/>
      <c r="T522" s="8"/>
      <c r="U522" s="158"/>
      <c r="V522" s="7"/>
      <c r="W522" s="7"/>
      <c r="X522" s="146"/>
      <c r="Y522" s="7"/>
      <c r="Z522" s="7"/>
      <c r="AA522" s="7" t="str">
        <f>IFERROR((VLOOKUP(F522,#REF!,2,FALSE)),"-")</f>
        <v>-</v>
      </c>
      <c r="AB522" s="119" t="e">
        <f>CONCATENATE(F522," - ",I522," - ",#REF!,)</f>
        <v>#REF!</v>
      </c>
    </row>
    <row r="523" spans="1:28" s="116" customFormat="1" ht="15">
      <c r="A523" s="114"/>
      <c r="B523" s="120"/>
      <c r="C523" s="129" t="str">
        <f t="shared" si="24"/>
        <v>week-0</v>
      </c>
      <c r="D523" s="120" t="str">
        <f t="shared" si="25"/>
        <v>Jan</v>
      </c>
      <c r="E523" s="7"/>
      <c r="F523" s="7"/>
      <c r="G523" s="120"/>
      <c r="H523" s="120"/>
      <c r="I523" s="118"/>
      <c r="J523" s="118"/>
      <c r="K523" s="115"/>
      <c r="L523" s="115"/>
      <c r="M523" s="8"/>
      <c r="N523" s="8" t="str">
        <f t="shared" si="26"/>
        <v>-</v>
      </c>
      <c r="O523" s="127"/>
      <c r="P523" s="127"/>
      <c r="Q523" s="127"/>
      <c r="R523" s="127"/>
      <c r="S523" s="127"/>
      <c r="T523" s="139"/>
      <c r="U523" s="158"/>
      <c r="V523" s="7"/>
      <c r="W523" s="7"/>
      <c r="X523" s="146"/>
      <c r="Y523" s="7"/>
      <c r="Z523" s="7"/>
      <c r="AA523" s="7" t="str">
        <f>IFERROR((VLOOKUP(F523,#REF!,2,FALSE)),"-")</f>
        <v>-</v>
      </c>
      <c r="AB523" s="119" t="e">
        <f>CONCATENATE(F523," - ",I523," - ",#REF!,)</f>
        <v>#REF!</v>
      </c>
    </row>
    <row r="524" spans="1:28" s="116" customFormat="1" ht="15">
      <c r="A524" s="114"/>
      <c r="B524" s="120"/>
      <c r="C524" s="129" t="str">
        <f t="shared" si="24"/>
        <v>week-0</v>
      </c>
      <c r="D524" s="120" t="str">
        <f t="shared" si="25"/>
        <v>Jan</v>
      </c>
      <c r="E524" s="7"/>
      <c r="F524" s="7"/>
      <c r="G524" s="120"/>
      <c r="H524" s="120"/>
      <c r="I524" s="118"/>
      <c r="J524" s="118"/>
      <c r="K524" s="115"/>
      <c r="L524" s="115"/>
      <c r="M524" s="8"/>
      <c r="N524" s="8" t="str">
        <f t="shared" si="26"/>
        <v>-</v>
      </c>
      <c r="O524" s="126"/>
      <c r="P524" s="127"/>
      <c r="Q524" s="127"/>
      <c r="R524" s="126"/>
      <c r="S524" s="127"/>
      <c r="T524" s="8"/>
      <c r="U524" s="158"/>
      <c r="V524" s="7"/>
      <c r="W524" s="7"/>
      <c r="X524" s="146"/>
      <c r="Y524" s="7"/>
      <c r="Z524" s="7"/>
      <c r="AA524" s="7" t="str">
        <f>IFERROR((VLOOKUP(F524,#REF!,2,FALSE)),"-")</f>
        <v>-</v>
      </c>
      <c r="AB524" s="119" t="e">
        <f>CONCATENATE(F524," - ",I524," - ",#REF!,)</f>
        <v>#REF!</v>
      </c>
    </row>
    <row r="525" spans="1:28" s="116" customFormat="1" ht="15">
      <c r="A525" s="114"/>
      <c r="B525" s="120"/>
      <c r="C525" s="129" t="str">
        <f t="shared" si="24"/>
        <v>week-0</v>
      </c>
      <c r="D525" s="120" t="str">
        <f t="shared" si="25"/>
        <v>Jan</v>
      </c>
      <c r="E525" s="7"/>
      <c r="F525" s="7"/>
      <c r="G525" s="120"/>
      <c r="H525" s="120"/>
      <c r="I525" s="118"/>
      <c r="J525" s="118"/>
      <c r="K525" s="115"/>
      <c r="L525" s="115"/>
      <c r="M525" s="8"/>
      <c r="N525" s="8" t="str">
        <f t="shared" si="26"/>
        <v>-</v>
      </c>
      <c r="O525" s="127"/>
      <c r="P525" s="127"/>
      <c r="Q525" s="127"/>
      <c r="R525" s="127"/>
      <c r="S525" s="127"/>
      <c r="T525" s="139"/>
      <c r="U525" s="158"/>
      <c r="V525" s="7"/>
      <c r="W525" s="7"/>
      <c r="X525" s="146"/>
      <c r="Y525" s="7"/>
      <c r="Z525" s="7"/>
      <c r="AA525" s="7" t="str">
        <f>IFERROR((VLOOKUP(F525,#REF!,2,FALSE)),"-")</f>
        <v>-</v>
      </c>
      <c r="AB525" s="119" t="e">
        <f>CONCATENATE(F525," - ",I525," - ",#REF!,)</f>
        <v>#REF!</v>
      </c>
    </row>
    <row r="526" spans="1:28" s="116" customFormat="1" ht="15">
      <c r="A526" s="114"/>
      <c r="B526" s="120"/>
      <c r="C526" s="129" t="str">
        <f t="shared" si="24"/>
        <v>week-0</v>
      </c>
      <c r="D526" s="120" t="str">
        <f t="shared" si="25"/>
        <v>Jan</v>
      </c>
      <c r="E526" s="7"/>
      <c r="F526" s="7"/>
      <c r="G526" s="120"/>
      <c r="H526" s="120"/>
      <c r="I526" s="118"/>
      <c r="J526" s="118"/>
      <c r="K526" s="115"/>
      <c r="L526" s="115"/>
      <c r="M526" s="8"/>
      <c r="N526" s="8" t="str">
        <f t="shared" si="26"/>
        <v>-</v>
      </c>
      <c r="O526" s="127"/>
      <c r="P526" s="127"/>
      <c r="Q526" s="127"/>
      <c r="R526" s="127"/>
      <c r="S526" s="127"/>
      <c r="T526" s="139"/>
      <c r="U526" s="158"/>
      <c r="V526" s="7"/>
      <c r="W526" s="7"/>
      <c r="X526" s="146"/>
      <c r="Y526" s="7"/>
      <c r="Z526" s="7"/>
      <c r="AA526" s="7" t="str">
        <f>IFERROR((VLOOKUP(F526,#REF!,2,FALSE)),"-")</f>
        <v>-</v>
      </c>
      <c r="AB526" s="119" t="e">
        <f>CONCATENATE(F526," - ",I526," - ",#REF!,)</f>
        <v>#REF!</v>
      </c>
    </row>
    <row r="527" spans="1:28" s="116" customFormat="1" ht="15">
      <c r="A527" s="114"/>
      <c r="B527" s="120"/>
      <c r="C527" s="129" t="str">
        <f t="shared" si="24"/>
        <v>week-0</v>
      </c>
      <c r="D527" s="120" t="str">
        <f t="shared" si="25"/>
        <v>Jan</v>
      </c>
      <c r="E527" s="7"/>
      <c r="F527" s="7"/>
      <c r="G527" s="120"/>
      <c r="H527" s="120"/>
      <c r="I527" s="118"/>
      <c r="J527" s="118"/>
      <c r="K527" s="115"/>
      <c r="L527" s="115"/>
      <c r="M527" s="8"/>
      <c r="N527" s="8" t="str">
        <f t="shared" si="26"/>
        <v>-</v>
      </c>
      <c r="O527" s="126"/>
      <c r="P527" s="127"/>
      <c r="Q527" s="127"/>
      <c r="R527" s="126"/>
      <c r="S527" s="127"/>
      <c r="T527" s="8"/>
      <c r="U527" s="158"/>
      <c r="V527" s="7"/>
      <c r="W527" s="7"/>
      <c r="X527" s="146"/>
      <c r="Y527" s="7"/>
      <c r="Z527" s="7"/>
      <c r="AA527" s="7" t="str">
        <f>IFERROR((VLOOKUP(F527,#REF!,2,FALSE)),"-")</f>
        <v>-</v>
      </c>
      <c r="AB527" s="119" t="e">
        <f>CONCATENATE(F527," - ",I527," - ",#REF!,)</f>
        <v>#REF!</v>
      </c>
    </row>
    <row r="528" spans="1:28" s="116" customFormat="1" ht="15">
      <c r="A528" s="114"/>
      <c r="B528" s="120"/>
      <c r="C528" s="129" t="str">
        <f t="shared" si="24"/>
        <v>week-0</v>
      </c>
      <c r="D528" s="120" t="str">
        <f t="shared" si="25"/>
        <v>Jan</v>
      </c>
      <c r="E528" s="7"/>
      <c r="F528" s="7"/>
      <c r="G528" s="120"/>
      <c r="H528" s="120"/>
      <c r="I528" s="118"/>
      <c r="J528" s="118"/>
      <c r="K528" s="115"/>
      <c r="L528" s="115"/>
      <c r="M528" s="8"/>
      <c r="N528" s="8" t="str">
        <f t="shared" si="26"/>
        <v>-</v>
      </c>
      <c r="O528" s="126"/>
      <c r="P528" s="127"/>
      <c r="Q528" s="127"/>
      <c r="R528" s="126"/>
      <c r="S528" s="127"/>
      <c r="T528" s="8"/>
      <c r="U528" s="158"/>
      <c r="V528" s="7"/>
      <c r="W528" s="7"/>
      <c r="X528" s="146"/>
      <c r="Y528" s="7"/>
      <c r="Z528" s="7"/>
      <c r="AA528" s="7" t="str">
        <f>IFERROR((VLOOKUP(F528,#REF!,2,FALSE)),"-")</f>
        <v>-</v>
      </c>
      <c r="AB528" s="119" t="e">
        <f>CONCATENATE(F528," - ",I528," - ",#REF!,)</f>
        <v>#REF!</v>
      </c>
    </row>
    <row r="529" spans="1:28" s="116" customFormat="1" ht="15">
      <c r="A529" s="114"/>
      <c r="B529" s="120"/>
      <c r="C529" s="129" t="str">
        <f t="shared" si="24"/>
        <v>week-0</v>
      </c>
      <c r="D529" s="120" t="str">
        <f t="shared" si="25"/>
        <v>Jan</v>
      </c>
      <c r="E529" s="7"/>
      <c r="F529" s="7"/>
      <c r="G529" s="120"/>
      <c r="H529" s="120"/>
      <c r="I529" s="118"/>
      <c r="J529" s="118"/>
      <c r="K529" s="115"/>
      <c r="L529" s="115"/>
      <c r="M529" s="8"/>
      <c r="N529" s="8" t="str">
        <f t="shared" si="26"/>
        <v>-</v>
      </c>
      <c r="O529" s="126"/>
      <c r="P529" s="127"/>
      <c r="Q529" s="127"/>
      <c r="R529" s="126"/>
      <c r="S529" s="127"/>
      <c r="T529" s="8"/>
      <c r="U529" s="158"/>
      <c r="V529" s="7"/>
      <c r="W529" s="7"/>
      <c r="X529" s="146"/>
      <c r="Y529" s="7"/>
      <c r="Z529" s="7"/>
      <c r="AA529" s="7" t="str">
        <f>IFERROR((VLOOKUP(F529,#REF!,2,FALSE)),"-")</f>
        <v>-</v>
      </c>
      <c r="AB529" s="119" t="e">
        <f>CONCATENATE(F529," - ",I529," - ",#REF!,)</f>
        <v>#REF!</v>
      </c>
    </row>
    <row r="530" spans="1:28" s="116" customFormat="1" ht="15">
      <c r="A530" s="114"/>
      <c r="B530" s="120"/>
      <c r="C530" s="129" t="str">
        <f t="shared" si="24"/>
        <v>week-0</v>
      </c>
      <c r="D530" s="120" t="str">
        <f t="shared" si="25"/>
        <v>Jan</v>
      </c>
      <c r="E530" s="7"/>
      <c r="F530" s="7"/>
      <c r="G530" s="120"/>
      <c r="H530" s="120"/>
      <c r="I530" s="118"/>
      <c r="J530" s="118"/>
      <c r="K530" s="115"/>
      <c r="L530" s="115"/>
      <c r="M530" s="8"/>
      <c r="N530" s="8" t="str">
        <f t="shared" si="26"/>
        <v>-</v>
      </c>
      <c r="O530" s="126"/>
      <c r="P530" s="127"/>
      <c r="Q530" s="127"/>
      <c r="R530" s="126"/>
      <c r="S530" s="127"/>
      <c r="T530" s="8"/>
      <c r="U530" s="158"/>
      <c r="V530" s="7"/>
      <c r="W530" s="7"/>
      <c r="X530" s="146"/>
      <c r="Y530" s="7"/>
      <c r="Z530" s="7"/>
      <c r="AA530" s="7" t="str">
        <f>IFERROR((VLOOKUP(F530,#REF!,2,FALSE)),"-")</f>
        <v>-</v>
      </c>
      <c r="AB530" s="119" t="e">
        <f>CONCATENATE(F530," - ",I530," - ",#REF!,)</f>
        <v>#REF!</v>
      </c>
    </row>
    <row r="531" spans="1:28" s="116" customFormat="1" ht="15">
      <c r="A531" s="114"/>
      <c r="B531" s="120"/>
      <c r="C531" s="129" t="str">
        <f t="shared" si="24"/>
        <v>week-0</v>
      </c>
      <c r="D531" s="120" t="str">
        <f t="shared" si="25"/>
        <v>Jan</v>
      </c>
      <c r="E531" s="7"/>
      <c r="F531" s="7"/>
      <c r="G531" s="120"/>
      <c r="H531" s="120"/>
      <c r="I531" s="118"/>
      <c r="J531" s="118"/>
      <c r="K531" s="115"/>
      <c r="L531" s="115"/>
      <c r="M531" s="8"/>
      <c r="N531" s="8" t="str">
        <f t="shared" si="26"/>
        <v>-</v>
      </c>
      <c r="O531" s="126"/>
      <c r="P531" s="127"/>
      <c r="Q531" s="127"/>
      <c r="R531" s="126"/>
      <c r="S531" s="127"/>
      <c r="T531" s="8"/>
      <c r="U531" s="158"/>
      <c r="V531" s="7"/>
      <c r="W531" s="7"/>
      <c r="X531" s="146"/>
      <c r="Y531" s="7"/>
      <c r="Z531" s="7"/>
      <c r="AA531" s="7" t="str">
        <f>IFERROR((VLOOKUP(F531,#REF!,2,FALSE)),"-")</f>
        <v>-</v>
      </c>
      <c r="AB531" s="119" t="e">
        <f>CONCATENATE(F531," - ",I531," - ",#REF!,)</f>
        <v>#REF!</v>
      </c>
    </row>
    <row r="532" spans="1:28" s="116" customFormat="1" ht="15">
      <c r="A532" s="114"/>
      <c r="B532" s="120"/>
      <c r="C532" s="129" t="str">
        <f t="shared" si="24"/>
        <v>week-0</v>
      </c>
      <c r="D532" s="120" t="str">
        <f t="shared" si="25"/>
        <v>Jan</v>
      </c>
      <c r="E532" s="7"/>
      <c r="F532" s="7"/>
      <c r="G532" s="120"/>
      <c r="H532" s="120"/>
      <c r="I532" s="118"/>
      <c r="J532" s="118"/>
      <c r="K532" s="115"/>
      <c r="L532" s="115"/>
      <c r="M532" s="8"/>
      <c r="N532" s="8" t="str">
        <f t="shared" si="26"/>
        <v>-</v>
      </c>
      <c r="O532" s="126"/>
      <c r="P532" s="127"/>
      <c r="Q532" s="127"/>
      <c r="R532" s="126"/>
      <c r="S532" s="127"/>
      <c r="T532" s="8"/>
      <c r="U532" s="158"/>
      <c r="V532" s="7"/>
      <c r="W532" s="7"/>
      <c r="X532" s="146"/>
      <c r="Y532" s="7"/>
      <c r="Z532" s="7"/>
      <c r="AA532" s="7" t="str">
        <f>IFERROR((VLOOKUP(F532,#REF!,2,FALSE)),"-")</f>
        <v>-</v>
      </c>
      <c r="AB532" s="119" t="e">
        <f>CONCATENATE(F532," - ",I532," - ",#REF!,)</f>
        <v>#REF!</v>
      </c>
    </row>
    <row r="533" spans="1:28" s="116" customFormat="1" ht="15">
      <c r="A533" s="114"/>
      <c r="B533" s="120"/>
      <c r="C533" s="129" t="str">
        <f t="shared" si="24"/>
        <v>week-0</v>
      </c>
      <c r="D533" s="120" t="str">
        <f t="shared" si="25"/>
        <v>Jan</v>
      </c>
      <c r="E533" s="7"/>
      <c r="F533" s="7"/>
      <c r="G533" s="120"/>
      <c r="H533" s="120"/>
      <c r="I533" s="118"/>
      <c r="J533" s="118"/>
      <c r="K533" s="115"/>
      <c r="L533" s="115"/>
      <c r="M533" s="8"/>
      <c r="N533" s="8" t="str">
        <f t="shared" si="26"/>
        <v>-</v>
      </c>
      <c r="O533" s="126"/>
      <c r="P533" s="127"/>
      <c r="Q533" s="127"/>
      <c r="R533" s="126"/>
      <c r="S533" s="127"/>
      <c r="T533" s="8"/>
      <c r="U533" s="158"/>
      <c r="V533" s="7"/>
      <c r="W533" s="7"/>
      <c r="X533" s="146"/>
      <c r="Y533" s="7"/>
      <c r="Z533" s="7"/>
      <c r="AA533" s="7" t="str">
        <f>IFERROR((VLOOKUP(F533,#REF!,2,FALSE)),"-")</f>
        <v>-</v>
      </c>
      <c r="AB533" s="119" t="e">
        <f>CONCATENATE(F533," - ",I533," - ",#REF!,)</f>
        <v>#REF!</v>
      </c>
    </row>
    <row r="534" spans="1:28" s="116" customFormat="1" ht="15">
      <c r="A534" s="114"/>
      <c r="B534" s="120"/>
      <c r="C534" s="129" t="str">
        <f t="shared" si="24"/>
        <v>week-0</v>
      </c>
      <c r="D534" s="120" t="str">
        <f t="shared" si="25"/>
        <v>Jan</v>
      </c>
      <c r="E534" s="7"/>
      <c r="F534" s="7"/>
      <c r="G534" s="120"/>
      <c r="H534" s="120"/>
      <c r="I534" s="118"/>
      <c r="J534" s="118"/>
      <c r="K534" s="115"/>
      <c r="L534" s="115"/>
      <c r="M534" s="8"/>
      <c r="N534" s="8" t="str">
        <f t="shared" si="26"/>
        <v>-</v>
      </c>
      <c r="O534" s="127"/>
      <c r="P534" s="127"/>
      <c r="Q534" s="127"/>
      <c r="R534" s="127"/>
      <c r="S534" s="127"/>
      <c r="T534" s="139"/>
      <c r="U534" s="158"/>
      <c r="V534" s="7"/>
      <c r="W534" s="7"/>
      <c r="X534" s="146"/>
      <c r="Y534" s="7"/>
      <c r="Z534" s="7"/>
      <c r="AA534" s="7" t="str">
        <f>IFERROR((VLOOKUP(F534,#REF!,2,FALSE)),"-")</f>
        <v>-</v>
      </c>
      <c r="AB534" s="119" t="e">
        <f>CONCATENATE(F534," - ",I534," - ",#REF!,)</f>
        <v>#REF!</v>
      </c>
    </row>
    <row r="535" spans="1:28" s="116" customFormat="1" ht="15">
      <c r="A535" s="114"/>
      <c r="B535" s="120"/>
      <c r="C535" s="129" t="str">
        <f t="shared" si="24"/>
        <v>week-0</v>
      </c>
      <c r="D535" s="120" t="str">
        <f t="shared" si="25"/>
        <v>Jan</v>
      </c>
      <c r="E535" s="7"/>
      <c r="F535" s="7"/>
      <c r="G535" s="120"/>
      <c r="H535" s="120"/>
      <c r="I535" s="118"/>
      <c r="J535" s="118"/>
      <c r="K535" s="115"/>
      <c r="L535" s="115"/>
      <c r="M535" s="8"/>
      <c r="N535" s="8" t="str">
        <f t="shared" si="26"/>
        <v>-</v>
      </c>
      <c r="O535" s="126"/>
      <c r="P535" s="127"/>
      <c r="Q535" s="127"/>
      <c r="R535" s="126"/>
      <c r="S535" s="127"/>
      <c r="T535" s="8"/>
      <c r="U535" s="158"/>
      <c r="V535" s="7"/>
      <c r="W535" s="7"/>
      <c r="X535" s="146"/>
      <c r="Y535" s="7"/>
      <c r="Z535" s="7"/>
      <c r="AA535" s="7" t="str">
        <f>IFERROR((VLOOKUP(F535,#REF!,2,FALSE)),"-")</f>
        <v>-</v>
      </c>
      <c r="AB535" s="119" t="e">
        <f>CONCATENATE(F535," - ",I535," - ",#REF!,)</f>
        <v>#REF!</v>
      </c>
    </row>
    <row r="536" spans="1:28" s="116" customFormat="1" ht="15">
      <c r="A536" s="114"/>
      <c r="B536" s="120"/>
      <c r="C536" s="129" t="str">
        <f t="shared" si="24"/>
        <v>week-0</v>
      </c>
      <c r="D536" s="120" t="str">
        <f t="shared" si="25"/>
        <v>Jan</v>
      </c>
      <c r="E536" s="7"/>
      <c r="F536" s="7"/>
      <c r="G536" s="120"/>
      <c r="H536" s="120"/>
      <c r="I536" s="118"/>
      <c r="J536" s="118"/>
      <c r="K536" s="115"/>
      <c r="L536" s="115"/>
      <c r="M536" s="8"/>
      <c r="N536" s="8" t="str">
        <f t="shared" si="26"/>
        <v>-</v>
      </c>
      <c r="O536" s="127"/>
      <c r="P536" s="127"/>
      <c r="Q536" s="127"/>
      <c r="R536" s="127"/>
      <c r="S536" s="127"/>
      <c r="T536" s="139"/>
      <c r="U536" s="158"/>
      <c r="V536" s="7"/>
      <c r="W536" s="7"/>
      <c r="X536" s="146"/>
      <c r="Y536" s="7"/>
      <c r="Z536" s="7"/>
      <c r="AA536" s="7" t="str">
        <f>IFERROR((VLOOKUP(F536,#REF!,2,FALSE)),"-")</f>
        <v>-</v>
      </c>
      <c r="AB536" s="119" t="e">
        <f>CONCATENATE(F536," - ",I536," - ",#REF!,)</f>
        <v>#REF!</v>
      </c>
    </row>
    <row r="537" spans="1:28" s="116" customFormat="1" ht="15">
      <c r="A537" s="114"/>
      <c r="B537" s="120"/>
      <c r="C537" s="129" t="str">
        <f t="shared" si="24"/>
        <v>week-0</v>
      </c>
      <c r="D537" s="120" t="str">
        <f t="shared" si="25"/>
        <v>Jan</v>
      </c>
      <c r="E537" s="7"/>
      <c r="F537" s="7"/>
      <c r="G537" s="120"/>
      <c r="H537" s="120"/>
      <c r="I537" s="118"/>
      <c r="J537" s="118"/>
      <c r="K537" s="115"/>
      <c r="L537" s="115"/>
      <c r="M537" s="8"/>
      <c r="N537" s="8" t="str">
        <f t="shared" si="26"/>
        <v>-</v>
      </c>
      <c r="O537" s="126"/>
      <c r="P537" s="127"/>
      <c r="Q537" s="127"/>
      <c r="R537" s="126"/>
      <c r="S537" s="127"/>
      <c r="T537" s="8"/>
      <c r="U537" s="158"/>
      <c r="V537" s="7"/>
      <c r="W537" s="7"/>
      <c r="X537" s="146"/>
      <c r="Y537" s="7"/>
      <c r="Z537" s="7"/>
      <c r="AA537" s="7" t="str">
        <f>IFERROR((VLOOKUP(F537,#REF!,2,FALSE)),"-")</f>
        <v>-</v>
      </c>
      <c r="AB537" s="119" t="e">
        <f>CONCATENATE(F537," - ",I537," - ",#REF!,)</f>
        <v>#REF!</v>
      </c>
    </row>
    <row r="538" spans="1:28" s="116" customFormat="1" ht="15">
      <c r="A538" s="114"/>
      <c r="B538" s="120"/>
      <c r="C538" s="129" t="str">
        <f t="shared" si="24"/>
        <v>week-0</v>
      </c>
      <c r="D538" s="120" t="str">
        <f t="shared" si="25"/>
        <v>Jan</v>
      </c>
      <c r="E538" s="7"/>
      <c r="F538" s="7"/>
      <c r="G538" s="120"/>
      <c r="H538" s="120"/>
      <c r="I538" s="118"/>
      <c r="J538" s="118"/>
      <c r="K538" s="115"/>
      <c r="L538" s="115"/>
      <c r="M538" s="8"/>
      <c r="N538" s="8" t="str">
        <f t="shared" si="26"/>
        <v>-</v>
      </c>
      <c r="O538" s="126"/>
      <c r="P538" s="127"/>
      <c r="Q538" s="127"/>
      <c r="R538" s="126"/>
      <c r="S538" s="127"/>
      <c r="T538" s="8"/>
      <c r="U538" s="158"/>
      <c r="V538" s="7"/>
      <c r="W538" s="7"/>
      <c r="X538" s="146"/>
      <c r="Y538" s="7"/>
      <c r="Z538" s="7"/>
      <c r="AA538" s="7" t="str">
        <f>IFERROR((VLOOKUP(F538,#REF!,2,FALSE)),"-")</f>
        <v>-</v>
      </c>
      <c r="AB538" s="119" t="e">
        <f>CONCATENATE(F538," - ",I538," - ",#REF!,)</f>
        <v>#REF!</v>
      </c>
    </row>
    <row r="539" spans="1:28" s="116" customFormat="1" ht="15">
      <c r="A539" s="114"/>
      <c r="B539" s="120"/>
      <c r="C539" s="129" t="str">
        <f t="shared" si="24"/>
        <v>week-0</v>
      </c>
      <c r="D539" s="120" t="str">
        <f t="shared" si="25"/>
        <v>Jan</v>
      </c>
      <c r="E539" s="7"/>
      <c r="F539" s="7"/>
      <c r="G539" s="120"/>
      <c r="H539" s="120"/>
      <c r="I539" s="118"/>
      <c r="J539" s="118"/>
      <c r="K539" s="115"/>
      <c r="L539" s="115"/>
      <c r="M539" s="8"/>
      <c r="N539" s="8" t="str">
        <f t="shared" si="26"/>
        <v>-</v>
      </c>
      <c r="O539" s="126"/>
      <c r="P539" s="127"/>
      <c r="Q539" s="127"/>
      <c r="R539" s="126"/>
      <c r="S539" s="127"/>
      <c r="T539" s="8"/>
      <c r="U539" s="158"/>
      <c r="V539" s="7"/>
      <c r="W539" s="7"/>
      <c r="X539" s="146"/>
      <c r="Y539" s="7"/>
      <c r="Z539" s="7"/>
      <c r="AA539" s="7" t="str">
        <f>IFERROR((VLOOKUP(F539,#REF!,2,FALSE)),"-")</f>
        <v>-</v>
      </c>
      <c r="AB539" s="119" t="e">
        <f>CONCATENATE(F539," - ",I539," - ",#REF!,)</f>
        <v>#REF!</v>
      </c>
    </row>
    <row r="540" spans="1:28" s="116" customFormat="1" ht="15">
      <c r="A540" s="114"/>
      <c r="B540" s="120"/>
      <c r="C540" s="129" t="str">
        <f t="shared" si="24"/>
        <v>week-0</v>
      </c>
      <c r="D540" s="120" t="str">
        <f t="shared" si="25"/>
        <v>Jan</v>
      </c>
      <c r="E540" s="7"/>
      <c r="F540" s="7"/>
      <c r="G540" s="120"/>
      <c r="H540" s="120"/>
      <c r="I540" s="118"/>
      <c r="J540" s="118"/>
      <c r="K540" s="115"/>
      <c r="L540" s="115"/>
      <c r="M540" s="8"/>
      <c r="N540" s="8" t="str">
        <f t="shared" si="26"/>
        <v>-</v>
      </c>
      <c r="O540" s="126"/>
      <c r="P540" s="127"/>
      <c r="Q540" s="127"/>
      <c r="R540" s="126"/>
      <c r="S540" s="127"/>
      <c r="T540" s="8"/>
      <c r="U540" s="158"/>
      <c r="V540" s="7"/>
      <c r="W540" s="7"/>
      <c r="X540" s="146"/>
      <c r="Y540" s="7"/>
      <c r="Z540" s="7"/>
      <c r="AA540" s="7" t="str">
        <f>IFERROR((VLOOKUP(F540,#REF!,2,FALSE)),"-")</f>
        <v>-</v>
      </c>
      <c r="AB540" s="119" t="e">
        <f>CONCATENATE(F540," - ",I540," - ",#REF!,)</f>
        <v>#REF!</v>
      </c>
    </row>
    <row r="541" spans="1:28" s="116" customFormat="1" ht="15">
      <c r="A541" s="114"/>
      <c r="B541" s="120"/>
      <c r="C541" s="129" t="str">
        <f t="shared" si="24"/>
        <v>week-0</v>
      </c>
      <c r="D541" s="120" t="str">
        <f t="shared" si="25"/>
        <v>Jan</v>
      </c>
      <c r="E541" s="7"/>
      <c r="F541" s="7"/>
      <c r="G541" s="120"/>
      <c r="H541" s="120"/>
      <c r="I541" s="118"/>
      <c r="J541" s="118"/>
      <c r="K541" s="115"/>
      <c r="L541" s="115"/>
      <c r="M541" s="8"/>
      <c r="N541" s="8" t="str">
        <f t="shared" si="26"/>
        <v>-</v>
      </c>
      <c r="O541" s="126"/>
      <c r="P541" s="127"/>
      <c r="Q541" s="127"/>
      <c r="R541" s="126"/>
      <c r="S541" s="127"/>
      <c r="T541" s="8"/>
      <c r="U541" s="158"/>
      <c r="V541" s="7"/>
      <c r="W541" s="7"/>
      <c r="X541" s="146"/>
      <c r="Y541" s="7"/>
      <c r="Z541" s="7"/>
      <c r="AA541" s="7" t="str">
        <f>IFERROR((VLOOKUP(F541,#REF!,2,FALSE)),"-")</f>
        <v>-</v>
      </c>
      <c r="AB541" s="119" t="e">
        <f>CONCATENATE(F541," - ",I541," - ",#REF!,)</f>
        <v>#REF!</v>
      </c>
    </row>
    <row r="542" spans="1:28" s="116" customFormat="1" ht="15">
      <c r="A542" s="114"/>
      <c r="B542" s="120"/>
      <c r="C542" s="129" t="str">
        <f t="shared" si="24"/>
        <v>week-0</v>
      </c>
      <c r="D542" s="120" t="str">
        <f t="shared" si="25"/>
        <v>Jan</v>
      </c>
      <c r="E542" s="7"/>
      <c r="F542" s="7"/>
      <c r="G542" s="120"/>
      <c r="H542" s="120"/>
      <c r="I542" s="118"/>
      <c r="J542" s="118"/>
      <c r="K542" s="115"/>
      <c r="L542" s="115"/>
      <c r="M542" s="8"/>
      <c r="N542" s="8" t="str">
        <f t="shared" si="26"/>
        <v>-</v>
      </c>
      <c r="O542" s="126"/>
      <c r="P542" s="127"/>
      <c r="Q542" s="127"/>
      <c r="R542" s="126"/>
      <c r="S542" s="127"/>
      <c r="T542" s="8"/>
      <c r="U542" s="158"/>
      <c r="V542" s="7"/>
      <c r="W542" s="7"/>
      <c r="X542" s="146"/>
      <c r="Y542" s="7"/>
      <c r="Z542" s="7"/>
      <c r="AA542" s="7" t="str">
        <f>IFERROR((VLOOKUP(F542,#REF!,2,FALSE)),"-")</f>
        <v>-</v>
      </c>
      <c r="AB542" s="119" t="e">
        <f>CONCATENATE(F542," - ",I542," - ",#REF!,)</f>
        <v>#REF!</v>
      </c>
    </row>
    <row r="543" spans="1:28" s="116" customFormat="1" ht="15">
      <c r="A543" s="114"/>
      <c r="B543" s="120"/>
      <c r="C543" s="129" t="str">
        <f t="shared" si="24"/>
        <v>week-0</v>
      </c>
      <c r="D543" s="120" t="str">
        <f t="shared" si="25"/>
        <v>Jan</v>
      </c>
      <c r="E543" s="7"/>
      <c r="F543" s="7"/>
      <c r="G543" s="120"/>
      <c r="H543" s="120"/>
      <c r="I543" s="118"/>
      <c r="J543" s="118"/>
      <c r="K543" s="115"/>
      <c r="L543" s="115"/>
      <c r="M543" s="8"/>
      <c r="N543" s="8" t="str">
        <f t="shared" si="26"/>
        <v>-</v>
      </c>
      <c r="O543" s="126"/>
      <c r="P543" s="127"/>
      <c r="Q543" s="127"/>
      <c r="R543" s="126"/>
      <c r="S543" s="127"/>
      <c r="T543" s="8"/>
      <c r="U543" s="158"/>
      <c r="V543" s="7"/>
      <c r="W543" s="7"/>
      <c r="X543" s="146"/>
      <c r="Y543" s="7"/>
      <c r="Z543" s="7"/>
      <c r="AA543" s="7" t="str">
        <f>IFERROR((VLOOKUP(F543,#REF!,2,FALSE)),"-")</f>
        <v>-</v>
      </c>
      <c r="AB543" s="119" t="e">
        <f>CONCATENATE(F543," - ",I543," - ",#REF!,)</f>
        <v>#REF!</v>
      </c>
    </row>
    <row r="544" spans="1:28" s="116" customFormat="1" ht="15">
      <c r="A544" s="114"/>
      <c r="B544" s="120"/>
      <c r="C544" s="129" t="str">
        <f t="shared" si="24"/>
        <v>week-0</v>
      </c>
      <c r="D544" s="120" t="str">
        <f t="shared" si="25"/>
        <v>Jan</v>
      </c>
      <c r="E544" s="7"/>
      <c r="F544" s="7"/>
      <c r="G544" s="120"/>
      <c r="H544" s="120"/>
      <c r="I544" s="118"/>
      <c r="J544" s="118"/>
      <c r="K544" s="115"/>
      <c r="L544" s="115"/>
      <c r="M544" s="8"/>
      <c r="N544" s="8" t="str">
        <f t="shared" si="26"/>
        <v>-</v>
      </c>
      <c r="O544" s="126"/>
      <c r="P544" s="127"/>
      <c r="Q544" s="127"/>
      <c r="R544" s="126"/>
      <c r="S544" s="127"/>
      <c r="T544" s="8"/>
      <c r="U544" s="158"/>
      <c r="V544" s="7"/>
      <c r="W544" s="7"/>
      <c r="X544" s="146"/>
      <c r="Y544" s="7"/>
      <c r="Z544" s="7"/>
      <c r="AA544" s="7" t="str">
        <f>IFERROR((VLOOKUP(F544,#REF!,2,FALSE)),"-")</f>
        <v>-</v>
      </c>
      <c r="AB544" s="119" t="e">
        <f>CONCATENATE(F544," - ",I544," - ",#REF!,)</f>
        <v>#REF!</v>
      </c>
    </row>
    <row r="545" spans="1:28" s="116" customFormat="1" ht="15">
      <c r="A545" s="114"/>
      <c r="B545" s="120"/>
      <c r="C545" s="129" t="str">
        <f t="shared" si="24"/>
        <v>week-0</v>
      </c>
      <c r="D545" s="120" t="str">
        <f t="shared" si="25"/>
        <v>Jan</v>
      </c>
      <c r="E545" s="7"/>
      <c r="F545" s="7"/>
      <c r="G545" s="120"/>
      <c r="H545" s="120"/>
      <c r="I545" s="118"/>
      <c r="J545" s="118"/>
      <c r="K545" s="115"/>
      <c r="L545" s="115"/>
      <c r="M545" s="8"/>
      <c r="N545" s="8" t="str">
        <f t="shared" si="26"/>
        <v>-</v>
      </c>
      <c r="O545" s="126"/>
      <c r="P545" s="127"/>
      <c r="Q545" s="127"/>
      <c r="R545" s="126"/>
      <c r="S545" s="127"/>
      <c r="T545" s="8"/>
      <c r="U545" s="158"/>
      <c r="V545" s="7"/>
      <c r="W545" s="7"/>
      <c r="X545" s="146"/>
      <c r="Y545" s="7"/>
      <c r="Z545" s="7"/>
      <c r="AA545" s="7" t="str">
        <f>IFERROR((VLOOKUP(F545,#REF!,2,FALSE)),"-")</f>
        <v>-</v>
      </c>
      <c r="AB545" s="119" t="e">
        <f>CONCATENATE(F545," - ",I545," - ",#REF!,)</f>
        <v>#REF!</v>
      </c>
    </row>
    <row r="546" spans="1:28" s="116" customFormat="1" ht="15">
      <c r="A546" s="114"/>
      <c r="B546" s="120"/>
      <c r="C546" s="129" t="str">
        <f t="shared" si="24"/>
        <v>week-0</v>
      </c>
      <c r="D546" s="120" t="str">
        <f t="shared" si="25"/>
        <v>Jan</v>
      </c>
      <c r="E546" s="7"/>
      <c r="F546" s="7"/>
      <c r="G546" s="120"/>
      <c r="H546" s="120"/>
      <c r="I546" s="118"/>
      <c r="J546" s="118"/>
      <c r="K546" s="115"/>
      <c r="L546" s="115"/>
      <c r="M546" s="8"/>
      <c r="N546" s="8" t="str">
        <f t="shared" si="26"/>
        <v>-</v>
      </c>
      <c r="O546" s="126"/>
      <c r="P546" s="127"/>
      <c r="Q546" s="127"/>
      <c r="R546" s="126"/>
      <c r="S546" s="127"/>
      <c r="T546" s="8"/>
      <c r="U546" s="158"/>
      <c r="V546" s="7"/>
      <c r="W546" s="7"/>
      <c r="X546" s="146"/>
      <c r="Y546" s="7"/>
      <c r="Z546" s="7"/>
      <c r="AA546" s="7" t="str">
        <f>IFERROR((VLOOKUP(F546,#REF!,2,FALSE)),"-")</f>
        <v>-</v>
      </c>
      <c r="AB546" s="119" t="e">
        <f>CONCATENATE(F546," - ",I546," - ",#REF!,)</f>
        <v>#REF!</v>
      </c>
    </row>
    <row r="547" spans="1:28" s="116" customFormat="1" ht="15">
      <c r="A547" s="114"/>
      <c r="B547" s="120"/>
      <c r="C547" s="129" t="str">
        <f t="shared" si="24"/>
        <v>week-0</v>
      </c>
      <c r="D547" s="120" t="str">
        <f t="shared" si="25"/>
        <v>Jan</v>
      </c>
      <c r="E547" s="7"/>
      <c r="F547" s="7"/>
      <c r="G547" s="120"/>
      <c r="H547" s="120"/>
      <c r="I547" s="118"/>
      <c r="J547" s="118"/>
      <c r="K547" s="115"/>
      <c r="L547" s="115"/>
      <c r="M547" s="8"/>
      <c r="N547" s="8" t="str">
        <f t="shared" si="26"/>
        <v>-</v>
      </c>
      <c r="O547" s="126"/>
      <c r="P547" s="127"/>
      <c r="Q547" s="127"/>
      <c r="R547" s="126"/>
      <c r="S547" s="127"/>
      <c r="T547" s="8"/>
      <c r="U547" s="158"/>
      <c r="V547" s="7"/>
      <c r="W547" s="7"/>
      <c r="X547" s="146"/>
      <c r="Y547" s="7"/>
      <c r="Z547" s="7"/>
      <c r="AA547" s="7" t="str">
        <f>IFERROR((VLOOKUP(F547,#REF!,2,FALSE)),"-")</f>
        <v>-</v>
      </c>
      <c r="AB547" s="119" t="e">
        <f>CONCATENATE(F547," - ",I547," - ",#REF!,)</f>
        <v>#REF!</v>
      </c>
    </row>
    <row r="548" spans="1:28" s="116" customFormat="1" ht="15">
      <c r="A548" s="114"/>
      <c r="B548" s="120"/>
      <c r="C548" s="129" t="str">
        <f t="shared" si="24"/>
        <v>week-0</v>
      </c>
      <c r="D548" s="120" t="str">
        <f t="shared" si="25"/>
        <v>Jan</v>
      </c>
      <c r="E548" s="7"/>
      <c r="F548" s="7"/>
      <c r="G548" s="120"/>
      <c r="H548" s="120"/>
      <c r="I548" s="118"/>
      <c r="J548" s="118"/>
      <c r="K548" s="115"/>
      <c r="L548" s="115"/>
      <c r="M548" s="8"/>
      <c r="N548" s="8" t="str">
        <f t="shared" si="26"/>
        <v>-</v>
      </c>
      <c r="O548" s="127"/>
      <c r="P548" s="127"/>
      <c r="Q548" s="127"/>
      <c r="R548" s="127"/>
      <c r="S548" s="127"/>
      <c r="T548" s="139"/>
      <c r="U548" s="158"/>
      <c r="V548" s="7"/>
      <c r="W548" s="7"/>
      <c r="X548" s="146"/>
      <c r="Y548" s="7"/>
      <c r="Z548" s="7"/>
      <c r="AA548" s="7" t="str">
        <f>IFERROR((VLOOKUP(F548,#REF!,2,FALSE)),"-")</f>
        <v>-</v>
      </c>
      <c r="AB548" s="119" t="e">
        <f>CONCATENATE(F548," - ",I548," - ",#REF!,)</f>
        <v>#REF!</v>
      </c>
    </row>
    <row r="549" spans="1:28" s="116" customFormat="1" ht="15">
      <c r="A549" s="114"/>
      <c r="B549" s="120"/>
      <c r="C549" s="129" t="str">
        <f t="shared" si="24"/>
        <v>week-0</v>
      </c>
      <c r="D549" s="120" t="str">
        <f t="shared" si="25"/>
        <v>Jan</v>
      </c>
      <c r="E549" s="7"/>
      <c r="F549" s="7"/>
      <c r="G549" s="120"/>
      <c r="H549" s="120"/>
      <c r="I549" s="118"/>
      <c r="J549" s="118"/>
      <c r="K549" s="115"/>
      <c r="L549" s="115"/>
      <c r="M549" s="8"/>
      <c r="N549" s="8" t="str">
        <f t="shared" si="26"/>
        <v>-</v>
      </c>
      <c r="O549" s="126"/>
      <c r="P549" s="127"/>
      <c r="Q549" s="127"/>
      <c r="R549" s="126"/>
      <c r="S549" s="127"/>
      <c r="T549" s="8"/>
      <c r="U549" s="158"/>
      <c r="V549" s="7"/>
      <c r="W549" s="7"/>
      <c r="X549" s="146"/>
      <c r="Y549" s="7"/>
      <c r="Z549" s="7"/>
      <c r="AA549" s="7" t="str">
        <f>IFERROR((VLOOKUP(F549,#REF!,2,FALSE)),"-")</f>
        <v>-</v>
      </c>
      <c r="AB549" s="119" t="e">
        <f>CONCATENATE(F549," - ",I549," - ",#REF!,)</f>
        <v>#REF!</v>
      </c>
    </row>
    <row r="550" spans="1:28" s="116" customFormat="1" ht="15">
      <c r="A550" s="114"/>
      <c r="B550" s="120"/>
      <c r="C550" s="129" t="str">
        <f t="shared" si="24"/>
        <v>week-0</v>
      </c>
      <c r="D550" s="120" t="str">
        <f t="shared" si="25"/>
        <v>Jan</v>
      </c>
      <c r="E550" s="7"/>
      <c r="F550" s="7"/>
      <c r="G550" s="120"/>
      <c r="H550" s="120"/>
      <c r="I550" s="118"/>
      <c r="J550" s="118"/>
      <c r="K550" s="115"/>
      <c r="L550" s="115"/>
      <c r="M550" s="8"/>
      <c r="N550" s="8" t="str">
        <f t="shared" si="26"/>
        <v>-</v>
      </c>
      <c r="O550" s="126"/>
      <c r="P550" s="127"/>
      <c r="Q550" s="127"/>
      <c r="R550" s="126"/>
      <c r="S550" s="127"/>
      <c r="T550" s="8"/>
      <c r="U550" s="158"/>
      <c r="V550" s="7"/>
      <c r="W550" s="7"/>
      <c r="X550" s="146"/>
      <c r="Y550" s="7"/>
      <c r="Z550" s="7"/>
      <c r="AA550" s="7" t="str">
        <f>IFERROR((VLOOKUP(F550,#REF!,2,FALSE)),"-")</f>
        <v>-</v>
      </c>
      <c r="AB550" s="119" t="e">
        <f>CONCATENATE(F550," - ",I550," - ",#REF!,)</f>
        <v>#REF!</v>
      </c>
    </row>
    <row r="551" spans="1:28" s="116" customFormat="1" thickBot="1">
      <c r="A551" s="114"/>
      <c r="B551" s="120"/>
      <c r="C551" s="129" t="str">
        <f t="shared" si="24"/>
        <v>week-0</v>
      </c>
      <c r="D551" s="120" t="str">
        <f t="shared" si="25"/>
        <v>Jan</v>
      </c>
      <c r="E551" s="7"/>
      <c r="F551" s="7"/>
      <c r="G551" s="120"/>
      <c r="H551" s="120"/>
      <c r="I551" s="131"/>
      <c r="J551" s="131"/>
      <c r="K551" s="115"/>
      <c r="L551" s="115"/>
      <c r="M551" s="8"/>
      <c r="N551" s="8" t="str">
        <f t="shared" si="26"/>
        <v>-</v>
      </c>
      <c r="O551" s="126"/>
      <c r="P551" s="127"/>
      <c r="Q551" s="127"/>
      <c r="R551" s="126"/>
      <c r="S551" s="127"/>
      <c r="T551" s="8"/>
      <c r="U551" s="158"/>
      <c r="V551" s="7"/>
      <c r="W551" s="7"/>
      <c r="X551" s="146"/>
      <c r="Y551" s="7"/>
      <c r="Z551" s="7"/>
      <c r="AA551" s="7" t="str">
        <f>IFERROR((VLOOKUP(F551,#REF!,2,FALSE)),"-")</f>
        <v>-</v>
      </c>
      <c r="AB551" s="119" t="e">
        <f>CONCATENATE(F551," - ",I570," - ",#REF!,)</f>
        <v>#REF!</v>
      </c>
    </row>
    <row r="552" spans="1:28" s="116" customFormat="1" ht="15">
      <c r="A552" s="114"/>
      <c r="B552" s="120"/>
      <c r="C552" s="129" t="str">
        <f t="shared" si="24"/>
        <v>week-0</v>
      </c>
      <c r="D552" s="120" t="str">
        <f t="shared" si="25"/>
        <v>Jan</v>
      </c>
      <c r="E552" s="7"/>
      <c r="F552" s="7"/>
      <c r="G552" s="120"/>
      <c r="H552" s="120"/>
      <c r="I552" s="118"/>
      <c r="J552" s="118"/>
      <c r="K552" s="115"/>
      <c r="L552" s="115"/>
      <c r="M552" s="8"/>
      <c r="N552" s="8" t="str">
        <f t="shared" si="26"/>
        <v>-</v>
      </c>
      <c r="O552" s="127"/>
      <c r="P552" s="127"/>
      <c r="Q552" s="127"/>
      <c r="R552" s="127"/>
      <c r="S552" s="127"/>
      <c r="T552" s="139"/>
      <c r="U552" s="158"/>
      <c r="V552" s="7"/>
      <c r="W552" s="7"/>
      <c r="X552" s="146"/>
      <c r="Y552" s="7"/>
      <c r="Z552" s="7"/>
      <c r="AA552" s="7" t="str">
        <f>IFERROR((VLOOKUP(F552,#REF!,2,FALSE)),"-")</f>
        <v>-</v>
      </c>
      <c r="AB552" s="119" t="e">
        <f>CONCATENATE(F552," - ",I552," - ",#REF!,)</f>
        <v>#REF!</v>
      </c>
    </row>
    <row r="553" spans="1:28" s="116" customFormat="1" ht="15">
      <c r="A553" s="114"/>
      <c r="B553" s="120"/>
      <c r="C553" s="129" t="str">
        <f t="shared" si="24"/>
        <v>week-0</v>
      </c>
      <c r="D553" s="120" t="str">
        <f t="shared" si="25"/>
        <v>Jan</v>
      </c>
      <c r="E553" s="7"/>
      <c r="F553" s="7"/>
      <c r="G553" s="120"/>
      <c r="H553" s="120"/>
      <c r="I553" s="118"/>
      <c r="J553" s="118"/>
      <c r="K553" s="115"/>
      <c r="L553" s="115"/>
      <c r="M553" s="8"/>
      <c r="N553" s="8" t="str">
        <f t="shared" si="26"/>
        <v>-</v>
      </c>
      <c r="O553" s="126"/>
      <c r="P553" s="127"/>
      <c r="Q553" s="127"/>
      <c r="R553" s="126"/>
      <c r="S553" s="127"/>
      <c r="T553" s="8"/>
      <c r="U553" s="158"/>
      <c r="V553" s="7"/>
      <c r="W553" s="7"/>
      <c r="X553" s="146"/>
      <c r="Y553" s="7"/>
      <c r="Z553" s="7"/>
      <c r="AA553" s="7" t="str">
        <f>IFERROR((VLOOKUP(F553,#REF!,2,FALSE)),"-")</f>
        <v>-</v>
      </c>
      <c r="AB553" s="119" t="e">
        <f>CONCATENATE(F553," - ",I553," - ",#REF!,)</f>
        <v>#REF!</v>
      </c>
    </row>
    <row r="554" spans="1:28" s="116" customFormat="1" ht="15">
      <c r="A554" s="114"/>
      <c r="B554" s="120"/>
      <c r="C554" s="129" t="str">
        <f t="shared" si="24"/>
        <v>week-0</v>
      </c>
      <c r="D554" s="120" t="str">
        <f t="shared" si="25"/>
        <v>Jan</v>
      </c>
      <c r="E554" s="7"/>
      <c r="F554" s="7"/>
      <c r="G554" s="120"/>
      <c r="H554" s="120"/>
      <c r="I554" s="118"/>
      <c r="J554" s="118"/>
      <c r="K554" s="115"/>
      <c r="L554" s="115"/>
      <c r="M554" s="8"/>
      <c r="N554" s="8" t="str">
        <f t="shared" si="26"/>
        <v>-</v>
      </c>
      <c r="O554" s="126"/>
      <c r="P554" s="127"/>
      <c r="Q554" s="127"/>
      <c r="R554" s="126"/>
      <c r="S554" s="127"/>
      <c r="T554" s="8"/>
      <c r="U554" s="158"/>
      <c r="V554" s="7"/>
      <c r="W554" s="7"/>
      <c r="X554" s="146"/>
      <c r="Y554" s="7"/>
      <c r="Z554" s="7"/>
      <c r="AA554" s="7" t="str">
        <f>IFERROR((VLOOKUP(F554,#REF!,2,FALSE)),"-")</f>
        <v>-</v>
      </c>
      <c r="AB554" s="119" t="e">
        <f>CONCATENATE(F554," - ",I554," - ",#REF!,)</f>
        <v>#REF!</v>
      </c>
    </row>
    <row r="555" spans="1:28" s="116" customFormat="1" ht="15">
      <c r="A555" s="114"/>
      <c r="B555" s="120"/>
      <c r="C555" s="129" t="str">
        <f t="shared" si="24"/>
        <v>week-0</v>
      </c>
      <c r="D555" s="120" t="str">
        <f t="shared" si="25"/>
        <v>Jan</v>
      </c>
      <c r="E555" s="7"/>
      <c r="F555" s="7"/>
      <c r="G555" s="120"/>
      <c r="H555" s="120"/>
      <c r="I555" s="118"/>
      <c r="J555" s="118"/>
      <c r="K555" s="115"/>
      <c r="L555" s="115"/>
      <c r="M555" s="8"/>
      <c r="N555" s="8" t="str">
        <f t="shared" si="26"/>
        <v>-</v>
      </c>
      <c r="O555" s="126"/>
      <c r="P555" s="127"/>
      <c r="Q555" s="127"/>
      <c r="R555" s="126"/>
      <c r="S555" s="127"/>
      <c r="T555" s="8"/>
      <c r="U555" s="158"/>
      <c r="V555" s="7"/>
      <c r="W555" s="7"/>
      <c r="X555" s="146"/>
      <c r="Y555" s="7"/>
      <c r="Z555" s="7"/>
      <c r="AA555" s="7" t="str">
        <f>IFERROR((VLOOKUP(F555,#REF!,2,FALSE)),"-")</f>
        <v>-</v>
      </c>
      <c r="AB555" s="119" t="e">
        <f>CONCATENATE(F555," - ",I555," - ",#REF!,)</f>
        <v>#REF!</v>
      </c>
    </row>
    <row r="556" spans="1:28" s="116" customFormat="1" ht="15">
      <c r="A556" s="114"/>
      <c r="B556" s="120"/>
      <c r="C556" s="129" t="str">
        <f t="shared" si="24"/>
        <v>week-0</v>
      </c>
      <c r="D556" s="120" t="str">
        <f t="shared" si="25"/>
        <v>Jan</v>
      </c>
      <c r="E556" s="7"/>
      <c r="F556" s="7"/>
      <c r="G556" s="120"/>
      <c r="H556" s="120"/>
      <c r="I556" s="118"/>
      <c r="J556" s="118"/>
      <c r="K556" s="115"/>
      <c r="L556" s="115"/>
      <c r="M556" s="8"/>
      <c r="N556" s="8" t="str">
        <f t="shared" si="26"/>
        <v>-</v>
      </c>
      <c r="O556" s="126"/>
      <c r="P556" s="127"/>
      <c r="Q556" s="127"/>
      <c r="R556" s="126"/>
      <c r="S556" s="127"/>
      <c r="T556" s="8"/>
      <c r="U556" s="158"/>
      <c r="V556" s="7"/>
      <c r="W556" s="7"/>
      <c r="X556" s="146"/>
      <c r="Y556" s="7"/>
      <c r="Z556" s="7"/>
      <c r="AA556" s="7" t="str">
        <f>IFERROR((VLOOKUP(F556,#REF!,2,FALSE)),"-")</f>
        <v>-</v>
      </c>
      <c r="AB556" s="119" t="e">
        <f>CONCATENATE(F556," - ",I556," - ",#REF!,)</f>
        <v>#REF!</v>
      </c>
    </row>
    <row r="557" spans="1:28" s="116" customFormat="1" ht="15">
      <c r="A557" s="114"/>
      <c r="B557" s="120"/>
      <c r="C557" s="129" t="str">
        <f t="shared" si="24"/>
        <v>week-0</v>
      </c>
      <c r="D557" s="120" t="str">
        <f t="shared" si="25"/>
        <v>Jan</v>
      </c>
      <c r="E557" s="7"/>
      <c r="F557" s="7"/>
      <c r="G557" s="120"/>
      <c r="H557" s="120"/>
      <c r="I557" s="118"/>
      <c r="J557" s="118"/>
      <c r="K557" s="115"/>
      <c r="L557" s="115"/>
      <c r="M557" s="8"/>
      <c r="N557" s="8" t="str">
        <f t="shared" si="26"/>
        <v>-</v>
      </c>
      <c r="O557" s="126"/>
      <c r="P557" s="127"/>
      <c r="Q557" s="127"/>
      <c r="R557" s="126"/>
      <c r="S557" s="127"/>
      <c r="T557" s="8"/>
      <c r="U557" s="158"/>
      <c r="V557" s="7"/>
      <c r="W557" s="7"/>
      <c r="X557" s="146"/>
      <c r="Y557" s="7"/>
      <c r="Z557" s="7"/>
      <c r="AA557" s="7" t="str">
        <f>IFERROR((VLOOKUP(F557,#REF!,2,FALSE)),"-")</f>
        <v>-</v>
      </c>
      <c r="AB557" s="119" t="e">
        <f>CONCATENATE(F557," - ",I557," - ",#REF!,)</f>
        <v>#REF!</v>
      </c>
    </row>
    <row r="558" spans="1:28" s="116" customFormat="1" ht="15">
      <c r="A558" s="114"/>
      <c r="B558" s="120"/>
      <c r="C558" s="129" t="str">
        <f t="shared" si="24"/>
        <v>week-0</v>
      </c>
      <c r="D558" s="120" t="str">
        <f t="shared" si="25"/>
        <v>Jan</v>
      </c>
      <c r="E558" s="7"/>
      <c r="F558" s="7"/>
      <c r="G558" s="120"/>
      <c r="H558" s="120"/>
      <c r="I558" s="118"/>
      <c r="J558" s="118"/>
      <c r="K558" s="115"/>
      <c r="L558" s="115"/>
      <c r="M558" s="8"/>
      <c r="N558" s="8" t="str">
        <f t="shared" si="26"/>
        <v>-</v>
      </c>
      <c r="O558" s="126"/>
      <c r="P558" s="127"/>
      <c r="Q558" s="127"/>
      <c r="R558" s="126"/>
      <c r="S558" s="127"/>
      <c r="T558" s="8"/>
      <c r="U558" s="158"/>
      <c r="V558" s="7"/>
      <c r="W558" s="7"/>
      <c r="X558" s="146"/>
      <c r="Y558" s="7"/>
      <c r="Z558" s="7"/>
      <c r="AA558" s="7" t="str">
        <f>IFERROR((VLOOKUP(F558,#REF!,2,FALSE)),"-")</f>
        <v>-</v>
      </c>
      <c r="AB558" s="119" t="e">
        <f>CONCATENATE(F558," - ",I558," - ",#REF!,)</f>
        <v>#REF!</v>
      </c>
    </row>
    <row r="559" spans="1:28" s="116" customFormat="1" ht="15">
      <c r="A559" s="114"/>
      <c r="B559" s="120"/>
      <c r="C559" s="129" t="str">
        <f t="shared" si="24"/>
        <v>week-0</v>
      </c>
      <c r="D559" s="120" t="str">
        <f t="shared" si="25"/>
        <v>Jan</v>
      </c>
      <c r="E559" s="7"/>
      <c r="F559" s="7"/>
      <c r="G559" s="120"/>
      <c r="H559" s="120"/>
      <c r="I559" s="118"/>
      <c r="J559" s="118"/>
      <c r="K559" s="115"/>
      <c r="L559" s="115"/>
      <c r="M559" s="8"/>
      <c r="N559" s="8" t="str">
        <f t="shared" si="26"/>
        <v>-</v>
      </c>
      <c r="O559" s="126"/>
      <c r="P559" s="127"/>
      <c r="Q559" s="127"/>
      <c r="R559" s="126"/>
      <c r="S559" s="127"/>
      <c r="T559" s="8"/>
      <c r="U559" s="158"/>
      <c r="V559" s="7"/>
      <c r="W559" s="7"/>
      <c r="X559" s="146"/>
      <c r="Y559" s="7"/>
      <c r="Z559" s="7"/>
      <c r="AA559" s="7" t="str">
        <f>IFERROR((VLOOKUP(F559,#REF!,2,FALSE)),"-")</f>
        <v>-</v>
      </c>
      <c r="AB559" s="119" t="e">
        <f>CONCATENATE(F559," - ",I559," - ",#REF!,)</f>
        <v>#REF!</v>
      </c>
    </row>
    <row r="560" spans="1:28" s="116" customFormat="1" ht="15">
      <c r="A560" s="114"/>
      <c r="B560" s="120"/>
      <c r="C560" s="129" t="str">
        <f t="shared" si="24"/>
        <v>week-0</v>
      </c>
      <c r="D560" s="120" t="str">
        <f t="shared" si="25"/>
        <v>Jan</v>
      </c>
      <c r="E560" s="7"/>
      <c r="F560" s="7"/>
      <c r="G560" s="120"/>
      <c r="H560" s="120"/>
      <c r="I560" s="118"/>
      <c r="J560" s="118"/>
      <c r="K560" s="115"/>
      <c r="L560" s="115"/>
      <c r="M560" s="8"/>
      <c r="N560" s="8" t="str">
        <f t="shared" si="26"/>
        <v>-</v>
      </c>
      <c r="O560" s="126"/>
      <c r="P560" s="127"/>
      <c r="Q560" s="127"/>
      <c r="R560" s="126"/>
      <c r="S560" s="127"/>
      <c r="T560" s="8"/>
      <c r="U560" s="158"/>
      <c r="V560" s="7"/>
      <c r="W560" s="7"/>
      <c r="X560" s="146"/>
      <c r="Y560" s="7"/>
      <c r="Z560" s="7"/>
      <c r="AA560" s="7" t="str">
        <f>IFERROR((VLOOKUP(F560,#REF!,2,FALSE)),"-")</f>
        <v>-</v>
      </c>
      <c r="AB560" s="119" t="e">
        <f>CONCATENATE(F560," - ",I560," - ",#REF!,)</f>
        <v>#REF!</v>
      </c>
    </row>
    <row r="561" spans="1:28" s="116" customFormat="1" ht="15">
      <c r="A561" s="114"/>
      <c r="B561" s="120"/>
      <c r="C561" s="129" t="str">
        <f t="shared" si="24"/>
        <v>week-0</v>
      </c>
      <c r="D561" s="120" t="str">
        <f t="shared" si="25"/>
        <v>Jan</v>
      </c>
      <c r="E561" s="7"/>
      <c r="F561" s="7"/>
      <c r="G561" s="120"/>
      <c r="H561" s="120"/>
      <c r="I561" s="118"/>
      <c r="J561" s="118"/>
      <c r="K561" s="115"/>
      <c r="L561" s="115"/>
      <c r="M561" s="8"/>
      <c r="N561" s="8" t="str">
        <f t="shared" si="26"/>
        <v>-</v>
      </c>
      <c r="O561" s="126"/>
      <c r="P561" s="127"/>
      <c r="Q561" s="127"/>
      <c r="R561" s="126"/>
      <c r="S561" s="127"/>
      <c r="T561" s="8"/>
      <c r="U561" s="158"/>
      <c r="V561" s="7"/>
      <c r="W561" s="7"/>
      <c r="X561" s="146"/>
      <c r="Y561" s="7"/>
      <c r="Z561" s="7"/>
      <c r="AA561" s="7" t="str">
        <f>IFERROR((VLOOKUP(F561,#REF!,2,FALSE)),"-")</f>
        <v>-</v>
      </c>
      <c r="AB561" s="119" t="e">
        <f>CONCATENATE(F561," - ",I561," - ",#REF!,)</f>
        <v>#REF!</v>
      </c>
    </row>
    <row r="562" spans="1:28" s="116" customFormat="1" ht="15">
      <c r="A562" s="114"/>
      <c r="B562" s="120"/>
      <c r="C562" s="129" t="str">
        <f t="shared" si="24"/>
        <v>week-0</v>
      </c>
      <c r="D562" s="120" t="str">
        <f t="shared" si="25"/>
        <v>Jan</v>
      </c>
      <c r="E562" s="7"/>
      <c r="F562" s="7"/>
      <c r="G562" s="120"/>
      <c r="H562" s="120"/>
      <c r="I562" s="118"/>
      <c r="J562" s="118"/>
      <c r="K562" s="115"/>
      <c r="L562" s="115"/>
      <c r="M562" s="8"/>
      <c r="N562" s="8" t="str">
        <f t="shared" si="26"/>
        <v>-</v>
      </c>
      <c r="O562" s="126"/>
      <c r="P562" s="127"/>
      <c r="Q562" s="127"/>
      <c r="R562" s="126"/>
      <c r="S562" s="127"/>
      <c r="T562" s="8"/>
      <c r="U562" s="158"/>
      <c r="V562" s="7"/>
      <c r="W562" s="7"/>
      <c r="X562" s="146"/>
      <c r="Y562" s="7"/>
      <c r="Z562" s="7"/>
      <c r="AA562" s="7" t="str">
        <f>IFERROR((VLOOKUP(F562,#REF!,2,FALSE)),"-")</f>
        <v>-</v>
      </c>
      <c r="AB562" s="119" t="e">
        <f>CONCATENATE(F562," - ",I562," - ",#REF!,)</f>
        <v>#REF!</v>
      </c>
    </row>
    <row r="563" spans="1:28" s="116" customFormat="1" ht="15">
      <c r="A563" s="114"/>
      <c r="B563" s="120"/>
      <c r="C563" s="129" t="str">
        <f t="shared" si="24"/>
        <v>week-0</v>
      </c>
      <c r="D563" s="120" t="str">
        <f t="shared" si="25"/>
        <v>Jan</v>
      </c>
      <c r="E563" s="7"/>
      <c r="F563" s="7"/>
      <c r="G563" s="120"/>
      <c r="H563" s="120"/>
      <c r="I563" s="118"/>
      <c r="J563" s="118"/>
      <c r="K563" s="115"/>
      <c r="L563" s="115"/>
      <c r="M563" s="8"/>
      <c r="N563" s="8" t="str">
        <f t="shared" si="26"/>
        <v>-</v>
      </c>
      <c r="O563" s="126"/>
      <c r="P563" s="127"/>
      <c r="Q563" s="127"/>
      <c r="R563" s="126"/>
      <c r="S563" s="127"/>
      <c r="T563" s="8"/>
      <c r="U563" s="158"/>
      <c r="V563" s="7"/>
      <c r="W563" s="7"/>
      <c r="X563" s="146"/>
      <c r="Y563" s="7"/>
      <c r="Z563" s="7"/>
      <c r="AA563" s="7" t="str">
        <f>IFERROR((VLOOKUP(F563,#REF!,2,FALSE)),"-")</f>
        <v>-</v>
      </c>
      <c r="AB563" s="119" t="e">
        <f>CONCATENATE(F563," - ",I563," - ",#REF!,)</f>
        <v>#REF!</v>
      </c>
    </row>
    <row r="564" spans="1:28" s="116" customFormat="1" ht="15">
      <c r="A564" s="114"/>
      <c r="B564" s="120"/>
      <c r="C564" s="129" t="str">
        <f t="shared" si="24"/>
        <v>week-0</v>
      </c>
      <c r="D564" s="120" t="str">
        <f t="shared" si="25"/>
        <v>Jan</v>
      </c>
      <c r="E564" s="7"/>
      <c r="F564" s="7"/>
      <c r="G564" s="120"/>
      <c r="H564" s="120"/>
      <c r="I564" s="118"/>
      <c r="J564" s="118"/>
      <c r="K564" s="115"/>
      <c r="L564" s="115"/>
      <c r="M564" s="8"/>
      <c r="N564" s="8" t="str">
        <f t="shared" si="26"/>
        <v>-</v>
      </c>
      <c r="O564" s="126"/>
      <c r="P564" s="127"/>
      <c r="Q564" s="127"/>
      <c r="R564" s="126"/>
      <c r="S564" s="127"/>
      <c r="T564" s="8"/>
      <c r="U564" s="158"/>
      <c r="V564" s="7"/>
      <c r="W564" s="7"/>
      <c r="X564" s="146"/>
      <c r="Y564" s="7"/>
      <c r="Z564" s="7"/>
      <c r="AA564" s="7" t="str">
        <f>IFERROR((VLOOKUP(F564,#REF!,2,FALSE)),"-")</f>
        <v>-</v>
      </c>
      <c r="AB564" s="119" t="e">
        <f>CONCATENATE(F564," - ",I564," - ",#REF!,)</f>
        <v>#REF!</v>
      </c>
    </row>
    <row r="565" spans="1:28" s="116" customFormat="1" ht="15">
      <c r="A565" s="114"/>
      <c r="B565" s="120"/>
      <c r="C565" s="129" t="str">
        <f t="shared" si="24"/>
        <v>week-0</v>
      </c>
      <c r="D565" s="120" t="str">
        <f t="shared" si="25"/>
        <v>Jan</v>
      </c>
      <c r="E565" s="7"/>
      <c r="F565" s="7"/>
      <c r="G565" s="120"/>
      <c r="H565" s="120"/>
      <c r="I565" s="118"/>
      <c r="J565" s="118"/>
      <c r="K565" s="115"/>
      <c r="L565" s="115"/>
      <c r="M565" s="8"/>
      <c r="N565" s="8" t="str">
        <f t="shared" si="26"/>
        <v>-</v>
      </c>
      <c r="O565" s="126"/>
      <c r="P565" s="127"/>
      <c r="Q565" s="127"/>
      <c r="R565" s="126"/>
      <c r="S565" s="127"/>
      <c r="T565" s="8"/>
      <c r="U565" s="158"/>
      <c r="V565" s="7"/>
      <c r="W565" s="7"/>
      <c r="X565" s="146"/>
      <c r="Y565" s="7"/>
      <c r="Z565" s="7"/>
      <c r="AA565" s="7" t="str">
        <f>IFERROR((VLOOKUP(F565,#REF!,2,FALSE)),"-")</f>
        <v>-</v>
      </c>
      <c r="AB565" s="119" t="e">
        <f>CONCATENATE(F565," - ",I565," - ",#REF!,)</f>
        <v>#REF!</v>
      </c>
    </row>
    <row r="566" spans="1:28" s="116" customFormat="1" ht="15">
      <c r="A566" s="114"/>
      <c r="B566" s="120"/>
      <c r="C566" s="129" t="str">
        <f t="shared" si="24"/>
        <v>week-0</v>
      </c>
      <c r="D566" s="120" t="str">
        <f t="shared" si="25"/>
        <v>Jan</v>
      </c>
      <c r="E566" s="7"/>
      <c r="F566" s="7"/>
      <c r="G566" s="120"/>
      <c r="H566" s="120"/>
      <c r="I566" s="118"/>
      <c r="J566" s="118"/>
      <c r="K566" s="115"/>
      <c r="L566" s="115"/>
      <c r="M566" s="8"/>
      <c r="N566" s="8" t="str">
        <f t="shared" si="26"/>
        <v>-</v>
      </c>
      <c r="O566" s="126"/>
      <c r="P566" s="127"/>
      <c r="Q566" s="127"/>
      <c r="R566" s="126"/>
      <c r="S566" s="127"/>
      <c r="T566" s="8"/>
      <c r="U566" s="158"/>
      <c r="V566" s="7"/>
      <c r="W566" s="7"/>
      <c r="X566" s="146"/>
      <c r="Y566" s="7"/>
      <c r="Z566" s="7"/>
      <c r="AA566" s="7" t="str">
        <f>IFERROR((VLOOKUP(F566,#REF!,2,FALSE)),"-")</f>
        <v>-</v>
      </c>
      <c r="AB566" s="119" t="e">
        <f>CONCATENATE(F566," - ",I566," - ",#REF!,)</f>
        <v>#REF!</v>
      </c>
    </row>
    <row r="567" spans="1:28" s="116" customFormat="1" ht="15">
      <c r="A567" s="114"/>
      <c r="B567" s="120"/>
      <c r="C567" s="129" t="str">
        <f t="shared" si="24"/>
        <v>week-0</v>
      </c>
      <c r="D567" s="120" t="str">
        <f t="shared" si="25"/>
        <v>Jan</v>
      </c>
      <c r="E567" s="7"/>
      <c r="F567" s="7"/>
      <c r="G567" s="120"/>
      <c r="H567" s="120"/>
      <c r="I567" s="118"/>
      <c r="J567" s="118"/>
      <c r="K567" s="115"/>
      <c r="L567" s="115"/>
      <c r="M567" s="8"/>
      <c r="N567" s="8" t="str">
        <f t="shared" si="26"/>
        <v>-</v>
      </c>
      <c r="O567" s="126"/>
      <c r="P567" s="127"/>
      <c r="Q567" s="127"/>
      <c r="R567" s="126"/>
      <c r="S567" s="127"/>
      <c r="T567" s="8"/>
      <c r="U567" s="158"/>
      <c r="V567" s="7"/>
      <c r="W567" s="7"/>
      <c r="X567" s="146"/>
      <c r="Y567" s="7"/>
      <c r="Z567" s="7"/>
      <c r="AA567" s="7" t="str">
        <f>IFERROR((VLOOKUP(F567,#REF!,2,FALSE)),"-")</f>
        <v>-</v>
      </c>
      <c r="AB567" s="119" t="e">
        <f>CONCATENATE(F567," - ",I567," - ",#REF!,)</f>
        <v>#REF!</v>
      </c>
    </row>
    <row r="568" spans="1:28" s="116" customFormat="1" ht="15">
      <c r="A568" s="114"/>
      <c r="B568" s="120"/>
      <c r="C568" s="129" t="str">
        <f t="shared" si="24"/>
        <v>week-0</v>
      </c>
      <c r="D568" s="120" t="str">
        <f t="shared" si="25"/>
        <v>Jan</v>
      </c>
      <c r="E568" s="7"/>
      <c r="F568" s="7"/>
      <c r="G568" s="120"/>
      <c r="H568" s="120"/>
      <c r="I568" s="118"/>
      <c r="J568" s="118"/>
      <c r="K568" s="115"/>
      <c r="L568" s="115"/>
      <c r="M568" s="8"/>
      <c r="N568" s="8" t="str">
        <f t="shared" si="26"/>
        <v>-</v>
      </c>
      <c r="O568" s="126"/>
      <c r="P568" s="127"/>
      <c r="Q568" s="127"/>
      <c r="R568" s="126"/>
      <c r="S568" s="127"/>
      <c r="T568" s="8"/>
      <c r="U568" s="158"/>
      <c r="V568" s="7"/>
      <c r="W568" s="7"/>
      <c r="X568" s="146"/>
      <c r="Y568" s="7"/>
      <c r="Z568" s="7"/>
      <c r="AA568" s="7" t="str">
        <f>IFERROR((VLOOKUP(F568,#REF!,2,FALSE)),"-")</f>
        <v>-</v>
      </c>
      <c r="AB568" s="119" t="e">
        <f>CONCATENATE(F568," - ",I568," - ",#REF!,)</f>
        <v>#REF!</v>
      </c>
    </row>
    <row r="569" spans="1:28" s="116" customFormat="1" ht="15">
      <c r="A569" s="114"/>
      <c r="B569" s="120"/>
      <c r="C569" s="129" t="str">
        <f t="shared" si="24"/>
        <v>week-0</v>
      </c>
      <c r="D569" s="120" t="str">
        <f t="shared" si="25"/>
        <v>Jan</v>
      </c>
      <c r="E569" s="7"/>
      <c r="F569" s="7"/>
      <c r="G569" s="120"/>
      <c r="H569" s="120"/>
      <c r="I569" s="118"/>
      <c r="J569" s="118"/>
      <c r="K569" s="115"/>
      <c r="L569" s="115"/>
      <c r="M569" s="8"/>
      <c r="N569" s="8" t="str">
        <f t="shared" si="26"/>
        <v>-</v>
      </c>
      <c r="O569" s="126"/>
      <c r="P569" s="127"/>
      <c r="Q569" s="127"/>
      <c r="R569" s="126"/>
      <c r="S569" s="127"/>
      <c r="T569" s="8"/>
      <c r="U569" s="158"/>
      <c r="V569" s="7"/>
      <c r="W569" s="7"/>
      <c r="X569" s="146"/>
      <c r="Y569" s="7"/>
      <c r="Z569" s="7"/>
      <c r="AA569" s="7" t="str">
        <f>IFERROR((VLOOKUP(F569,#REF!,2,FALSE)),"-")</f>
        <v>-</v>
      </c>
      <c r="AB569" s="119" t="e">
        <f>CONCATENATE(F569," - ",I569," - ",#REF!,)</f>
        <v>#REF!</v>
      </c>
    </row>
    <row r="570" spans="1:28" s="116" customFormat="1" ht="15">
      <c r="A570" s="114"/>
      <c r="B570" s="120"/>
      <c r="C570" s="129" t="str">
        <f t="shared" si="24"/>
        <v>week-0</v>
      </c>
      <c r="D570" s="120" t="str">
        <f t="shared" si="25"/>
        <v>Jan</v>
      </c>
      <c r="E570" s="7"/>
      <c r="F570" s="7"/>
      <c r="G570" s="120"/>
      <c r="H570" s="120"/>
      <c r="I570" s="118"/>
      <c r="J570" s="118"/>
      <c r="K570" s="115"/>
      <c r="L570" s="115"/>
      <c r="M570" s="8"/>
      <c r="N570" s="8" t="str">
        <f t="shared" si="26"/>
        <v>-</v>
      </c>
      <c r="O570" s="126"/>
      <c r="P570" s="127"/>
      <c r="Q570" s="127"/>
      <c r="R570" s="126"/>
      <c r="S570" s="127"/>
      <c r="T570" s="8"/>
      <c r="U570" s="158"/>
      <c r="V570" s="7"/>
      <c r="W570" s="7"/>
      <c r="X570" s="146"/>
      <c r="Y570" s="7"/>
      <c r="Z570" s="7"/>
      <c r="AA570" s="7" t="str">
        <f>IFERROR((VLOOKUP(F570,#REF!,2,FALSE)),"-")</f>
        <v>-</v>
      </c>
      <c r="AB570" s="119" t="e">
        <f>CONCATENATE(F570," - ",#REF!," - ",#REF!,)</f>
        <v>#REF!</v>
      </c>
    </row>
    <row r="571" spans="1:28" s="116" customFormat="1" ht="15">
      <c r="A571" s="114"/>
      <c r="B571" s="120"/>
      <c r="C571" s="129" t="str">
        <f t="shared" si="24"/>
        <v>week-0</v>
      </c>
      <c r="D571" s="120" t="str">
        <f t="shared" si="25"/>
        <v>Jan</v>
      </c>
      <c r="E571" s="7"/>
      <c r="F571" s="7"/>
      <c r="G571" s="120"/>
      <c r="H571" s="120"/>
      <c r="I571" s="118"/>
      <c r="J571" s="118"/>
      <c r="K571" s="115"/>
      <c r="L571" s="115"/>
      <c r="M571" s="8"/>
      <c r="N571" s="8" t="str">
        <f t="shared" si="26"/>
        <v>-</v>
      </c>
      <c r="O571" s="126"/>
      <c r="P571" s="127"/>
      <c r="Q571" s="127"/>
      <c r="R571" s="126"/>
      <c r="S571" s="127"/>
      <c r="T571" s="8"/>
      <c r="U571" s="158"/>
      <c r="V571" s="7"/>
      <c r="W571" s="7"/>
      <c r="X571" s="146"/>
      <c r="Y571" s="7"/>
      <c r="Z571" s="7"/>
      <c r="AA571" s="7" t="str">
        <f>IFERROR((VLOOKUP(F571,#REF!,2,FALSE)),"-")</f>
        <v>-</v>
      </c>
      <c r="AB571" s="119" t="e">
        <f>CONCATENATE(F571," - ",I571," - ",#REF!,)</f>
        <v>#REF!</v>
      </c>
    </row>
    <row r="572" spans="1:28" s="116" customFormat="1" ht="15">
      <c r="A572" s="114"/>
      <c r="B572" s="120"/>
      <c r="C572" s="129" t="str">
        <f t="shared" si="24"/>
        <v>week-0</v>
      </c>
      <c r="D572" s="120" t="str">
        <f t="shared" si="25"/>
        <v>Jan</v>
      </c>
      <c r="E572" s="7"/>
      <c r="F572" s="7"/>
      <c r="G572" s="120"/>
      <c r="H572" s="120"/>
      <c r="I572" s="118"/>
      <c r="J572" s="118"/>
      <c r="K572" s="115"/>
      <c r="L572" s="115"/>
      <c r="M572" s="8"/>
      <c r="N572" s="8" t="str">
        <f t="shared" si="26"/>
        <v>-</v>
      </c>
      <c r="O572" s="126"/>
      <c r="P572" s="127"/>
      <c r="Q572" s="127"/>
      <c r="R572" s="126"/>
      <c r="S572" s="127"/>
      <c r="T572" s="8"/>
      <c r="U572" s="158"/>
      <c r="V572" s="7"/>
      <c r="W572" s="7"/>
      <c r="X572" s="146"/>
      <c r="Y572" s="7"/>
      <c r="Z572" s="7"/>
      <c r="AA572" s="7" t="str">
        <f>IFERROR((VLOOKUP(F572,#REF!,2,FALSE)),"-")</f>
        <v>-</v>
      </c>
      <c r="AB572" s="119" t="e">
        <f>CONCATENATE(F572," - ",I572," - ",#REF!,)</f>
        <v>#REF!</v>
      </c>
    </row>
    <row r="573" spans="1:28" s="116" customFormat="1" ht="15">
      <c r="A573" s="114"/>
      <c r="B573" s="120"/>
      <c r="C573" s="129" t="str">
        <f t="shared" si="24"/>
        <v>week-0</v>
      </c>
      <c r="D573" s="120" t="str">
        <f t="shared" si="25"/>
        <v>Jan</v>
      </c>
      <c r="E573" s="7"/>
      <c r="F573" s="7"/>
      <c r="G573" s="120"/>
      <c r="H573" s="120"/>
      <c r="I573" s="124"/>
      <c r="J573" s="124"/>
      <c r="K573" s="115"/>
      <c r="L573" s="115"/>
      <c r="M573" s="8"/>
      <c r="N573" s="8" t="str">
        <f t="shared" si="26"/>
        <v>-</v>
      </c>
      <c r="O573" s="126"/>
      <c r="P573" s="127"/>
      <c r="Q573" s="127"/>
      <c r="R573" s="126"/>
      <c r="S573" s="127"/>
      <c r="T573" s="8"/>
      <c r="U573" s="158"/>
      <c r="V573" s="7"/>
      <c r="W573" s="7"/>
      <c r="X573" s="146"/>
      <c r="Y573" s="7"/>
      <c r="Z573" s="7"/>
      <c r="AA573" s="7" t="str">
        <f>IFERROR((VLOOKUP(F573,#REF!,2,FALSE)),"-")</f>
        <v>-</v>
      </c>
      <c r="AB573" s="119" t="e">
        <f>CONCATENATE(F573," - ",I573," - ",#REF!,)</f>
        <v>#REF!</v>
      </c>
    </row>
    <row r="574" spans="1:28" s="116" customFormat="1" ht="15">
      <c r="A574" s="114"/>
      <c r="B574" s="120"/>
      <c r="C574" s="129" t="str">
        <f t="shared" si="24"/>
        <v>week-0</v>
      </c>
      <c r="D574" s="120" t="str">
        <f t="shared" si="25"/>
        <v>Jan</v>
      </c>
      <c r="E574" s="7"/>
      <c r="F574" s="7"/>
      <c r="G574" s="120"/>
      <c r="H574" s="120"/>
      <c r="I574" s="124"/>
      <c r="J574" s="124"/>
      <c r="K574" s="115"/>
      <c r="L574" s="115"/>
      <c r="M574" s="8"/>
      <c r="N574" s="8" t="str">
        <f t="shared" si="26"/>
        <v>-</v>
      </c>
      <c r="O574" s="126"/>
      <c r="P574" s="127"/>
      <c r="Q574" s="127"/>
      <c r="R574" s="126"/>
      <c r="S574" s="127"/>
      <c r="T574" s="8"/>
      <c r="U574" s="158"/>
      <c r="V574" s="7"/>
      <c r="W574" s="7"/>
      <c r="X574" s="146"/>
      <c r="Y574" s="7"/>
      <c r="Z574" s="7"/>
      <c r="AA574" s="7" t="str">
        <f>IFERROR((VLOOKUP(F574,#REF!,2,FALSE)),"-")</f>
        <v>-</v>
      </c>
      <c r="AB574" s="119" t="e">
        <f>CONCATENATE(F574," - ",I574," - ",#REF!,)</f>
        <v>#REF!</v>
      </c>
    </row>
    <row r="575" spans="1:28" s="116" customFormat="1" ht="15">
      <c r="A575" s="114"/>
      <c r="B575" s="120"/>
      <c r="C575" s="129" t="str">
        <f t="shared" si="24"/>
        <v>week-0</v>
      </c>
      <c r="D575" s="120" t="str">
        <f t="shared" si="25"/>
        <v>Jan</v>
      </c>
      <c r="E575" s="7"/>
      <c r="F575" s="7"/>
      <c r="G575" s="120"/>
      <c r="H575" s="120"/>
      <c r="I575" s="124"/>
      <c r="J575" s="124"/>
      <c r="K575" s="115"/>
      <c r="L575" s="115"/>
      <c r="M575" s="8"/>
      <c r="N575" s="8" t="str">
        <f t="shared" si="26"/>
        <v>-</v>
      </c>
      <c r="O575" s="126"/>
      <c r="P575" s="127"/>
      <c r="Q575" s="127"/>
      <c r="R575" s="126"/>
      <c r="S575" s="127"/>
      <c r="T575" s="8"/>
      <c r="U575" s="158"/>
      <c r="V575" s="7"/>
      <c r="W575" s="7"/>
      <c r="X575" s="146"/>
      <c r="Y575" s="7"/>
      <c r="Z575" s="7"/>
      <c r="AA575" s="7" t="str">
        <f>IFERROR((VLOOKUP(F575,#REF!,2,FALSE)),"-")</f>
        <v>-</v>
      </c>
      <c r="AB575" s="119" t="e">
        <f>CONCATENATE(F575," - ",I575," - ",#REF!,)</f>
        <v>#REF!</v>
      </c>
    </row>
    <row r="576" spans="1:28" s="116" customFormat="1" ht="15">
      <c r="A576" s="114"/>
      <c r="B576" s="120"/>
      <c r="C576" s="129" t="str">
        <f t="shared" si="24"/>
        <v>week-0</v>
      </c>
      <c r="D576" s="120" t="str">
        <f t="shared" si="25"/>
        <v>Jan</v>
      </c>
      <c r="E576" s="7"/>
      <c r="F576" s="7"/>
      <c r="G576" s="120"/>
      <c r="H576" s="120"/>
      <c r="I576" s="118"/>
      <c r="J576" s="118"/>
      <c r="K576" s="115"/>
      <c r="L576" s="115"/>
      <c r="M576" s="8"/>
      <c r="N576" s="8" t="str">
        <f t="shared" si="26"/>
        <v>-</v>
      </c>
      <c r="O576" s="126"/>
      <c r="P576" s="127"/>
      <c r="Q576" s="127"/>
      <c r="R576" s="126"/>
      <c r="S576" s="127"/>
      <c r="T576" s="8"/>
      <c r="U576" s="158"/>
      <c r="V576" s="7"/>
      <c r="W576" s="7"/>
      <c r="X576" s="146"/>
      <c r="Y576" s="7"/>
      <c r="Z576" s="7"/>
      <c r="AA576" s="7" t="str">
        <f>IFERROR((VLOOKUP(F576,#REF!,2,FALSE)),"-")</f>
        <v>-</v>
      </c>
      <c r="AB576" s="119" t="e">
        <f>CONCATENATE(F576," - ",I576," - ",#REF!,)</f>
        <v>#REF!</v>
      </c>
    </row>
    <row r="577" spans="1:28" s="116" customFormat="1" ht="15">
      <c r="A577" s="114"/>
      <c r="B577" s="120"/>
      <c r="C577" s="129" t="str">
        <f t="shared" si="24"/>
        <v>week-0</v>
      </c>
      <c r="D577" s="120" t="str">
        <f t="shared" si="25"/>
        <v>Jan</v>
      </c>
      <c r="E577" s="7"/>
      <c r="F577" s="7"/>
      <c r="G577" s="120"/>
      <c r="H577" s="120"/>
      <c r="I577" s="118"/>
      <c r="J577" s="118"/>
      <c r="K577" s="115"/>
      <c r="L577" s="115"/>
      <c r="M577" s="8"/>
      <c r="N577" s="8" t="str">
        <f t="shared" si="26"/>
        <v>-</v>
      </c>
      <c r="O577" s="126"/>
      <c r="P577" s="127"/>
      <c r="Q577" s="127"/>
      <c r="R577" s="126"/>
      <c r="S577" s="127"/>
      <c r="T577" s="8"/>
      <c r="U577" s="158"/>
      <c r="V577" s="7"/>
      <c r="W577" s="7"/>
      <c r="X577" s="146"/>
      <c r="Y577" s="7"/>
      <c r="Z577" s="7"/>
      <c r="AA577" s="7" t="str">
        <f>IFERROR((VLOOKUP(F577,#REF!,2,FALSE)),"-")</f>
        <v>-</v>
      </c>
      <c r="AB577" s="119" t="e">
        <f>CONCATENATE(F577," - ",I577," - ",#REF!,)</f>
        <v>#REF!</v>
      </c>
    </row>
    <row r="578" spans="1:28" s="116" customFormat="1" ht="15">
      <c r="A578" s="114"/>
      <c r="B578" s="120"/>
      <c r="C578" s="129" t="str">
        <f t="shared" si="24"/>
        <v>week-0</v>
      </c>
      <c r="D578" s="120" t="str">
        <f t="shared" si="25"/>
        <v>Jan</v>
      </c>
      <c r="E578" s="7"/>
      <c r="F578" s="7"/>
      <c r="G578" s="120"/>
      <c r="H578" s="120"/>
      <c r="I578" s="118"/>
      <c r="J578" s="118"/>
      <c r="K578" s="115"/>
      <c r="L578" s="115"/>
      <c r="M578" s="8"/>
      <c r="N578" s="8" t="str">
        <f t="shared" si="26"/>
        <v>-</v>
      </c>
      <c r="O578" s="126"/>
      <c r="P578" s="127"/>
      <c r="Q578" s="127"/>
      <c r="R578" s="126"/>
      <c r="S578" s="127"/>
      <c r="T578" s="8"/>
      <c r="U578" s="158"/>
      <c r="V578" s="7"/>
      <c r="W578" s="7"/>
      <c r="X578" s="146"/>
      <c r="Y578" s="7"/>
      <c r="Z578" s="7"/>
      <c r="AA578" s="7" t="str">
        <f>IFERROR((VLOOKUP(F578,#REF!,2,FALSE)),"-")</f>
        <v>-</v>
      </c>
      <c r="AB578" s="119" t="e">
        <f>CONCATENATE(F578," - ",I578," - ",#REF!,)</f>
        <v>#REF!</v>
      </c>
    </row>
    <row r="579" spans="1:28" s="116" customFormat="1" ht="15">
      <c r="A579" s="114"/>
      <c r="B579" s="120"/>
      <c r="C579" s="129" t="str">
        <f t="shared" si="24"/>
        <v>week-0</v>
      </c>
      <c r="D579" s="120" t="str">
        <f t="shared" si="25"/>
        <v>Jan</v>
      </c>
      <c r="E579" s="7"/>
      <c r="F579" s="7"/>
      <c r="G579" s="120"/>
      <c r="H579" s="120"/>
      <c r="I579" s="118"/>
      <c r="J579" s="118"/>
      <c r="K579" s="115"/>
      <c r="L579" s="115"/>
      <c r="M579" s="8"/>
      <c r="N579" s="8" t="str">
        <f t="shared" si="26"/>
        <v>-</v>
      </c>
      <c r="O579" s="126"/>
      <c r="P579" s="127"/>
      <c r="Q579" s="127"/>
      <c r="R579" s="126"/>
      <c r="S579" s="127"/>
      <c r="T579" s="8"/>
      <c r="U579" s="158"/>
      <c r="V579" s="7"/>
      <c r="W579" s="7"/>
      <c r="X579" s="146"/>
      <c r="Y579" s="7"/>
      <c r="Z579" s="7"/>
      <c r="AA579" s="7" t="str">
        <f>IFERROR((VLOOKUP(F579,#REF!,2,FALSE)),"-")</f>
        <v>-</v>
      </c>
      <c r="AB579" s="119" t="e">
        <f>CONCATENATE(F579," - ",I579," - ",#REF!,)</f>
        <v>#REF!</v>
      </c>
    </row>
    <row r="580" spans="1:28" s="116" customFormat="1" ht="15">
      <c r="A580" s="114"/>
      <c r="B580" s="120"/>
      <c r="C580" s="129" t="str">
        <f t="shared" ref="C580:C643" si="27">"week-"&amp;WEEKNUM(B580)</f>
        <v>week-0</v>
      </c>
      <c r="D580" s="120" t="str">
        <f t="shared" ref="D580:D643" si="28">TEXT(B580,"mmm")</f>
        <v>Jan</v>
      </c>
      <c r="E580" s="7"/>
      <c r="F580" s="7"/>
      <c r="G580" s="120"/>
      <c r="H580" s="120"/>
      <c r="I580" s="118"/>
      <c r="J580" s="118"/>
      <c r="K580" s="115"/>
      <c r="L580" s="115"/>
      <c r="M580" s="8"/>
      <c r="N580" s="8" t="str">
        <f t="shared" ref="N580:N643" si="29">IF(ISBLANK(M580),"-",(M580/60))</f>
        <v>-</v>
      </c>
      <c r="O580" s="126"/>
      <c r="P580" s="127"/>
      <c r="Q580" s="127"/>
      <c r="R580" s="126"/>
      <c r="S580" s="127"/>
      <c r="T580" s="8"/>
      <c r="U580" s="158"/>
      <c r="V580" s="7"/>
      <c r="W580" s="7"/>
      <c r="X580" s="146"/>
      <c r="Y580" s="7"/>
      <c r="Z580" s="7"/>
      <c r="AA580" s="7" t="str">
        <f>IFERROR((VLOOKUP(F580,#REF!,2,FALSE)),"-")</f>
        <v>-</v>
      </c>
      <c r="AB580" s="119" t="e">
        <f>CONCATENATE(F580," - ",I580," - ",#REF!,)</f>
        <v>#REF!</v>
      </c>
    </row>
    <row r="581" spans="1:28" s="116" customFormat="1" ht="15">
      <c r="A581" s="114"/>
      <c r="B581" s="120"/>
      <c r="C581" s="129" t="str">
        <f t="shared" si="27"/>
        <v>week-0</v>
      </c>
      <c r="D581" s="120" t="str">
        <f t="shared" si="28"/>
        <v>Jan</v>
      </c>
      <c r="E581" s="7"/>
      <c r="F581" s="7"/>
      <c r="G581" s="120"/>
      <c r="H581" s="120"/>
      <c r="I581" s="124"/>
      <c r="J581" s="124"/>
      <c r="K581" s="115"/>
      <c r="L581" s="115"/>
      <c r="M581" s="8"/>
      <c r="N581" s="8" t="str">
        <f t="shared" si="29"/>
        <v>-</v>
      </c>
      <c r="O581" s="126"/>
      <c r="P581" s="127"/>
      <c r="Q581" s="127"/>
      <c r="R581" s="126"/>
      <c r="S581" s="127"/>
      <c r="T581" s="8"/>
      <c r="U581" s="158"/>
      <c r="V581" s="7"/>
      <c r="W581" s="7"/>
      <c r="X581" s="146"/>
      <c r="Y581" s="7"/>
      <c r="Z581" s="7"/>
      <c r="AA581" s="7" t="str">
        <f>IFERROR((VLOOKUP(F581,#REF!,2,FALSE)),"-")</f>
        <v>-</v>
      </c>
      <c r="AB581" s="119" t="e">
        <f>CONCATENATE(F581," - ",I581," - ",#REF!,)</f>
        <v>#REF!</v>
      </c>
    </row>
    <row r="582" spans="1:28" s="116" customFormat="1" ht="15">
      <c r="A582" s="114"/>
      <c r="B582" s="120"/>
      <c r="C582" s="129" t="str">
        <f t="shared" si="27"/>
        <v>week-0</v>
      </c>
      <c r="D582" s="120" t="str">
        <f t="shared" si="28"/>
        <v>Jan</v>
      </c>
      <c r="E582" s="7"/>
      <c r="F582" s="7"/>
      <c r="G582" s="120"/>
      <c r="H582" s="120"/>
      <c r="I582" s="124"/>
      <c r="J582" s="124"/>
      <c r="K582" s="115"/>
      <c r="L582" s="115"/>
      <c r="M582" s="8"/>
      <c r="N582" s="8" t="str">
        <f t="shared" si="29"/>
        <v>-</v>
      </c>
      <c r="O582" s="126"/>
      <c r="P582" s="127"/>
      <c r="Q582" s="127"/>
      <c r="R582" s="126"/>
      <c r="S582" s="127"/>
      <c r="T582" s="8"/>
      <c r="U582" s="158"/>
      <c r="V582" s="7"/>
      <c r="W582" s="7"/>
      <c r="X582" s="146"/>
      <c r="Y582" s="7"/>
      <c r="Z582" s="7"/>
      <c r="AA582" s="7" t="str">
        <f>IFERROR((VLOOKUP(F582,#REF!,2,FALSE)),"-")</f>
        <v>-</v>
      </c>
      <c r="AB582" s="119" t="e">
        <f>CONCATENATE(F582," - ",I582," - ",#REF!,)</f>
        <v>#REF!</v>
      </c>
    </row>
    <row r="583" spans="1:28" s="116" customFormat="1" ht="15">
      <c r="A583" s="114"/>
      <c r="B583" s="120"/>
      <c r="C583" s="129" t="str">
        <f t="shared" si="27"/>
        <v>week-0</v>
      </c>
      <c r="D583" s="120" t="str">
        <f t="shared" si="28"/>
        <v>Jan</v>
      </c>
      <c r="E583" s="7"/>
      <c r="F583" s="7"/>
      <c r="G583" s="120"/>
      <c r="H583" s="120"/>
      <c r="I583" s="124"/>
      <c r="J583" s="124"/>
      <c r="K583" s="115"/>
      <c r="L583" s="115"/>
      <c r="M583" s="8"/>
      <c r="N583" s="8" t="str">
        <f t="shared" si="29"/>
        <v>-</v>
      </c>
      <c r="O583" s="126"/>
      <c r="P583" s="127"/>
      <c r="Q583" s="127"/>
      <c r="R583" s="126"/>
      <c r="S583" s="127"/>
      <c r="T583" s="8"/>
      <c r="U583" s="158"/>
      <c r="V583" s="7"/>
      <c r="W583" s="7"/>
      <c r="X583" s="146"/>
      <c r="Y583" s="7"/>
      <c r="Z583" s="7"/>
      <c r="AA583" s="7" t="str">
        <f>IFERROR((VLOOKUP(F583,#REF!,2,FALSE)),"-")</f>
        <v>-</v>
      </c>
      <c r="AB583" s="119" t="e">
        <f>CONCATENATE(F583," - ",I583," - ",#REF!,)</f>
        <v>#REF!</v>
      </c>
    </row>
    <row r="584" spans="1:28" s="116" customFormat="1" ht="15">
      <c r="A584" s="114"/>
      <c r="B584" s="120"/>
      <c r="C584" s="129" t="str">
        <f t="shared" si="27"/>
        <v>week-0</v>
      </c>
      <c r="D584" s="120" t="str">
        <f t="shared" si="28"/>
        <v>Jan</v>
      </c>
      <c r="E584" s="7"/>
      <c r="F584" s="7"/>
      <c r="G584" s="120"/>
      <c r="H584" s="120"/>
      <c r="I584" s="124"/>
      <c r="J584" s="124"/>
      <c r="K584" s="115"/>
      <c r="L584" s="115"/>
      <c r="M584" s="8"/>
      <c r="N584" s="8" t="str">
        <f t="shared" si="29"/>
        <v>-</v>
      </c>
      <c r="O584" s="126"/>
      <c r="P584" s="127"/>
      <c r="Q584" s="127"/>
      <c r="R584" s="126"/>
      <c r="S584" s="127"/>
      <c r="T584" s="8"/>
      <c r="U584" s="158"/>
      <c r="V584" s="7"/>
      <c r="W584" s="7"/>
      <c r="X584" s="146"/>
      <c r="Y584" s="7"/>
      <c r="Z584" s="7"/>
      <c r="AA584" s="7" t="str">
        <f>IFERROR((VLOOKUP(F584,#REF!,2,FALSE)),"-")</f>
        <v>-</v>
      </c>
      <c r="AB584" s="119" t="e">
        <f>CONCATENATE(F584," - ",I584," - ",#REF!,)</f>
        <v>#REF!</v>
      </c>
    </row>
    <row r="585" spans="1:28" s="116" customFormat="1" ht="15">
      <c r="A585" s="114"/>
      <c r="B585" s="120"/>
      <c r="C585" s="129" t="str">
        <f t="shared" si="27"/>
        <v>week-0</v>
      </c>
      <c r="D585" s="120" t="str">
        <f t="shared" si="28"/>
        <v>Jan</v>
      </c>
      <c r="E585" s="7"/>
      <c r="F585" s="7"/>
      <c r="G585" s="120"/>
      <c r="H585" s="120"/>
      <c r="I585" s="124"/>
      <c r="J585" s="124"/>
      <c r="K585" s="115"/>
      <c r="L585" s="115"/>
      <c r="M585" s="8"/>
      <c r="N585" s="8" t="str">
        <f t="shared" si="29"/>
        <v>-</v>
      </c>
      <c r="O585" s="126"/>
      <c r="P585" s="127"/>
      <c r="Q585" s="127"/>
      <c r="R585" s="126"/>
      <c r="S585" s="127"/>
      <c r="T585" s="8"/>
      <c r="U585" s="158"/>
      <c r="V585" s="7"/>
      <c r="W585" s="7"/>
      <c r="X585" s="146"/>
      <c r="Y585" s="7"/>
      <c r="Z585" s="7"/>
      <c r="AA585" s="7" t="str">
        <f>IFERROR((VLOOKUP(F585,#REF!,2,FALSE)),"-")</f>
        <v>-</v>
      </c>
      <c r="AB585" s="119" t="e">
        <f>CONCATENATE(F585," - ",I585," - ",#REF!,)</f>
        <v>#REF!</v>
      </c>
    </row>
    <row r="586" spans="1:28" s="116" customFormat="1" ht="15">
      <c r="A586" s="114"/>
      <c r="B586" s="120"/>
      <c r="C586" s="129" t="str">
        <f t="shared" si="27"/>
        <v>week-0</v>
      </c>
      <c r="D586" s="120" t="str">
        <f t="shared" si="28"/>
        <v>Jan</v>
      </c>
      <c r="E586" s="7"/>
      <c r="F586" s="7"/>
      <c r="G586" s="120"/>
      <c r="H586" s="120"/>
      <c r="I586" s="118"/>
      <c r="J586" s="118"/>
      <c r="K586" s="115"/>
      <c r="L586" s="115"/>
      <c r="M586" s="8"/>
      <c r="N586" s="8" t="str">
        <f t="shared" si="29"/>
        <v>-</v>
      </c>
      <c r="O586" s="127"/>
      <c r="P586" s="127"/>
      <c r="Q586" s="127"/>
      <c r="R586" s="127"/>
      <c r="S586" s="127"/>
      <c r="T586" s="139"/>
      <c r="U586" s="158"/>
      <c r="V586" s="7"/>
      <c r="W586" s="7"/>
      <c r="X586" s="146"/>
      <c r="Y586" s="7"/>
      <c r="Z586" s="7"/>
      <c r="AA586" s="7" t="str">
        <f>IFERROR((VLOOKUP(F586,#REF!,2,FALSE)),"-")</f>
        <v>-</v>
      </c>
      <c r="AB586" s="119" t="e">
        <f>CONCATENATE(F586," - ",I586," - ",#REF!,)</f>
        <v>#REF!</v>
      </c>
    </row>
    <row r="587" spans="1:28" s="116" customFormat="1" ht="15">
      <c r="A587" s="114"/>
      <c r="B587" s="120"/>
      <c r="C587" s="129" t="str">
        <f t="shared" si="27"/>
        <v>week-0</v>
      </c>
      <c r="D587" s="120" t="str">
        <f t="shared" si="28"/>
        <v>Jan</v>
      </c>
      <c r="E587" s="7"/>
      <c r="F587" s="7"/>
      <c r="G587" s="120"/>
      <c r="H587" s="120"/>
      <c r="I587" s="118"/>
      <c r="J587" s="118"/>
      <c r="K587" s="115"/>
      <c r="L587" s="115"/>
      <c r="M587" s="8"/>
      <c r="N587" s="8" t="str">
        <f t="shared" si="29"/>
        <v>-</v>
      </c>
      <c r="O587" s="126"/>
      <c r="P587" s="127"/>
      <c r="Q587" s="127"/>
      <c r="R587" s="126"/>
      <c r="S587" s="127"/>
      <c r="T587" s="8"/>
      <c r="U587" s="158"/>
      <c r="V587" s="7"/>
      <c r="W587" s="7"/>
      <c r="X587" s="146"/>
      <c r="Y587" s="7"/>
      <c r="Z587" s="7"/>
      <c r="AA587" s="7" t="str">
        <f>IFERROR((VLOOKUP(F587,#REF!,2,FALSE)),"-")</f>
        <v>-</v>
      </c>
      <c r="AB587" s="119" t="e">
        <f>CONCATENATE(F587," - ",I587," - ",#REF!,)</f>
        <v>#REF!</v>
      </c>
    </row>
    <row r="588" spans="1:28" s="116" customFormat="1" ht="15">
      <c r="A588" s="114"/>
      <c r="B588" s="120"/>
      <c r="C588" s="129" t="str">
        <f t="shared" si="27"/>
        <v>week-0</v>
      </c>
      <c r="D588" s="120" t="str">
        <f t="shared" si="28"/>
        <v>Jan</v>
      </c>
      <c r="E588" s="7"/>
      <c r="F588" s="7"/>
      <c r="G588" s="120"/>
      <c r="H588" s="120"/>
      <c r="I588" s="124"/>
      <c r="J588" s="124"/>
      <c r="K588" s="115"/>
      <c r="L588" s="115"/>
      <c r="M588" s="8"/>
      <c r="N588" s="8" t="str">
        <f t="shared" si="29"/>
        <v>-</v>
      </c>
      <c r="O588" s="126"/>
      <c r="P588" s="127"/>
      <c r="Q588" s="127"/>
      <c r="R588" s="126"/>
      <c r="S588" s="127"/>
      <c r="T588" s="8"/>
      <c r="U588" s="158"/>
      <c r="V588" s="7"/>
      <c r="W588" s="7"/>
      <c r="X588" s="146"/>
      <c r="Y588" s="7"/>
      <c r="Z588" s="7"/>
      <c r="AA588" s="7" t="str">
        <f>IFERROR((VLOOKUP(F588,#REF!,2,FALSE)),"-")</f>
        <v>-</v>
      </c>
      <c r="AB588" s="119" t="e">
        <f>CONCATENATE(F588," - ",I588," - ",#REF!,)</f>
        <v>#REF!</v>
      </c>
    </row>
    <row r="589" spans="1:28" s="116" customFormat="1" ht="15">
      <c r="A589" s="114"/>
      <c r="B589" s="120"/>
      <c r="C589" s="129" t="str">
        <f t="shared" si="27"/>
        <v>week-0</v>
      </c>
      <c r="D589" s="120" t="str">
        <f t="shared" si="28"/>
        <v>Jan</v>
      </c>
      <c r="E589" s="7"/>
      <c r="F589" s="7"/>
      <c r="G589" s="120"/>
      <c r="H589" s="120"/>
      <c r="I589" s="118"/>
      <c r="J589" s="118"/>
      <c r="K589" s="115"/>
      <c r="L589" s="115"/>
      <c r="M589" s="8"/>
      <c r="N589" s="8" t="str">
        <f t="shared" si="29"/>
        <v>-</v>
      </c>
      <c r="O589" s="126"/>
      <c r="P589" s="127"/>
      <c r="Q589" s="127"/>
      <c r="R589" s="126"/>
      <c r="S589" s="127"/>
      <c r="T589" s="8"/>
      <c r="U589" s="158"/>
      <c r="V589" s="7"/>
      <c r="W589" s="7"/>
      <c r="X589" s="146"/>
      <c r="Y589" s="7"/>
      <c r="Z589" s="7"/>
      <c r="AA589" s="7" t="str">
        <f>IFERROR((VLOOKUP(F589,#REF!,2,FALSE)),"-")</f>
        <v>-</v>
      </c>
      <c r="AB589" s="119" t="e">
        <f>CONCATENATE(F589," - ",I589," - ",#REF!,)</f>
        <v>#REF!</v>
      </c>
    </row>
    <row r="590" spans="1:28" s="116" customFormat="1" ht="15">
      <c r="A590" s="114"/>
      <c r="B590" s="120"/>
      <c r="C590" s="129" t="str">
        <f t="shared" si="27"/>
        <v>week-0</v>
      </c>
      <c r="D590" s="120" t="str">
        <f t="shared" si="28"/>
        <v>Jan</v>
      </c>
      <c r="E590" s="7"/>
      <c r="F590" s="7"/>
      <c r="G590" s="120"/>
      <c r="H590" s="120"/>
      <c r="I590" s="118"/>
      <c r="J590" s="118"/>
      <c r="K590" s="115"/>
      <c r="L590" s="115"/>
      <c r="M590" s="8"/>
      <c r="N590" s="8" t="str">
        <f t="shared" si="29"/>
        <v>-</v>
      </c>
      <c r="O590" s="126"/>
      <c r="P590" s="127"/>
      <c r="Q590" s="127"/>
      <c r="R590" s="126"/>
      <c r="S590" s="127"/>
      <c r="T590" s="8"/>
      <c r="U590" s="158"/>
      <c r="V590" s="7"/>
      <c r="W590" s="7"/>
      <c r="X590" s="146"/>
      <c r="Y590" s="7"/>
      <c r="Z590" s="7"/>
      <c r="AA590" s="7" t="str">
        <f>IFERROR((VLOOKUP(F590,#REF!,2,FALSE)),"-")</f>
        <v>-</v>
      </c>
      <c r="AB590" s="119" t="e">
        <f>CONCATENATE(F590," - ",I590," - ",#REF!,)</f>
        <v>#REF!</v>
      </c>
    </row>
    <row r="591" spans="1:28" s="116" customFormat="1" ht="15">
      <c r="A591" s="114"/>
      <c r="B591" s="120"/>
      <c r="C591" s="129" t="str">
        <f t="shared" si="27"/>
        <v>week-0</v>
      </c>
      <c r="D591" s="120" t="str">
        <f t="shared" si="28"/>
        <v>Jan</v>
      </c>
      <c r="E591" s="7"/>
      <c r="F591" s="7"/>
      <c r="G591" s="120"/>
      <c r="H591" s="120"/>
      <c r="I591" s="118"/>
      <c r="J591" s="118"/>
      <c r="K591" s="115"/>
      <c r="L591" s="115"/>
      <c r="M591" s="8"/>
      <c r="N591" s="8" t="str">
        <f t="shared" si="29"/>
        <v>-</v>
      </c>
      <c r="O591" s="126"/>
      <c r="P591" s="127"/>
      <c r="Q591" s="127"/>
      <c r="R591" s="126"/>
      <c r="S591" s="127"/>
      <c r="T591" s="8"/>
      <c r="U591" s="158"/>
      <c r="V591" s="7"/>
      <c r="W591" s="7"/>
      <c r="X591" s="146"/>
      <c r="Y591" s="7"/>
      <c r="Z591" s="7"/>
      <c r="AA591" s="7" t="str">
        <f>IFERROR((VLOOKUP(F591,#REF!,2,FALSE)),"-")</f>
        <v>-</v>
      </c>
      <c r="AB591" s="119" t="e">
        <f>CONCATENATE(F591," - ",I591," - ",#REF!,)</f>
        <v>#REF!</v>
      </c>
    </row>
    <row r="592" spans="1:28" s="116" customFormat="1" ht="15">
      <c r="A592" s="114"/>
      <c r="B592" s="120"/>
      <c r="C592" s="129" t="str">
        <f t="shared" si="27"/>
        <v>week-0</v>
      </c>
      <c r="D592" s="120" t="str">
        <f t="shared" si="28"/>
        <v>Jan</v>
      </c>
      <c r="E592" s="7"/>
      <c r="F592" s="7"/>
      <c r="G592" s="120"/>
      <c r="H592" s="120"/>
      <c r="I592" s="124"/>
      <c r="J592" s="124"/>
      <c r="K592" s="115"/>
      <c r="L592" s="115"/>
      <c r="M592" s="8"/>
      <c r="N592" s="8" t="str">
        <f t="shared" si="29"/>
        <v>-</v>
      </c>
      <c r="O592" s="126"/>
      <c r="P592" s="127"/>
      <c r="Q592" s="127"/>
      <c r="R592" s="126"/>
      <c r="S592" s="127"/>
      <c r="T592" s="8"/>
      <c r="U592" s="158"/>
      <c r="V592" s="7"/>
      <c r="W592" s="7"/>
      <c r="X592" s="146"/>
      <c r="Y592" s="7"/>
      <c r="Z592" s="7"/>
      <c r="AA592" s="7" t="str">
        <f>IFERROR((VLOOKUP(F592,#REF!,2,FALSE)),"-")</f>
        <v>-</v>
      </c>
      <c r="AB592" s="119" t="e">
        <f>CONCATENATE(F592," - ",I592," - ",#REF!,)</f>
        <v>#REF!</v>
      </c>
    </row>
    <row r="593" spans="1:28" s="116" customFormat="1" ht="15">
      <c r="A593" s="114"/>
      <c r="B593" s="120"/>
      <c r="C593" s="129" t="str">
        <f t="shared" si="27"/>
        <v>week-0</v>
      </c>
      <c r="D593" s="120" t="str">
        <f t="shared" si="28"/>
        <v>Jan</v>
      </c>
      <c r="E593" s="7"/>
      <c r="F593" s="7"/>
      <c r="G593" s="120"/>
      <c r="H593" s="120"/>
      <c r="I593" s="118"/>
      <c r="J593" s="118"/>
      <c r="K593" s="115"/>
      <c r="L593" s="115"/>
      <c r="M593" s="8"/>
      <c r="N593" s="8" t="str">
        <f t="shared" si="29"/>
        <v>-</v>
      </c>
      <c r="O593" s="126"/>
      <c r="P593" s="127"/>
      <c r="Q593" s="127"/>
      <c r="R593" s="126"/>
      <c r="S593" s="127"/>
      <c r="T593" s="8"/>
      <c r="U593" s="158"/>
      <c r="V593" s="7"/>
      <c r="W593" s="7"/>
      <c r="X593" s="146"/>
      <c r="Y593" s="7"/>
      <c r="Z593" s="7"/>
      <c r="AA593" s="7" t="str">
        <f>IFERROR((VLOOKUP(F593,#REF!,2,FALSE)),"-")</f>
        <v>-</v>
      </c>
      <c r="AB593" s="119" t="e">
        <f>CONCATENATE(F593," - ",I593," - ",#REF!,)</f>
        <v>#REF!</v>
      </c>
    </row>
    <row r="594" spans="1:28" s="116" customFormat="1" ht="15">
      <c r="A594" s="114"/>
      <c r="B594" s="120"/>
      <c r="C594" s="129" t="str">
        <f t="shared" si="27"/>
        <v>week-0</v>
      </c>
      <c r="D594" s="120" t="str">
        <f t="shared" si="28"/>
        <v>Jan</v>
      </c>
      <c r="E594" s="7"/>
      <c r="F594" s="7"/>
      <c r="G594" s="120"/>
      <c r="H594" s="120"/>
      <c r="I594" s="118"/>
      <c r="J594" s="118"/>
      <c r="K594" s="115"/>
      <c r="L594" s="115"/>
      <c r="M594" s="8"/>
      <c r="N594" s="8" t="str">
        <f t="shared" si="29"/>
        <v>-</v>
      </c>
      <c r="O594" s="126"/>
      <c r="P594" s="127"/>
      <c r="Q594" s="127"/>
      <c r="R594" s="126"/>
      <c r="S594" s="127"/>
      <c r="T594" s="8"/>
      <c r="U594" s="158"/>
      <c r="V594" s="7"/>
      <c r="W594" s="7"/>
      <c r="X594" s="146"/>
      <c r="Y594" s="7"/>
      <c r="Z594" s="7"/>
      <c r="AA594" s="7" t="str">
        <f>IFERROR((VLOOKUP(F594,#REF!,2,FALSE)),"-")</f>
        <v>-</v>
      </c>
      <c r="AB594" s="119" t="e">
        <f>CONCATENATE(F594," - ",I594," - ",#REF!,)</f>
        <v>#REF!</v>
      </c>
    </row>
    <row r="595" spans="1:28" s="116" customFormat="1" ht="15">
      <c r="A595" s="114"/>
      <c r="B595" s="120"/>
      <c r="C595" s="129" t="str">
        <f t="shared" si="27"/>
        <v>week-0</v>
      </c>
      <c r="D595" s="120" t="str">
        <f t="shared" si="28"/>
        <v>Jan</v>
      </c>
      <c r="E595" s="7"/>
      <c r="F595" s="7"/>
      <c r="G595" s="120"/>
      <c r="H595" s="120"/>
      <c r="I595" s="124"/>
      <c r="J595" s="124"/>
      <c r="K595" s="115"/>
      <c r="L595" s="115"/>
      <c r="M595" s="8"/>
      <c r="N595" s="8" t="str">
        <f t="shared" si="29"/>
        <v>-</v>
      </c>
      <c r="O595" s="126"/>
      <c r="P595" s="127"/>
      <c r="Q595" s="127"/>
      <c r="R595" s="126"/>
      <c r="S595" s="127"/>
      <c r="T595" s="8"/>
      <c r="U595" s="158"/>
      <c r="V595" s="7"/>
      <c r="W595" s="7"/>
      <c r="X595" s="146"/>
      <c r="Y595" s="7"/>
      <c r="Z595" s="7"/>
      <c r="AA595" s="7" t="str">
        <f>IFERROR((VLOOKUP(F595,#REF!,2,FALSE)),"-")</f>
        <v>-</v>
      </c>
      <c r="AB595" s="119" t="e">
        <f>CONCATENATE(F595," - ",I595," - ",#REF!,)</f>
        <v>#REF!</v>
      </c>
    </row>
    <row r="596" spans="1:28" s="116" customFormat="1" ht="15">
      <c r="A596" s="114"/>
      <c r="B596" s="120"/>
      <c r="C596" s="129" t="str">
        <f t="shared" si="27"/>
        <v>week-0</v>
      </c>
      <c r="D596" s="120" t="str">
        <f t="shared" si="28"/>
        <v>Jan</v>
      </c>
      <c r="E596" s="7"/>
      <c r="F596" s="7"/>
      <c r="G596" s="120"/>
      <c r="H596" s="120"/>
      <c r="I596" s="118"/>
      <c r="J596" s="118"/>
      <c r="K596" s="115"/>
      <c r="L596" s="115"/>
      <c r="M596" s="8"/>
      <c r="N596" s="8" t="str">
        <f t="shared" si="29"/>
        <v>-</v>
      </c>
      <c r="O596" s="126"/>
      <c r="P596" s="127"/>
      <c r="Q596" s="127"/>
      <c r="R596" s="126"/>
      <c r="S596" s="127"/>
      <c r="T596" s="8"/>
      <c r="U596" s="158"/>
      <c r="V596" s="7"/>
      <c r="W596" s="7"/>
      <c r="X596" s="146"/>
      <c r="Y596" s="7"/>
      <c r="Z596" s="7"/>
      <c r="AA596" s="7" t="str">
        <f>IFERROR((VLOOKUP(F596,#REF!,2,FALSE)),"-")</f>
        <v>-</v>
      </c>
      <c r="AB596" s="119" t="e">
        <f>CONCATENATE(F596," - ",I596," - ",#REF!,)</f>
        <v>#REF!</v>
      </c>
    </row>
    <row r="597" spans="1:28" s="116" customFormat="1" ht="15">
      <c r="A597" s="114"/>
      <c r="B597" s="120"/>
      <c r="C597" s="129" t="str">
        <f t="shared" si="27"/>
        <v>week-0</v>
      </c>
      <c r="D597" s="120" t="str">
        <f t="shared" si="28"/>
        <v>Jan</v>
      </c>
      <c r="E597" s="7"/>
      <c r="F597" s="7"/>
      <c r="G597" s="120"/>
      <c r="H597" s="120"/>
      <c r="I597" s="118"/>
      <c r="J597" s="118"/>
      <c r="K597" s="115"/>
      <c r="L597" s="115"/>
      <c r="M597" s="8"/>
      <c r="N597" s="8" t="str">
        <f t="shared" si="29"/>
        <v>-</v>
      </c>
      <c r="O597" s="126"/>
      <c r="P597" s="127"/>
      <c r="Q597" s="127"/>
      <c r="R597" s="126"/>
      <c r="S597" s="127"/>
      <c r="T597" s="8"/>
      <c r="U597" s="158"/>
      <c r="V597" s="7"/>
      <c r="W597" s="7"/>
      <c r="X597" s="146"/>
      <c r="Y597" s="7"/>
      <c r="Z597" s="7"/>
      <c r="AA597" s="7" t="str">
        <f>IFERROR((VLOOKUP(F597,#REF!,2,FALSE)),"-")</f>
        <v>-</v>
      </c>
      <c r="AB597" s="119" t="e">
        <f>CONCATENATE(F597," - ",I597," - ",#REF!,)</f>
        <v>#REF!</v>
      </c>
    </row>
    <row r="598" spans="1:28" s="116" customFormat="1" ht="15">
      <c r="A598" s="114"/>
      <c r="B598" s="120"/>
      <c r="C598" s="129" t="str">
        <f t="shared" si="27"/>
        <v>week-0</v>
      </c>
      <c r="D598" s="120" t="str">
        <f t="shared" si="28"/>
        <v>Jan</v>
      </c>
      <c r="E598" s="7"/>
      <c r="F598" s="7"/>
      <c r="G598" s="120"/>
      <c r="H598" s="120"/>
      <c r="I598" s="118"/>
      <c r="J598" s="118"/>
      <c r="K598" s="115"/>
      <c r="L598" s="115"/>
      <c r="M598" s="8"/>
      <c r="N598" s="8" t="str">
        <f t="shared" si="29"/>
        <v>-</v>
      </c>
      <c r="O598" s="126"/>
      <c r="P598" s="127"/>
      <c r="Q598" s="127"/>
      <c r="R598" s="126"/>
      <c r="S598" s="127"/>
      <c r="T598" s="8"/>
      <c r="U598" s="158"/>
      <c r="V598" s="7"/>
      <c r="W598" s="7"/>
      <c r="X598" s="146"/>
      <c r="Y598" s="7"/>
      <c r="Z598" s="7"/>
      <c r="AA598" s="7" t="str">
        <f>IFERROR((VLOOKUP(F598,#REF!,2,FALSE)),"-")</f>
        <v>-</v>
      </c>
      <c r="AB598" s="119" t="e">
        <f>CONCATENATE(F598," - ",I598," - ",#REF!,)</f>
        <v>#REF!</v>
      </c>
    </row>
    <row r="599" spans="1:28" s="116" customFormat="1" ht="15">
      <c r="A599" s="114"/>
      <c r="B599" s="120"/>
      <c r="C599" s="129" t="str">
        <f t="shared" si="27"/>
        <v>week-0</v>
      </c>
      <c r="D599" s="120" t="str">
        <f t="shared" si="28"/>
        <v>Jan</v>
      </c>
      <c r="E599" s="7"/>
      <c r="F599" s="7"/>
      <c r="G599" s="120"/>
      <c r="H599" s="120"/>
      <c r="I599" s="118"/>
      <c r="J599" s="118"/>
      <c r="K599" s="115"/>
      <c r="L599" s="115"/>
      <c r="M599" s="8"/>
      <c r="N599" s="8" t="str">
        <f t="shared" si="29"/>
        <v>-</v>
      </c>
      <c r="O599" s="126"/>
      <c r="P599" s="127"/>
      <c r="Q599" s="127"/>
      <c r="R599" s="126"/>
      <c r="S599" s="127"/>
      <c r="T599" s="8"/>
      <c r="U599" s="158"/>
      <c r="V599" s="7"/>
      <c r="W599" s="7"/>
      <c r="X599" s="146"/>
      <c r="Y599" s="7"/>
      <c r="Z599" s="7"/>
      <c r="AA599" s="7" t="str">
        <f>IFERROR((VLOOKUP(F599,#REF!,2,FALSE)),"-")</f>
        <v>-</v>
      </c>
      <c r="AB599" s="119" t="e">
        <f>CONCATENATE(F599," - ",I599," - ",#REF!,)</f>
        <v>#REF!</v>
      </c>
    </row>
    <row r="600" spans="1:28" s="116" customFormat="1" ht="15">
      <c r="A600" s="114"/>
      <c r="B600" s="120"/>
      <c r="C600" s="129" t="str">
        <f t="shared" si="27"/>
        <v>week-0</v>
      </c>
      <c r="D600" s="120" t="str">
        <f t="shared" si="28"/>
        <v>Jan</v>
      </c>
      <c r="E600" s="7"/>
      <c r="F600" s="7"/>
      <c r="G600" s="120"/>
      <c r="H600" s="120"/>
      <c r="I600" s="124"/>
      <c r="J600" s="124"/>
      <c r="K600" s="115"/>
      <c r="L600" s="115"/>
      <c r="M600" s="8"/>
      <c r="N600" s="8" t="str">
        <f t="shared" si="29"/>
        <v>-</v>
      </c>
      <c r="O600" s="126"/>
      <c r="P600" s="127"/>
      <c r="Q600" s="127"/>
      <c r="R600" s="126"/>
      <c r="S600" s="127"/>
      <c r="T600" s="8"/>
      <c r="U600" s="158"/>
      <c r="V600" s="7"/>
      <c r="W600" s="7"/>
      <c r="X600" s="146"/>
      <c r="Y600" s="7"/>
      <c r="Z600" s="7"/>
      <c r="AA600" s="7" t="str">
        <f>IFERROR((VLOOKUP(F600,#REF!,2,FALSE)),"-")</f>
        <v>-</v>
      </c>
      <c r="AB600" s="119" t="e">
        <f>CONCATENATE(F600," - ",I600," - ",#REF!,)</f>
        <v>#REF!</v>
      </c>
    </row>
    <row r="601" spans="1:28" s="116" customFormat="1" ht="15">
      <c r="A601" s="114"/>
      <c r="B601" s="120"/>
      <c r="C601" s="129" t="str">
        <f t="shared" si="27"/>
        <v>week-0</v>
      </c>
      <c r="D601" s="120" t="str">
        <f t="shared" si="28"/>
        <v>Jan</v>
      </c>
      <c r="E601" s="7"/>
      <c r="F601" s="7"/>
      <c r="G601" s="120"/>
      <c r="H601" s="120"/>
      <c r="I601" s="124"/>
      <c r="J601" s="124"/>
      <c r="K601" s="115"/>
      <c r="L601" s="115"/>
      <c r="M601" s="8"/>
      <c r="N601" s="8" t="str">
        <f t="shared" si="29"/>
        <v>-</v>
      </c>
      <c r="O601" s="126"/>
      <c r="P601" s="127"/>
      <c r="Q601" s="127"/>
      <c r="R601" s="126"/>
      <c r="S601" s="127"/>
      <c r="T601" s="8"/>
      <c r="U601" s="158"/>
      <c r="V601" s="7"/>
      <c r="W601" s="7"/>
      <c r="X601" s="146"/>
      <c r="Y601" s="7"/>
      <c r="Z601" s="7"/>
      <c r="AA601" s="7" t="str">
        <f>IFERROR((VLOOKUP(F601,#REF!,2,FALSE)),"-")</f>
        <v>-</v>
      </c>
      <c r="AB601" s="119" t="e">
        <f>CONCATENATE(F601," - ",I601," - ",#REF!,)</f>
        <v>#REF!</v>
      </c>
    </row>
    <row r="602" spans="1:28" s="116" customFormat="1" ht="15">
      <c r="A602" s="114"/>
      <c r="B602" s="120"/>
      <c r="C602" s="129" t="str">
        <f t="shared" si="27"/>
        <v>week-0</v>
      </c>
      <c r="D602" s="120" t="str">
        <f t="shared" si="28"/>
        <v>Jan</v>
      </c>
      <c r="E602" s="7"/>
      <c r="F602" s="7"/>
      <c r="G602" s="120"/>
      <c r="H602" s="120"/>
      <c r="I602" s="124"/>
      <c r="J602" s="124"/>
      <c r="K602" s="115"/>
      <c r="L602" s="115"/>
      <c r="M602" s="8"/>
      <c r="N602" s="8" t="str">
        <f t="shared" si="29"/>
        <v>-</v>
      </c>
      <c r="O602" s="126"/>
      <c r="P602" s="127"/>
      <c r="Q602" s="127"/>
      <c r="R602" s="126"/>
      <c r="S602" s="127"/>
      <c r="T602" s="8"/>
      <c r="U602" s="158"/>
      <c r="V602" s="7"/>
      <c r="W602" s="7"/>
      <c r="X602" s="146"/>
      <c r="Y602" s="7"/>
      <c r="Z602" s="7"/>
      <c r="AA602" s="7" t="str">
        <f>IFERROR((VLOOKUP(F602,#REF!,2,FALSE)),"-")</f>
        <v>-</v>
      </c>
      <c r="AB602" s="119" t="e">
        <f>CONCATENATE(F602," - ",I602," - ",#REF!,)</f>
        <v>#REF!</v>
      </c>
    </row>
    <row r="603" spans="1:28" s="116" customFormat="1" ht="15">
      <c r="A603" s="114"/>
      <c r="B603" s="120"/>
      <c r="C603" s="129" t="str">
        <f t="shared" si="27"/>
        <v>week-0</v>
      </c>
      <c r="D603" s="120" t="str">
        <f t="shared" si="28"/>
        <v>Jan</v>
      </c>
      <c r="E603" s="7"/>
      <c r="F603" s="7"/>
      <c r="G603" s="120"/>
      <c r="H603" s="120"/>
      <c r="I603" s="118"/>
      <c r="J603" s="118"/>
      <c r="K603" s="115"/>
      <c r="L603" s="115"/>
      <c r="M603" s="8"/>
      <c r="N603" s="8" t="str">
        <f t="shared" si="29"/>
        <v>-</v>
      </c>
      <c r="O603" s="126"/>
      <c r="P603" s="127"/>
      <c r="Q603" s="127"/>
      <c r="R603" s="126"/>
      <c r="S603" s="127"/>
      <c r="T603" s="8"/>
      <c r="U603" s="158"/>
      <c r="V603" s="7"/>
      <c r="W603" s="7"/>
      <c r="X603" s="146"/>
      <c r="Y603" s="7"/>
      <c r="Z603" s="7"/>
      <c r="AA603" s="7" t="str">
        <f>IFERROR((VLOOKUP(F603,#REF!,2,FALSE)),"-")</f>
        <v>-</v>
      </c>
      <c r="AB603" s="119" t="e">
        <f>CONCATENATE(F603," - ",I603," - ",#REF!,)</f>
        <v>#REF!</v>
      </c>
    </row>
    <row r="604" spans="1:28" s="116" customFormat="1" ht="15">
      <c r="A604" s="114"/>
      <c r="B604" s="120"/>
      <c r="C604" s="129" t="str">
        <f t="shared" si="27"/>
        <v>week-0</v>
      </c>
      <c r="D604" s="120" t="str">
        <f t="shared" si="28"/>
        <v>Jan</v>
      </c>
      <c r="E604" s="7"/>
      <c r="F604" s="7"/>
      <c r="G604" s="120"/>
      <c r="H604" s="120"/>
      <c r="I604" s="124"/>
      <c r="J604" s="124"/>
      <c r="K604" s="115"/>
      <c r="L604" s="115"/>
      <c r="M604" s="8"/>
      <c r="N604" s="8" t="str">
        <f t="shared" si="29"/>
        <v>-</v>
      </c>
      <c r="O604" s="126"/>
      <c r="P604" s="127"/>
      <c r="Q604" s="127"/>
      <c r="R604" s="126"/>
      <c r="S604" s="127"/>
      <c r="T604" s="8"/>
      <c r="U604" s="158"/>
      <c r="V604" s="7"/>
      <c r="W604" s="7"/>
      <c r="X604" s="146"/>
      <c r="Y604" s="7"/>
      <c r="Z604" s="7"/>
      <c r="AA604" s="7" t="str">
        <f>IFERROR((VLOOKUP(F604,#REF!,2,FALSE)),"-")</f>
        <v>-</v>
      </c>
      <c r="AB604" s="119" t="e">
        <f>CONCATENATE(F604," - ",I604," - ",#REF!,)</f>
        <v>#REF!</v>
      </c>
    </row>
    <row r="605" spans="1:28" s="116" customFormat="1" ht="15">
      <c r="A605" s="114"/>
      <c r="B605" s="120"/>
      <c r="C605" s="129" t="str">
        <f t="shared" si="27"/>
        <v>week-0</v>
      </c>
      <c r="D605" s="120" t="str">
        <f t="shared" si="28"/>
        <v>Jan</v>
      </c>
      <c r="E605" s="7"/>
      <c r="F605" s="7"/>
      <c r="G605" s="120"/>
      <c r="H605" s="120"/>
      <c r="I605" s="124"/>
      <c r="J605" s="124"/>
      <c r="K605" s="115"/>
      <c r="L605" s="115"/>
      <c r="M605" s="8"/>
      <c r="N605" s="8" t="str">
        <f t="shared" si="29"/>
        <v>-</v>
      </c>
      <c r="O605" s="126"/>
      <c r="P605" s="127"/>
      <c r="Q605" s="127"/>
      <c r="R605" s="126"/>
      <c r="S605" s="127"/>
      <c r="T605" s="8"/>
      <c r="U605" s="158"/>
      <c r="V605" s="7"/>
      <c r="W605" s="7"/>
      <c r="X605" s="146"/>
      <c r="Y605" s="7"/>
      <c r="Z605" s="7"/>
      <c r="AA605" s="7" t="str">
        <f>IFERROR((VLOOKUP(F605,#REF!,2,FALSE)),"-")</f>
        <v>-</v>
      </c>
      <c r="AB605" s="119" t="e">
        <f>CONCATENATE(F605," - ",I605," - ",#REF!,)</f>
        <v>#REF!</v>
      </c>
    </row>
    <row r="606" spans="1:28" s="116" customFormat="1" ht="15">
      <c r="A606" s="114"/>
      <c r="B606" s="120"/>
      <c r="C606" s="129" t="str">
        <f t="shared" si="27"/>
        <v>week-0</v>
      </c>
      <c r="D606" s="120" t="str">
        <f t="shared" si="28"/>
        <v>Jan</v>
      </c>
      <c r="E606" s="7"/>
      <c r="F606" s="7"/>
      <c r="G606" s="120"/>
      <c r="H606" s="120"/>
      <c r="I606" s="118"/>
      <c r="J606" s="118"/>
      <c r="K606" s="115"/>
      <c r="L606" s="115"/>
      <c r="M606" s="8"/>
      <c r="N606" s="8" t="str">
        <f t="shared" si="29"/>
        <v>-</v>
      </c>
      <c r="O606" s="126"/>
      <c r="P606" s="127"/>
      <c r="Q606" s="127"/>
      <c r="R606" s="126"/>
      <c r="S606" s="127"/>
      <c r="T606" s="8"/>
      <c r="U606" s="158"/>
      <c r="V606" s="7"/>
      <c r="W606" s="7"/>
      <c r="X606" s="146"/>
      <c r="Y606" s="7"/>
      <c r="Z606" s="7"/>
      <c r="AA606" s="7" t="str">
        <f>IFERROR((VLOOKUP(F606,#REF!,2,FALSE)),"-")</f>
        <v>-</v>
      </c>
      <c r="AB606" s="119" t="e">
        <f>CONCATENATE(F606," - ",I606," - ",#REF!,)</f>
        <v>#REF!</v>
      </c>
    </row>
    <row r="607" spans="1:28" s="116" customFormat="1" ht="15">
      <c r="A607" s="114"/>
      <c r="B607" s="120"/>
      <c r="C607" s="129" t="str">
        <f t="shared" si="27"/>
        <v>week-0</v>
      </c>
      <c r="D607" s="120" t="str">
        <f t="shared" si="28"/>
        <v>Jan</v>
      </c>
      <c r="E607" s="7"/>
      <c r="F607" s="7"/>
      <c r="G607" s="120"/>
      <c r="H607" s="120"/>
      <c r="I607" s="118"/>
      <c r="J607" s="118"/>
      <c r="K607" s="115"/>
      <c r="L607" s="115"/>
      <c r="M607" s="8"/>
      <c r="N607" s="8" t="str">
        <f t="shared" si="29"/>
        <v>-</v>
      </c>
      <c r="O607" s="126"/>
      <c r="P607" s="127"/>
      <c r="Q607" s="127"/>
      <c r="R607" s="126"/>
      <c r="S607" s="127"/>
      <c r="T607" s="8"/>
      <c r="U607" s="158"/>
      <c r="V607" s="7"/>
      <c r="W607" s="7"/>
      <c r="X607" s="146"/>
      <c r="Y607" s="7"/>
      <c r="Z607" s="7"/>
      <c r="AA607" s="7" t="str">
        <f>IFERROR((VLOOKUP(F607,#REF!,2,FALSE)),"-")</f>
        <v>-</v>
      </c>
      <c r="AB607" s="119" t="e">
        <f>CONCATENATE(F607," - ",I607," - ",#REF!,)</f>
        <v>#REF!</v>
      </c>
    </row>
    <row r="608" spans="1:28" s="116" customFormat="1" ht="15">
      <c r="A608" s="114"/>
      <c r="B608" s="120"/>
      <c r="C608" s="129" t="str">
        <f t="shared" si="27"/>
        <v>week-0</v>
      </c>
      <c r="D608" s="120" t="str">
        <f t="shared" si="28"/>
        <v>Jan</v>
      </c>
      <c r="E608" s="7"/>
      <c r="F608" s="7"/>
      <c r="G608" s="120"/>
      <c r="H608" s="120"/>
      <c r="I608" s="118"/>
      <c r="J608" s="118"/>
      <c r="K608" s="115"/>
      <c r="L608" s="115"/>
      <c r="M608" s="8"/>
      <c r="N608" s="8" t="str">
        <f t="shared" si="29"/>
        <v>-</v>
      </c>
      <c r="O608" s="126"/>
      <c r="P608" s="127"/>
      <c r="Q608" s="127"/>
      <c r="R608" s="126"/>
      <c r="S608" s="127"/>
      <c r="T608" s="8"/>
      <c r="U608" s="158"/>
      <c r="V608" s="7"/>
      <c r="W608" s="7"/>
      <c r="X608" s="146"/>
      <c r="Y608" s="7"/>
      <c r="Z608" s="7"/>
      <c r="AA608" s="7" t="str">
        <f>IFERROR((VLOOKUP(F608,#REF!,2,FALSE)),"-")</f>
        <v>-</v>
      </c>
      <c r="AB608" s="119" t="e">
        <f>CONCATENATE(F608," - ",I608," - ",#REF!,)</f>
        <v>#REF!</v>
      </c>
    </row>
    <row r="609" spans="1:28" s="116" customFormat="1" ht="15">
      <c r="A609" s="114"/>
      <c r="B609" s="120"/>
      <c r="C609" s="129" t="str">
        <f t="shared" si="27"/>
        <v>week-0</v>
      </c>
      <c r="D609" s="120" t="str">
        <f t="shared" si="28"/>
        <v>Jan</v>
      </c>
      <c r="E609" s="7"/>
      <c r="F609" s="7"/>
      <c r="G609" s="120"/>
      <c r="H609" s="120"/>
      <c r="I609" s="118"/>
      <c r="J609" s="118"/>
      <c r="K609" s="115"/>
      <c r="L609" s="115"/>
      <c r="M609" s="8"/>
      <c r="N609" s="8" t="str">
        <f t="shared" si="29"/>
        <v>-</v>
      </c>
      <c r="O609" s="126"/>
      <c r="P609" s="127"/>
      <c r="Q609" s="127"/>
      <c r="R609" s="126"/>
      <c r="S609" s="127"/>
      <c r="T609" s="8"/>
      <c r="U609" s="158"/>
      <c r="V609" s="7"/>
      <c r="W609" s="7"/>
      <c r="X609" s="146"/>
      <c r="Y609" s="7"/>
      <c r="Z609" s="7"/>
      <c r="AA609" s="7" t="str">
        <f>IFERROR((VLOOKUP(F609,#REF!,2,FALSE)),"-")</f>
        <v>-</v>
      </c>
      <c r="AB609" s="119" t="e">
        <f>CONCATENATE(F609," - ",I609," - ",#REF!,)</f>
        <v>#REF!</v>
      </c>
    </row>
    <row r="610" spans="1:28" s="116" customFormat="1" ht="15">
      <c r="A610" s="114"/>
      <c r="B610" s="120"/>
      <c r="C610" s="129" t="str">
        <f t="shared" si="27"/>
        <v>week-0</v>
      </c>
      <c r="D610" s="120" t="str">
        <f t="shared" si="28"/>
        <v>Jan</v>
      </c>
      <c r="E610" s="7"/>
      <c r="F610" s="7"/>
      <c r="G610" s="120"/>
      <c r="H610" s="120"/>
      <c r="I610" s="118"/>
      <c r="J610" s="118"/>
      <c r="K610" s="115"/>
      <c r="L610" s="115"/>
      <c r="M610" s="8"/>
      <c r="N610" s="8" t="str">
        <f t="shared" si="29"/>
        <v>-</v>
      </c>
      <c r="O610" s="126"/>
      <c r="P610" s="127"/>
      <c r="Q610" s="127"/>
      <c r="R610" s="126"/>
      <c r="S610" s="127"/>
      <c r="T610" s="8"/>
      <c r="U610" s="158"/>
      <c r="V610" s="7"/>
      <c r="W610" s="7"/>
      <c r="X610" s="146"/>
      <c r="Y610" s="7"/>
      <c r="Z610" s="7"/>
      <c r="AA610" s="7" t="str">
        <f>IFERROR((VLOOKUP(F610,#REF!,2,FALSE)),"-")</f>
        <v>-</v>
      </c>
      <c r="AB610" s="119" t="e">
        <f>CONCATENATE(F610," - ",I610," - ",#REF!,)</f>
        <v>#REF!</v>
      </c>
    </row>
    <row r="611" spans="1:28" s="116" customFormat="1" ht="15">
      <c r="A611" s="114"/>
      <c r="B611" s="120"/>
      <c r="C611" s="129" t="str">
        <f t="shared" si="27"/>
        <v>week-0</v>
      </c>
      <c r="D611" s="120" t="str">
        <f t="shared" si="28"/>
        <v>Jan</v>
      </c>
      <c r="E611" s="7"/>
      <c r="F611" s="7"/>
      <c r="G611" s="120"/>
      <c r="H611" s="120"/>
      <c r="I611" s="118"/>
      <c r="J611" s="118"/>
      <c r="K611" s="115"/>
      <c r="L611" s="115"/>
      <c r="M611" s="8"/>
      <c r="N611" s="8" t="str">
        <f t="shared" si="29"/>
        <v>-</v>
      </c>
      <c r="O611" s="126"/>
      <c r="P611" s="127"/>
      <c r="Q611" s="127"/>
      <c r="R611" s="126"/>
      <c r="S611" s="127"/>
      <c r="T611" s="8"/>
      <c r="U611" s="158"/>
      <c r="V611" s="7"/>
      <c r="W611" s="7"/>
      <c r="X611" s="146"/>
      <c r="Y611" s="7"/>
      <c r="Z611" s="7"/>
      <c r="AA611" s="7" t="str">
        <f>IFERROR((VLOOKUP(F611,#REF!,2,FALSE)),"-")</f>
        <v>-</v>
      </c>
      <c r="AB611" s="119" t="e">
        <f>CONCATENATE(F611," - ",I611," - ",#REF!,)</f>
        <v>#REF!</v>
      </c>
    </row>
    <row r="612" spans="1:28" s="116" customFormat="1" ht="15">
      <c r="A612" s="114"/>
      <c r="B612" s="120"/>
      <c r="C612" s="129" t="str">
        <f t="shared" si="27"/>
        <v>week-0</v>
      </c>
      <c r="D612" s="120" t="str">
        <f t="shared" si="28"/>
        <v>Jan</v>
      </c>
      <c r="E612" s="7"/>
      <c r="F612" s="7"/>
      <c r="G612" s="120"/>
      <c r="H612" s="120"/>
      <c r="I612" s="118"/>
      <c r="J612" s="118"/>
      <c r="K612" s="115"/>
      <c r="L612" s="115"/>
      <c r="M612" s="8"/>
      <c r="N612" s="8" t="str">
        <f t="shared" si="29"/>
        <v>-</v>
      </c>
      <c r="O612" s="126"/>
      <c r="P612" s="127"/>
      <c r="Q612" s="127"/>
      <c r="R612" s="126"/>
      <c r="S612" s="127"/>
      <c r="T612" s="8"/>
      <c r="U612" s="158"/>
      <c r="V612" s="7"/>
      <c r="W612" s="7"/>
      <c r="X612" s="146"/>
      <c r="Y612" s="7"/>
      <c r="Z612" s="7"/>
      <c r="AA612" s="7" t="str">
        <f>IFERROR((VLOOKUP(F612,#REF!,2,FALSE)),"-")</f>
        <v>-</v>
      </c>
      <c r="AB612" s="119" t="e">
        <f>CONCATENATE(F612," - ",I612," - ",#REF!,)</f>
        <v>#REF!</v>
      </c>
    </row>
    <row r="613" spans="1:28" s="116" customFormat="1" ht="15">
      <c r="A613" s="114"/>
      <c r="B613" s="120"/>
      <c r="C613" s="129" t="str">
        <f t="shared" si="27"/>
        <v>week-0</v>
      </c>
      <c r="D613" s="120" t="str">
        <f t="shared" si="28"/>
        <v>Jan</v>
      </c>
      <c r="E613" s="7"/>
      <c r="F613" s="7"/>
      <c r="G613" s="120"/>
      <c r="H613" s="120"/>
      <c r="I613" s="118"/>
      <c r="J613" s="118"/>
      <c r="K613" s="115"/>
      <c r="L613" s="115"/>
      <c r="M613" s="8"/>
      <c r="N613" s="8" t="str">
        <f t="shared" si="29"/>
        <v>-</v>
      </c>
      <c r="O613" s="126"/>
      <c r="P613" s="127"/>
      <c r="Q613" s="127"/>
      <c r="R613" s="126"/>
      <c r="S613" s="127"/>
      <c r="T613" s="8"/>
      <c r="U613" s="158"/>
      <c r="V613" s="7"/>
      <c r="W613" s="7"/>
      <c r="X613" s="146"/>
      <c r="Y613" s="7"/>
      <c r="Z613" s="7"/>
      <c r="AA613" s="7" t="str">
        <f>IFERROR((VLOOKUP(F613,#REF!,2,FALSE)),"-")</f>
        <v>-</v>
      </c>
      <c r="AB613" s="119" t="e">
        <f>CONCATENATE(F613," - ",I613," - ",#REF!,)</f>
        <v>#REF!</v>
      </c>
    </row>
    <row r="614" spans="1:28" s="116" customFormat="1" ht="15">
      <c r="A614" s="114"/>
      <c r="B614" s="120"/>
      <c r="C614" s="129" t="str">
        <f t="shared" si="27"/>
        <v>week-0</v>
      </c>
      <c r="D614" s="120" t="str">
        <f t="shared" si="28"/>
        <v>Jan</v>
      </c>
      <c r="E614" s="7"/>
      <c r="F614" s="7"/>
      <c r="G614" s="120"/>
      <c r="H614" s="120"/>
      <c r="I614" s="118"/>
      <c r="J614" s="118"/>
      <c r="K614" s="115"/>
      <c r="L614" s="115"/>
      <c r="M614" s="8"/>
      <c r="N614" s="8" t="str">
        <f t="shared" si="29"/>
        <v>-</v>
      </c>
      <c r="O614" s="126"/>
      <c r="P614" s="127"/>
      <c r="Q614" s="127"/>
      <c r="R614" s="126"/>
      <c r="S614" s="127"/>
      <c r="T614" s="8"/>
      <c r="U614" s="158"/>
      <c r="V614" s="7"/>
      <c r="W614" s="7"/>
      <c r="X614" s="146"/>
      <c r="Y614" s="7"/>
      <c r="Z614" s="7"/>
      <c r="AA614" s="7" t="str">
        <f>IFERROR((VLOOKUP(F614,#REF!,2,FALSE)),"-")</f>
        <v>-</v>
      </c>
      <c r="AB614" s="119" t="e">
        <f>CONCATENATE(F614," - ",I614," - ",#REF!,)</f>
        <v>#REF!</v>
      </c>
    </row>
    <row r="615" spans="1:28" s="116" customFormat="1" ht="15">
      <c r="A615" s="114"/>
      <c r="B615" s="120"/>
      <c r="C615" s="129" t="str">
        <f t="shared" si="27"/>
        <v>week-0</v>
      </c>
      <c r="D615" s="120" t="str">
        <f t="shared" si="28"/>
        <v>Jan</v>
      </c>
      <c r="E615" s="7"/>
      <c r="F615" s="7"/>
      <c r="G615" s="120"/>
      <c r="H615" s="120"/>
      <c r="I615" s="118"/>
      <c r="J615" s="118"/>
      <c r="K615" s="115"/>
      <c r="L615" s="115"/>
      <c r="M615" s="8"/>
      <c r="N615" s="8" t="str">
        <f t="shared" si="29"/>
        <v>-</v>
      </c>
      <c r="O615" s="126"/>
      <c r="P615" s="127"/>
      <c r="Q615" s="127"/>
      <c r="R615" s="126"/>
      <c r="S615" s="127"/>
      <c r="T615" s="8"/>
      <c r="U615" s="158"/>
      <c r="V615" s="7"/>
      <c r="W615" s="7"/>
      <c r="X615" s="146"/>
      <c r="Y615" s="7"/>
      <c r="Z615" s="7"/>
      <c r="AA615" s="7" t="str">
        <f>IFERROR((VLOOKUP(F615,#REF!,2,FALSE)),"-")</f>
        <v>-</v>
      </c>
      <c r="AB615" s="119" t="e">
        <f>CONCATENATE(F615," - ",I615," - ",#REF!,)</f>
        <v>#REF!</v>
      </c>
    </row>
    <row r="616" spans="1:28" s="116" customFormat="1" ht="15">
      <c r="A616" s="114"/>
      <c r="B616" s="120"/>
      <c r="C616" s="129" t="str">
        <f t="shared" si="27"/>
        <v>week-0</v>
      </c>
      <c r="D616" s="120" t="str">
        <f t="shared" si="28"/>
        <v>Jan</v>
      </c>
      <c r="E616" s="7"/>
      <c r="F616" s="7"/>
      <c r="G616" s="120"/>
      <c r="H616" s="120"/>
      <c r="I616" s="118"/>
      <c r="J616" s="118"/>
      <c r="K616" s="115"/>
      <c r="L616" s="115"/>
      <c r="M616" s="8"/>
      <c r="N616" s="8" t="str">
        <f t="shared" si="29"/>
        <v>-</v>
      </c>
      <c r="O616" s="126"/>
      <c r="P616" s="127"/>
      <c r="Q616" s="127"/>
      <c r="R616" s="126"/>
      <c r="S616" s="127"/>
      <c r="T616" s="8"/>
      <c r="U616" s="158"/>
      <c r="V616" s="7"/>
      <c r="W616" s="7"/>
      <c r="X616" s="146"/>
      <c r="Y616" s="7"/>
      <c r="Z616" s="7"/>
      <c r="AA616" s="7" t="str">
        <f>IFERROR((VLOOKUP(F616,#REF!,2,FALSE)),"-")</f>
        <v>-</v>
      </c>
      <c r="AB616" s="119" t="e">
        <f>CONCATENATE(F616," - ",I616," - ",#REF!,)</f>
        <v>#REF!</v>
      </c>
    </row>
    <row r="617" spans="1:28" s="116" customFormat="1" ht="15">
      <c r="A617" s="114"/>
      <c r="B617" s="120"/>
      <c r="C617" s="129" t="str">
        <f t="shared" si="27"/>
        <v>week-0</v>
      </c>
      <c r="D617" s="120" t="str">
        <f t="shared" si="28"/>
        <v>Jan</v>
      </c>
      <c r="E617" s="7"/>
      <c r="F617" s="7"/>
      <c r="G617" s="120"/>
      <c r="H617" s="120"/>
      <c r="I617" s="118"/>
      <c r="J617" s="118"/>
      <c r="K617" s="115"/>
      <c r="L617" s="115"/>
      <c r="M617" s="8"/>
      <c r="N617" s="8" t="str">
        <f t="shared" si="29"/>
        <v>-</v>
      </c>
      <c r="O617" s="126"/>
      <c r="P617" s="127"/>
      <c r="Q617" s="127"/>
      <c r="R617" s="126"/>
      <c r="S617" s="127"/>
      <c r="T617" s="8"/>
      <c r="U617" s="158"/>
      <c r="V617" s="7"/>
      <c r="W617" s="7"/>
      <c r="X617" s="146"/>
      <c r="Y617" s="7"/>
      <c r="Z617" s="7"/>
      <c r="AA617" s="7" t="str">
        <f>IFERROR((VLOOKUP(F617,#REF!,2,FALSE)),"-")</f>
        <v>-</v>
      </c>
      <c r="AB617" s="119" t="e">
        <f>CONCATENATE(F617," - ",I617," - ",#REF!,)</f>
        <v>#REF!</v>
      </c>
    </row>
    <row r="618" spans="1:28" s="116" customFormat="1" ht="15">
      <c r="A618" s="114"/>
      <c r="B618" s="120"/>
      <c r="C618" s="129" t="str">
        <f t="shared" si="27"/>
        <v>week-0</v>
      </c>
      <c r="D618" s="120" t="str">
        <f t="shared" si="28"/>
        <v>Jan</v>
      </c>
      <c r="E618" s="7"/>
      <c r="F618" s="7"/>
      <c r="G618" s="120"/>
      <c r="H618" s="120"/>
      <c r="I618" s="118"/>
      <c r="J618" s="118"/>
      <c r="K618" s="115"/>
      <c r="L618" s="115"/>
      <c r="M618" s="8"/>
      <c r="N618" s="8" t="str">
        <f t="shared" si="29"/>
        <v>-</v>
      </c>
      <c r="O618" s="126"/>
      <c r="P618" s="127"/>
      <c r="Q618" s="127"/>
      <c r="R618" s="126"/>
      <c r="S618" s="127"/>
      <c r="T618" s="8"/>
      <c r="U618" s="158"/>
      <c r="V618" s="7"/>
      <c r="W618" s="7"/>
      <c r="X618" s="146"/>
      <c r="Y618" s="7"/>
      <c r="Z618" s="7"/>
      <c r="AA618" s="7" t="str">
        <f>IFERROR((VLOOKUP(F618,#REF!,2,FALSE)),"-")</f>
        <v>-</v>
      </c>
      <c r="AB618" s="119" t="e">
        <f>CONCATENATE(F618," - ",I618," - ",#REF!,)</f>
        <v>#REF!</v>
      </c>
    </row>
    <row r="619" spans="1:28" s="116" customFormat="1" ht="15">
      <c r="A619" s="114"/>
      <c r="B619" s="120"/>
      <c r="C619" s="129" t="str">
        <f t="shared" si="27"/>
        <v>week-0</v>
      </c>
      <c r="D619" s="120" t="str">
        <f t="shared" si="28"/>
        <v>Jan</v>
      </c>
      <c r="E619" s="7"/>
      <c r="F619" s="7"/>
      <c r="G619" s="120"/>
      <c r="H619" s="120"/>
      <c r="I619" s="118"/>
      <c r="J619" s="118"/>
      <c r="K619" s="115"/>
      <c r="L619" s="115"/>
      <c r="M619" s="8"/>
      <c r="N619" s="8" t="str">
        <f t="shared" si="29"/>
        <v>-</v>
      </c>
      <c r="O619" s="127"/>
      <c r="P619" s="127"/>
      <c r="Q619" s="127"/>
      <c r="R619" s="127"/>
      <c r="S619" s="127"/>
      <c r="T619" s="139"/>
      <c r="U619" s="158"/>
      <c r="V619" s="7"/>
      <c r="W619" s="7"/>
      <c r="X619" s="146"/>
      <c r="Y619" s="7"/>
      <c r="Z619" s="7"/>
      <c r="AA619" s="7" t="str">
        <f>IFERROR((VLOOKUP(F619,#REF!,2,FALSE)),"-")</f>
        <v>-</v>
      </c>
      <c r="AB619" s="119" t="e">
        <f>CONCATENATE(F619," - ",I619," - ",#REF!,)</f>
        <v>#REF!</v>
      </c>
    </row>
    <row r="620" spans="1:28" s="116" customFormat="1" ht="15">
      <c r="A620" s="114"/>
      <c r="B620" s="120"/>
      <c r="C620" s="129" t="str">
        <f t="shared" si="27"/>
        <v>week-0</v>
      </c>
      <c r="D620" s="120" t="str">
        <f t="shared" si="28"/>
        <v>Jan</v>
      </c>
      <c r="E620" s="7"/>
      <c r="F620" s="7"/>
      <c r="G620" s="120"/>
      <c r="H620" s="120"/>
      <c r="I620" s="118"/>
      <c r="J620" s="118"/>
      <c r="K620" s="115"/>
      <c r="L620" s="115"/>
      <c r="M620" s="8"/>
      <c r="N620" s="8" t="str">
        <f t="shared" si="29"/>
        <v>-</v>
      </c>
      <c r="O620" s="126"/>
      <c r="P620" s="127"/>
      <c r="Q620" s="127"/>
      <c r="R620" s="126"/>
      <c r="S620" s="127"/>
      <c r="T620" s="8"/>
      <c r="U620" s="158"/>
      <c r="V620" s="7"/>
      <c r="W620" s="7"/>
      <c r="X620" s="146"/>
      <c r="Y620" s="7"/>
      <c r="Z620" s="7"/>
      <c r="AA620" s="7" t="str">
        <f>IFERROR((VLOOKUP(F620,#REF!,2,FALSE)),"-")</f>
        <v>-</v>
      </c>
      <c r="AB620" s="119" t="e">
        <f>CONCATENATE(F620," - ",I620," - ",#REF!,)</f>
        <v>#REF!</v>
      </c>
    </row>
    <row r="621" spans="1:28" s="116" customFormat="1" ht="15">
      <c r="A621" s="114"/>
      <c r="B621" s="120"/>
      <c r="C621" s="129" t="str">
        <f t="shared" si="27"/>
        <v>week-0</v>
      </c>
      <c r="D621" s="120" t="str">
        <f t="shared" si="28"/>
        <v>Jan</v>
      </c>
      <c r="E621" s="7"/>
      <c r="F621" s="7"/>
      <c r="G621" s="120"/>
      <c r="H621" s="120"/>
      <c r="I621" s="118"/>
      <c r="J621" s="118"/>
      <c r="K621" s="115"/>
      <c r="L621" s="115"/>
      <c r="M621" s="8"/>
      <c r="N621" s="8" t="str">
        <f t="shared" si="29"/>
        <v>-</v>
      </c>
      <c r="O621" s="126"/>
      <c r="P621" s="127"/>
      <c r="Q621" s="127"/>
      <c r="R621" s="126"/>
      <c r="S621" s="127"/>
      <c r="T621" s="8"/>
      <c r="U621" s="158"/>
      <c r="V621" s="7"/>
      <c r="W621" s="7"/>
      <c r="X621" s="146"/>
      <c r="Y621" s="7"/>
      <c r="Z621" s="7"/>
      <c r="AA621" s="7" t="str">
        <f>IFERROR((VLOOKUP(F621,#REF!,2,FALSE)),"-")</f>
        <v>-</v>
      </c>
      <c r="AB621" s="119" t="e">
        <f>CONCATENATE(F621," - ",I621," - ",#REF!,)</f>
        <v>#REF!</v>
      </c>
    </row>
    <row r="622" spans="1:28" s="116" customFormat="1" ht="15">
      <c r="A622" s="114"/>
      <c r="B622" s="120"/>
      <c r="C622" s="129" t="str">
        <f t="shared" si="27"/>
        <v>week-0</v>
      </c>
      <c r="D622" s="120" t="str">
        <f t="shared" si="28"/>
        <v>Jan</v>
      </c>
      <c r="E622" s="7"/>
      <c r="F622" s="7"/>
      <c r="G622" s="120"/>
      <c r="H622" s="120"/>
      <c r="I622" s="118"/>
      <c r="J622" s="118"/>
      <c r="K622" s="115"/>
      <c r="L622" s="115"/>
      <c r="M622" s="8"/>
      <c r="N622" s="8" t="str">
        <f t="shared" si="29"/>
        <v>-</v>
      </c>
      <c r="O622" s="126"/>
      <c r="P622" s="127"/>
      <c r="Q622" s="127"/>
      <c r="R622" s="126"/>
      <c r="S622" s="127"/>
      <c r="T622" s="8"/>
      <c r="U622" s="158"/>
      <c r="V622" s="7"/>
      <c r="W622" s="7"/>
      <c r="X622" s="146"/>
      <c r="Y622" s="7"/>
      <c r="Z622" s="7"/>
      <c r="AA622" s="7" t="str">
        <f>IFERROR((VLOOKUP(F622,#REF!,2,FALSE)),"-")</f>
        <v>-</v>
      </c>
      <c r="AB622" s="119" t="e">
        <f>CONCATENATE(F622," - ",I622," - ",#REF!,)</f>
        <v>#REF!</v>
      </c>
    </row>
    <row r="623" spans="1:28" s="116" customFormat="1" ht="15">
      <c r="A623" s="114"/>
      <c r="B623" s="120"/>
      <c r="C623" s="129" t="str">
        <f t="shared" si="27"/>
        <v>week-0</v>
      </c>
      <c r="D623" s="120" t="str">
        <f t="shared" si="28"/>
        <v>Jan</v>
      </c>
      <c r="E623" s="7"/>
      <c r="F623" s="7"/>
      <c r="G623" s="120"/>
      <c r="H623" s="120"/>
      <c r="I623" s="118"/>
      <c r="J623" s="118"/>
      <c r="K623" s="115"/>
      <c r="L623" s="115"/>
      <c r="M623" s="8"/>
      <c r="N623" s="8" t="str">
        <f t="shared" si="29"/>
        <v>-</v>
      </c>
      <c r="O623" s="126"/>
      <c r="P623" s="127"/>
      <c r="Q623" s="127"/>
      <c r="R623" s="126"/>
      <c r="S623" s="127"/>
      <c r="T623" s="8"/>
      <c r="U623" s="158"/>
      <c r="V623" s="7"/>
      <c r="W623" s="7"/>
      <c r="X623" s="146"/>
      <c r="Y623" s="7"/>
      <c r="Z623" s="7"/>
      <c r="AA623" s="7" t="str">
        <f>IFERROR((VLOOKUP(F623,#REF!,2,FALSE)),"-")</f>
        <v>-</v>
      </c>
      <c r="AB623" s="119" t="e">
        <f>CONCATENATE(F623," - ",I623," - ",#REF!,)</f>
        <v>#REF!</v>
      </c>
    </row>
    <row r="624" spans="1:28" s="116" customFormat="1" ht="15">
      <c r="A624" s="114"/>
      <c r="B624" s="120"/>
      <c r="C624" s="129" t="str">
        <f t="shared" si="27"/>
        <v>week-0</v>
      </c>
      <c r="D624" s="120" t="str">
        <f t="shared" si="28"/>
        <v>Jan</v>
      </c>
      <c r="E624" s="7"/>
      <c r="F624" s="7"/>
      <c r="G624" s="120"/>
      <c r="H624" s="120"/>
      <c r="I624" s="118"/>
      <c r="J624" s="118"/>
      <c r="K624" s="115"/>
      <c r="L624" s="115"/>
      <c r="M624" s="8"/>
      <c r="N624" s="8" t="str">
        <f t="shared" si="29"/>
        <v>-</v>
      </c>
      <c r="O624" s="127"/>
      <c r="P624" s="127"/>
      <c r="Q624" s="127"/>
      <c r="R624" s="127"/>
      <c r="S624" s="127"/>
      <c r="T624" s="139"/>
      <c r="U624" s="158"/>
      <c r="V624" s="7"/>
      <c r="W624" s="7"/>
      <c r="X624" s="146"/>
      <c r="Y624" s="7"/>
      <c r="Z624" s="7"/>
      <c r="AA624" s="7" t="str">
        <f>IFERROR((VLOOKUP(F624,#REF!,2,FALSE)),"-")</f>
        <v>-</v>
      </c>
      <c r="AB624" s="119" t="e">
        <f>CONCATENATE(F624," - ",I624," - ",#REF!,)</f>
        <v>#REF!</v>
      </c>
    </row>
    <row r="625" spans="1:28" s="116" customFormat="1" ht="15">
      <c r="A625" s="114"/>
      <c r="B625" s="120"/>
      <c r="C625" s="129" t="str">
        <f t="shared" si="27"/>
        <v>week-0</v>
      </c>
      <c r="D625" s="120" t="str">
        <f t="shared" si="28"/>
        <v>Jan</v>
      </c>
      <c r="E625" s="7"/>
      <c r="F625" s="7"/>
      <c r="G625" s="120"/>
      <c r="H625" s="120"/>
      <c r="I625" s="118"/>
      <c r="J625" s="118"/>
      <c r="K625" s="115"/>
      <c r="L625" s="115"/>
      <c r="M625" s="8"/>
      <c r="N625" s="8" t="str">
        <f t="shared" si="29"/>
        <v>-</v>
      </c>
      <c r="O625" s="126"/>
      <c r="P625" s="127"/>
      <c r="Q625" s="127"/>
      <c r="R625" s="126"/>
      <c r="S625" s="127"/>
      <c r="T625" s="8"/>
      <c r="U625" s="158"/>
      <c r="V625" s="7"/>
      <c r="W625" s="7"/>
      <c r="X625" s="146"/>
      <c r="Y625" s="7"/>
      <c r="Z625" s="7"/>
      <c r="AA625" s="7" t="str">
        <f>IFERROR((VLOOKUP(F625,#REF!,2,FALSE)),"-")</f>
        <v>-</v>
      </c>
      <c r="AB625" s="119" t="e">
        <f>CONCATENATE(F625," - ",I625," - ",#REF!,)</f>
        <v>#REF!</v>
      </c>
    </row>
    <row r="626" spans="1:28" s="116" customFormat="1" ht="15">
      <c r="A626" s="114"/>
      <c r="B626" s="120"/>
      <c r="C626" s="129" t="str">
        <f t="shared" si="27"/>
        <v>week-0</v>
      </c>
      <c r="D626" s="120" t="str">
        <f t="shared" si="28"/>
        <v>Jan</v>
      </c>
      <c r="E626" s="7"/>
      <c r="F626" s="7"/>
      <c r="G626" s="120"/>
      <c r="H626" s="120"/>
      <c r="I626" s="118"/>
      <c r="J626" s="118"/>
      <c r="K626" s="115"/>
      <c r="L626" s="115"/>
      <c r="M626" s="8"/>
      <c r="N626" s="8" t="str">
        <f t="shared" si="29"/>
        <v>-</v>
      </c>
      <c r="O626" s="126"/>
      <c r="P626" s="127"/>
      <c r="Q626" s="127"/>
      <c r="R626" s="126"/>
      <c r="S626" s="127"/>
      <c r="T626" s="8"/>
      <c r="U626" s="158"/>
      <c r="V626" s="7"/>
      <c r="W626" s="7"/>
      <c r="X626" s="146"/>
      <c r="Y626" s="7"/>
      <c r="Z626" s="7"/>
      <c r="AA626" s="7" t="str">
        <f>IFERROR((VLOOKUP(F626,#REF!,2,FALSE)),"-")</f>
        <v>-</v>
      </c>
      <c r="AB626" s="119" t="e">
        <f>CONCATENATE(F626," - ",I626," - ",#REF!,)</f>
        <v>#REF!</v>
      </c>
    </row>
    <row r="627" spans="1:28" s="116" customFormat="1" ht="15">
      <c r="A627" s="114"/>
      <c r="B627" s="120"/>
      <c r="C627" s="129" t="str">
        <f t="shared" si="27"/>
        <v>week-0</v>
      </c>
      <c r="D627" s="120" t="str">
        <f t="shared" si="28"/>
        <v>Jan</v>
      </c>
      <c r="E627" s="7"/>
      <c r="F627" s="7"/>
      <c r="G627" s="120"/>
      <c r="H627" s="120"/>
      <c r="I627" s="118"/>
      <c r="J627" s="118"/>
      <c r="K627" s="115"/>
      <c r="L627" s="115"/>
      <c r="M627" s="8"/>
      <c r="N627" s="8" t="str">
        <f t="shared" si="29"/>
        <v>-</v>
      </c>
      <c r="O627" s="126"/>
      <c r="P627" s="127"/>
      <c r="Q627" s="127"/>
      <c r="R627" s="126"/>
      <c r="S627" s="127"/>
      <c r="T627" s="8"/>
      <c r="U627" s="158"/>
      <c r="V627" s="7"/>
      <c r="W627" s="7"/>
      <c r="X627" s="146"/>
      <c r="Y627" s="7"/>
      <c r="Z627" s="7"/>
      <c r="AA627" s="7" t="str">
        <f>IFERROR((VLOOKUP(F627,#REF!,2,FALSE)),"-")</f>
        <v>-</v>
      </c>
      <c r="AB627" s="119" t="e">
        <f>CONCATENATE(F627," - ",I627," - ",#REF!,)</f>
        <v>#REF!</v>
      </c>
    </row>
    <row r="628" spans="1:28" s="116" customFormat="1" ht="15">
      <c r="A628" s="114"/>
      <c r="B628" s="120"/>
      <c r="C628" s="129" t="str">
        <f t="shared" si="27"/>
        <v>week-0</v>
      </c>
      <c r="D628" s="120" t="str">
        <f t="shared" si="28"/>
        <v>Jan</v>
      </c>
      <c r="E628" s="7"/>
      <c r="F628" s="7"/>
      <c r="G628" s="120"/>
      <c r="H628" s="120"/>
      <c r="I628" s="118"/>
      <c r="J628" s="118"/>
      <c r="K628" s="115"/>
      <c r="L628" s="115"/>
      <c r="M628" s="8"/>
      <c r="N628" s="8" t="str">
        <f t="shared" si="29"/>
        <v>-</v>
      </c>
      <c r="O628" s="126"/>
      <c r="P628" s="127"/>
      <c r="Q628" s="127"/>
      <c r="R628" s="126"/>
      <c r="S628" s="127"/>
      <c r="T628" s="8"/>
      <c r="U628" s="158"/>
      <c r="V628" s="7"/>
      <c r="W628" s="7"/>
      <c r="X628" s="146"/>
      <c r="Y628" s="7"/>
      <c r="Z628" s="7"/>
      <c r="AA628" s="7" t="str">
        <f>IFERROR((VLOOKUP(F628,#REF!,2,FALSE)),"-")</f>
        <v>-</v>
      </c>
      <c r="AB628" s="119" t="e">
        <f>CONCATENATE(F628," - ",I628," - ",#REF!,)</f>
        <v>#REF!</v>
      </c>
    </row>
    <row r="629" spans="1:28" s="116" customFormat="1" ht="15">
      <c r="A629" s="114"/>
      <c r="B629" s="120"/>
      <c r="C629" s="129" t="str">
        <f t="shared" si="27"/>
        <v>week-0</v>
      </c>
      <c r="D629" s="120" t="str">
        <f t="shared" si="28"/>
        <v>Jan</v>
      </c>
      <c r="E629" s="7"/>
      <c r="F629" s="7"/>
      <c r="G629" s="120"/>
      <c r="H629" s="120"/>
      <c r="I629" s="118"/>
      <c r="J629" s="118"/>
      <c r="K629" s="115"/>
      <c r="L629" s="115"/>
      <c r="M629" s="8"/>
      <c r="N629" s="8" t="str">
        <f t="shared" si="29"/>
        <v>-</v>
      </c>
      <c r="O629" s="126"/>
      <c r="P629" s="127"/>
      <c r="Q629" s="127"/>
      <c r="R629" s="126"/>
      <c r="S629" s="127"/>
      <c r="T629" s="8"/>
      <c r="U629" s="158"/>
      <c r="V629" s="7"/>
      <c r="W629" s="7"/>
      <c r="X629" s="146"/>
      <c r="Y629" s="7"/>
      <c r="Z629" s="7"/>
      <c r="AA629" s="7" t="str">
        <f>IFERROR((VLOOKUP(F629,#REF!,2,FALSE)),"-")</f>
        <v>-</v>
      </c>
      <c r="AB629" s="119" t="e">
        <f>CONCATENATE(F629," - ",I629," - ",#REF!,)</f>
        <v>#REF!</v>
      </c>
    </row>
    <row r="630" spans="1:28" s="116" customFormat="1" ht="15">
      <c r="A630" s="114"/>
      <c r="B630" s="120"/>
      <c r="C630" s="129" t="str">
        <f t="shared" si="27"/>
        <v>week-0</v>
      </c>
      <c r="D630" s="120" t="str">
        <f t="shared" si="28"/>
        <v>Jan</v>
      </c>
      <c r="E630" s="7"/>
      <c r="F630" s="7"/>
      <c r="G630" s="120"/>
      <c r="H630" s="120"/>
      <c r="I630" s="118"/>
      <c r="J630" s="118"/>
      <c r="K630" s="115"/>
      <c r="L630" s="115"/>
      <c r="M630" s="8"/>
      <c r="N630" s="8" t="str">
        <f t="shared" si="29"/>
        <v>-</v>
      </c>
      <c r="O630" s="126"/>
      <c r="P630" s="127"/>
      <c r="Q630" s="127"/>
      <c r="R630" s="126"/>
      <c r="S630" s="127"/>
      <c r="T630" s="8"/>
      <c r="U630" s="158"/>
      <c r="V630" s="7"/>
      <c r="W630" s="7"/>
      <c r="X630" s="146"/>
      <c r="Y630" s="7"/>
      <c r="Z630" s="7"/>
      <c r="AA630" s="7" t="str">
        <f>IFERROR((VLOOKUP(F630,#REF!,2,FALSE)),"-")</f>
        <v>-</v>
      </c>
      <c r="AB630" s="119" t="e">
        <f>CONCATENATE(F630," - ",I630," - ",#REF!,)</f>
        <v>#REF!</v>
      </c>
    </row>
    <row r="631" spans="1:28" s="116" customFormat="1" ht="15">
      <c r="A631" s="114"/>
      <c r="B631" s="120"/>
      <c r="C631" s="129" t="str">
        <f t="shared" si="27"/>
        <v>week-0</v>
      </c>
      <c r="D631" s="120" t="str">
        <f t="shared" si="28"/>
        <v>Jan</v>
      </c>
      <c r="E631" s="7"/>
      <c r="F631" s="7"/>
      <c r="G631" s="120"/>
      <c r="H631" s="120"/>
      <c r="I631" s="118"/>
      <c r="J631" s="118"/>
      <c r="K631" s="115"/>
      <c r="L631" s="115"/>
      <c r="M631" s="8"/>
      <c r="N631" s="8" t="str">
        <f t="shared" si="29"/>
        <v>-</v>
      </c>
      <c r="O631" s="126"/>
      <c r="P631" s="127"/>
      <c r="Q631" s="127"/>
      <c r="R631" s="126"/>
      <c r="S631" s="127"/>
      <c r="T631" s="8"/>
      <c r="U631" s="158"/>
      <c r="V631" s="7"/>
      <c r="W631" s="7"/>
      <c r="X631" s="146"/>
      <c r="Y631" s="7"/>
      <c r="Z631" s="7"/>
      <c r="AA631" s="7" t="str">
        <f>IFERROR((VLOOKUP(F631,#REF!,2,FALSE)),"-")</f>
        <v>-</v>
      </c>
      <c r="AB631" s="119" t="e">
        <f>CONCATENATE(F631," - ",I631," - ",#REF!,)</f>
        <v>#REF!</v>
      </c>
    </row>
    <row r="632" spans="1:28" s="116" customFormat="1" ht="15">
      <c r="A632" s="114"/>
      <c r="B632" s="120"/>
      <c r="C632" s="129" t="str">
        <f t="shared" si="27"/>
        <v>week-0</v>
      </c>
      <c r="D632" s="120" t="str">
        <f t="shared" si="28"/>
        <v>Jan</v>
      </c>
      <c r="E632" s="7"/>
      <c r="F632" s="7"/>
      <c r="G632" s="120"/>
      <c r="H632" s="120"/>
      <c r="I632" s="118"/>
      <c r="J632" s="118"/>
      <c r="K632" s="115"/>
      <c r="L632" s="115"/>
      <c r="M632" s="8"/>
      <c r="N632" s="8" t="str">
        <f t="shared" si="29"/>
        <v>-</v>
      </c>
      <c r="O632" s="126"/>
      <c r="P632" s="127"/>
      <c r="Q632" s="127"/>
      <c r="R632" s="126"/>
      <c r="S632" s="127"/>
      <c r="T632" s="8"/>
      <c r="U632" s="158"/>
      <c r="V632" s="7"/>
      <c r="W632" s="7"/>
      <c r="X632" s="146"/>
      <c r="Y632" s="7"/>
      <c r="Z632" s="7"/>
      <c r="AA632" s="7" t="str">
        <f>IFERROR((VLOOKUP(F632,#REF!,2,FALSE)),"-")</f>
        <v>-</v>
      </c>
      <c r="AB632" s="119" t="e">
        <f>CONCATENATE(F632," - ",I632," - ",#REF!,)</f>
        <v>#REF!</v>
      </c>
    </row>
    <row r="633" spans="1:28" s="116" customFormat="1" ht="15">
      <c r="A633" s="114"/>
      <c r="B633" s="120"/>
      <c r="C633" s="129" t="str">
        <f t="shared" si="27"/>
        <v>week-0</v>
      </c>
      <c r="D633" s="120" t="str">
        <f t="shared" si="28"/>
        <v>Jan</v>
      </c>
      <c r="E633" s="7"/>
      <c r="F633" s="7"/>
      <c r="G633" s="120"/>
      <c r="H633" s="120"/>
      <c r="I633" s="118"/>
      <c r="J633" s="118"/>
      <c r="K633" s="115"/>
      <c r="L633" s="115"/>
      <c r="M633" s="8"/>
      <c r="N633" s="8" t="str">
        <f t="shared" si="29"/>
        <v>-</v>
      </c>
      <c r="O633" s="126"/>
      <c r="P633" s="127"/>
      <c r="Q633" s="127"/>
      <c r="R633" s="126"/>
      <c r="S633" s="127"/>
      <c r="T633" s="8"/>
      <c r="U633" s="158"/>
      <c r="V633" s="7"/>
      <c r="W633" s="7"/>
      <c r="X633" s="146"/>
      <c r="Y633" s="7"/>
      <c r="Z633" s="7"/>
      <c r="AA633" s="7" t="str">
        <f>IFERROR((VLOOKUP(F633,#REF!,2,FALSE)),"-")</f>
        <v>-</v>
      </c>
      <c r="AB633" s="119" t="e">
        <f>CONCATENATE(F633," - ",I633," - ",#REF!,)</f>
        <v>#REF!</v>
      </c>
    </row>
    <row r="634" spans="1:28" s="116" customFormat="1" ht="15">
      <c r="A634" s="114"/>
      <c r="B634" s="120"/>
      <c r="C634" s="129" t="str">
        <f t="shared" si="27"/>
        <v>week-0</v>
      </c>
      <c r="D634" s="120" t="str">
        <f t="shared" si="28"/>
        <v>Jan</v>
      </c>
      <c r="E634" s="7"/>
      <c r="F634" s="7"/>
      <c r="G634" s="120"/>
      <c r="H634" s="120"/>
      <c r="I634" s="118"/>
      <c r="J634" s="118"/>
      <c r="K634" s="115"/>
      <c r="L634" s="115"/>
      <c r="M634" s="8"/>
      <c r="N634" s="8" t="str">
        <f t="shared" si="29"/>
        <v>-</v>
      </c>
      <c r="O634" s="126"/>
      <c r="P634" s="127"/>
      <c r="Q634" s="127"/>
      <c r="R634" s="126"/>
      <c r="S634" s="127"/>
      <c r="T634" s="8"/>
      <c r="U634" s="158"/>
      <c r="V634" s="7"/>
      <c r="W634" s="7"/>
      <c r="X634" s="146"/>
      <c r="Y634" s="7"/>
      <c r="Z634" s="7"/>
      <c r="AA634" s="7" t="str">
        <f>IFERROR((VLOOKUP(F634,#REF!,2,FALSE)),"-")</f>
        <v>-</v>
      </c>
      <c r="AB634" s="119" t="e">
        <f>CONCATENATE(F634," - ",I634," - ",#REF!,)</f>
        <v>#REF!</v>
      </c>
    </row>
    <row r="635" spans="1:28" s="116" customFormat="1" ht="15">
      <c r="A635" s="114"/>
      <c r="B635" s="120"/>
      <c r="C635" s="129" t="str">
        <f t="shared" si="27"/>
        <v>week-0</v>
      </c>
      <c r="D635" s="120" t="str">
        <f t="shared" si="28"/>
        <v>Jan</v>
      </c>
      <c r="E635" s="7"/>
      <c r="F635" s="7"/>
      <c r="G635" s="120"/>
      <c r="H635" s="120"/>
      <c r="I635" s="118"/>
      <c r="J635" s="118"/>
      <c r="K635" s="115"/>
      <c r="L635" s="115"/>
      <c r="M635" s="8"/>
      <c r="N635" s="8" t="str">
        <f t="shared" si="29"/>
        <v>-</v>
      </c>
      <c r="O635" s="126"/>
      <c r="P635" s="127"/>
      <c r="Q635" s="127"/>
      <c r="R635" s="126"/>
      <c r="S635" s="127"/>
      <c r="T635" s="8"/>
      <c r="U635" s="158"/>
      <c r="V635" s="7"/>
      <c r="W635" s="7"/>
      <c r="X635" s="146"/>
      <c r="Y635" s="7"/>
      <c r="Z635" s="7"/>
      <c r="AA635" s="7" t="str">
        <f>IFERROR((VLOOKUP(F635,#REF!,2,FALSE)),"-")</f>
        <v>-</v>
      </c>
      <c r="AB635" s="119" t="e">
        <f>CONCATENATE(F635," - ",I635," - ",#REF!,)</f>
        <v>#REF!</v>
      </c>
    </row>
    <row r="636" spans="1:28" s="116" customFormat="1" ht="15">
      <c r="A636" s="114"/>
      <c r="B636" s="120"/>
      <c r="C636" s="129" t="str">
        <f t="shared" si="27"/>
        <v>week-0</v>
      </c>
      <c r="D636" s="120" t="str">
        <f t="shared" si="28"/>
        <v>Jan</v>
      </c>
      <c r="E636" s="7"/>
      <c r="F636" s="7"/>
      <c r="G636" s="120"/>
      <c r="H636" s="120"/>
      <c r="I636" s="118"/>
      <c r="J636" s="118"/>
      <c r="K636" s="115"/>
      <c r="L636" s="115"/>
      <c r="M636" s="8"/>
      <c r="N636" s="8" t="str">
        <f t="shared" si="29"/>
        <v>-</v>
      </c>
      <c r="O636" s="126"/>
      <c r="P636" s="127"/>
      <c r="Q636" s="127"/>
      <c r="R636" s="126"/>
      <c r="S636" s="127"/>
      <c r="T636" s="8"/>
      <c r="U636" s="158"/>
      <c r="V636" s="7"/>
      <c r="W636" s="7"/>
      <c r="X636" s="146"/>
      <c r="Y636" s="7"/>
      <c r="Z636" s="7"/>
      <c r="AA636" s="7" t="str">
        <f>IFERROR((VLOOKUP(F636,#REF!,2,FALSE)),"-")</f>
        <v>-</v>
      </c>
      <c r="AB636" s="119" t="e">
        <f>CONCATENATE(F636," - ",I636," - ",#REF!,)</f>
        <v>#REF!</v>
      </c>
    </row>
    <row r="637" spans="1:28" s="116" customFormat="1" ht="15">
      <c r="A637" s="114"/>
      <c r="B637" s="120"/>
      <c r="C637" s="129" t="str">
        <f t="shared" si="27"/>
        <v>week-0</v>
      </c>
      <c r="D637" s="120" t="str">
        <f t="shared" si="28"/>
        <v>Jan</v>
      </c>
      <c r="E637" s="7"/>
      <c r="F637" s="7"/>
      <c r="G637" s="120"/>
      <c r="H637" s="120"/>
      <c r="I637" s="118"/>
      <c r="J637" s="118"/>
      <c r="K637" s="115"/>
      <c r="L637" s="115"/>
      <c r="M637" s="8"/>
      <c r="N637" s="8" t="str">
        <f t="shared" si="29"/>
        <v>-</v>
      </c>
      <c r="O637" s="126"/>
      <c r="P637" s="127"/>
      <c r="Q637" s="127"/>
      <c r="R637" s="126"/>
      <c r="S637" s="127"/>
      <c r="T637" s="8"/>
      <c r="U637" s="158"/>
      <c r="V637" s="7"/>
      <c r="W637" s="7"/>
      <c r="X637" s="146"/>
      <c r="Y637" s="7"/>
      <c r="Z637" s="7"/>
      <c r="AA637" s="7" t="str">
        <f>IFERROR((VLOOKUP(F637,#REF!,2,FALSE)),"-")</f>
        <v>-</v>
      </c>
      <c r="AB637" s="119" t="e">
        <f>CONCATENATE(F637," - ",I637," - ",#REF!,)</f>
        <v>#REF!</v>
      </c>
    </row>
    <row r="638" spans="1:28" s="116" customFormat="1" ht="15">
      <c r="A638" s="114"/>
      <c r="B638" s="120"/>
      <c r="C638" s="129" t="str">
        <f t="shared" si="27"/>
        <v>week-0</v>
      </c>
      <c r="D638" s="120" t="str">
        <f t="shared" si="28"/>
        <v>Jan</v>
      </c>
      <c r="E638" s="7"/>
      <c r="F638" s="7"/>
      <c r="G638" s="120"/>
      <c r="H638" s="120"/>
      <c r="I638" s="118"/>
      <c r="J638" s="118"/>
      <c r="K638" s="115"/>
      <c r="L638" s="115"/>
      <c r="M638" s="8"/>
      <c r="N638" s="8" t="str">
        <f t="shared" si="29"/>
        <v>-</v>
      </c>
      <c r="O638" s="126"/>
      <c r="P638" s="127"/>
      <c r="Q638" s="127"/>
      <c r="R638" s="126"/>
      <c r="S638" s="127"/>
      <c r="T638" s="8"/>
      <c r="U638" s="158"/>
      <c r="V638" s="7"/>
      <c r="W638" s="7"/>
      <c r="X638" s="146"/>
      <c r="Y638" s="7"/>
      <c r="Z638" s="7"/>
      <c r="AA638" s="7" t="str">
        <f>IFERROR((VLOOKUP(F638,#REF!,2,FALSE)),"-")</f>
        <v>-</v>
      </c>
      <c r="AB638" s="119" t="e">
        <f>CONCATENATE(F638," - ",I638," - ",#REF!,)</f>
        <v>#REF!</v>
      </c>
    </row>
    <row r="639" spans="1:28" s="116" customFormat="1" ht="15">
      <c r="A639" s="114"/>
      <c r="B639" s="120"/>
      <c r="C639" s="129" t="str">
        <f t="shared" si="27"/>
        <v>week-0</v>
      </c>
      <c r="D639" s="120" t="str">
        <f t="shared" si="28"/>
        <v>Jan</v>
      </c>
      <c r="E639" s="7"/>
      <c r="F639" s="7"/>
      <c r="G639" s="120"/>
      <c r="H639" s="120"/>
      <c r="I639" s="118"/>
      <c r="J639" s="118"/>
      <c r="K639" s="115"/>
      <c r="L639" s="115"/>
      <c r="M639" s="8"/>
      <c r="N639" s="8" t="str">
        <f t="shared" si="29"/>
        <v>-</v>
      </c>
      <c r="O639" s="126"/>
      <c r="P639" s="127"/>
      <c r="Q639" s="127"/>
      <c r="R639" s="126"/>
      <c r="S639" s="127"/>
      <c r="T639" s="8"/>
      <c r="U639" s="158"/>
      <c r="V639" s="7"/>
      <c r="W639" s="7"/>
      <c r="X639" s="146"/>
      <c r="Y639" s="7"/>
      <c r="Z639" s="7"/>
      <c r="AA639" s="7" t="str">
        <f>IFERROR((VLOOKUP(F639,#REF!,2,FALSE)),"-")</f>
        <v>-</v>
      </c>
      <c r="AB639" s="119" t="e">
        <f>CONCATENATE(F639," - ",I639," - ",#REF!,)</f>
        <v>#REF!</v>
      </c>
    </row>
    <row r="640" spans="1:28" s="116" customFormat="1" ht="15">
      <c r="A640" s="114"/>
      <c r="B640" s="120"/>
      <c r="C640" s="129" t="str">
        <f t="shared" si="27"/>
        <v>week-0</v>
      </c>
      <c r="D640" s="120" t="str">
        <f t="shared" si="28"/>
        <v>Jan</v>
      </c>
      <c r="E640" s="7"/>
      <c r="F640" s="7"/>
      <c r="G640" s="120"/>
      <c r="H640" s="120"/>
      <c r="I640" s="118"/>
      <c r="J640" s="118"/>
      <c r="K640" s="115"/>
      <c r="L640" s="115"/>
      <c r="M640" s="8"/>
      <c r="N640" s="8" t="str">
        <f t="shared" si="29"/>
        <v>-</v>
      </c>
      <c r="O640" s="126"/>
      <c r="P640" s="127"/>
      <c r="Q640" s="127"/>
      <c r="R640" s="126"/>
      <c r="S640" s="127"/>
      <c r="T640" s="8"/>
      <c r="U640" s="158"/>
      <c r="V640" s="7"/>
      <c r="W640" s="7"/>
      <c r="X640" s="146"/>
      <c r="Y640" s="7"/>
      <c r="Z640" s="7"/>
      <c r="AA640" s="7" t="str">
        <f>IFERROR((VLOOKUP(F640,#REF!,2,FALSE)),"-")</f>
        <v>-</v>
      </c>
      <c r="AB640" s="119" t="e">
        <f>CONCATENATE(F640," - ",I640," - ",#REF!,)</f>
        <v>#REF!</v>
      </c>
    </row>
    <row r="641" spans="1:28" s="116" customFormat="1" ht="15">
      <c r="A641" s="114"/>
      <c r="B641" s="120"/>
      <c r="C641" s="129" t="str">
        <f t="shared" si="27"/>
        <v>week-0</v>
      </c>
      <c r="D641" s="120" t="str">
        <f t="shared" si="28"/>
        <v>Jan</v>
      </c>
      <c r="E641" s="7"/>
      <c r="F641" s="7"/>
      <c r="G641" s="120"/>
      <c r="H641" s="120"/>
      <c r="I641" s="118"/>
      <c r="J641" s="118"/>
      <c r="K641" s="115"/>
      <c r="L641" s="115"/>
      <c r="M641" s="8"/>
      <c r="N641" s="8" t="str">
        <f t="shared" si="29"/>
        <v>-</v>
      </c>
      <c r="O641" s="126"/>
      <c r="P641" s="127"/>
      <c r="Q641" s="127"/>
      <c r="R641" s="126"/>
      <c r="S641" s="127"/>
      <c r="T641" s="8"/>
      <c r="U641" s="158"/>
      <c r="V641" s="7"/>
      <c r="W641" s="7"/>
      <c r="X641" s="146"/>
      <c r="Y641" s="7"/>
      <c r="Z641" s="7"/>
      <c r="AA641" s="7" t="str">
        <f>IFERROR((VLOOKUP(F641,#REF!,2,FALSE)),"-")</f>
        <v>-</v>
      </c>
      <c r="AB641" s="119" t="e">
        <f>CONCATENATE(F641," - ",I641," - ",#REF!,)</f>
        <v>#REF!</v>
      </c>
    </row>
    <row r="642" spans="1:28" s="116" customFormat="1" ht="15">
      <c r="A642" s="114"/>
      <c r="B642" s="120"/>
      <c r="C642" s="129" t="str">
        <f t="shared" si="27"/>
        <v>week-0</v>
      </c>
      <c r="D642" s="120" t="str">
        <f t="shared" si="28"/>
        <v>Jan</v>
      </c>
      <c r="E642" s="7"/>
      <c r="F642" s="7"/>
      <c r="G642" s="120"/>
      <c r="H642" s="120"/>
      <c r="I642" s="118"/>
      <c r="J642" s="118"/>
      <c r="K642" s="115"/>
      <c r="L642" s="115"/>
      <c r="M642" s="8"/>
      <c r="N642" s="8" t="str">
        <f t="shared" si="29"/>
        <v>-</v>
      </c>
      <c r="O642" s="126"/>
      <c r="P642" s="127"/>
      <c r="Q642" s="127"/>
      <c r="R642" s="126"/>
      <c r="S642" s="127"/>
      <c r="T642" s="8"/>
      <c r="U642" s="158"/>
      <c r="V642" s="7"/>
      <c r="W642" s="7"/>
      <c r="X642" s="146"/>
      <c r="Y642" s="7"/>
      <c r="Z642" s="7"/>
      <c r="AA642" s="7" t="str">
        <f>IFERROR((VLOOKUP(F642,#REF!,2,FALSE)),"-")</f>
        <v>-</v>
      </c>
      <c r="AB642" s="119" t="e">
        <f>CONCATENATE(F642," - ",I642," - ",#REF!,)</f>
        <v>#REF!</v>
      </c>
    </row>
    <row r="643" spans="1:28" s="116" customFormat="1" ht="15">
      <c r="A643" s="114"/>
      <c r="B643" s="120"/>
      <c r="C643" s="129" t="str">
        <f t="shared" si="27"/>
        <v>week-0</v>
      </c>
      <c r="D643" s="120" t="str">
        <f t="shared" si="28"/>
        <v>Jan</v>
      </c>
      <c r="E643" s="7"/>
      <c r="F643" s="7"/>
      <c r="G643" s="120"/>
      <c r="H643" s="120"/>
      <c r="I643" s="118"/>
      <c r="J643" s="118"/>
      <c r="K643" s="115"/>
      <c r="L643" s="115"/>
      <c r="M643" s="8"/>
      <c r="N643" s="8" t="str">
        <f t="shared" si="29"/>
        <v>-</v>
      </c>
      <c r="O643" s="126"/>
      <c r="P643" s="127"/>
      <c r="Q643" s="127"/>
      <c r="R643" s="126"/>
      <c r="S643" s="127"/>
      <c r="T643" s="8"/>
      <c r="U643" s="158"/>
      <c r="V643" s="7"/>
      <c r="W643" s="7"/>
      <c r="X643" s="146"/>
      <c r="Y643" s="7"/>
      <c r="Z643" s="7"/>
      <c r="AA643" s="7" t="str">
        <f>IFERROR((VLOOKUP(F643,#REF!,2,FALSE)),"-")</f>
        <v>-</v>
      </c>
      <c r="AB643" s="119" t="e">
        <f>CONCATENATE(F643," - ",I643," - ",#REF!,)</f>
        <v>#REF!</v>
      </c>
    </row>
    <row r="644" spans="1:28" s="116" customFormat="1" ht="15">
      <c r="A644" s="114"/>
      <c r="B644" s="120"/>
      <c r="C644" s="129" t="str">
        <f t="shared" ref="C644:C707" si="30">"week-"&amp;WEEKNUM(B644)</f>
        <v>week-0</v>
      </c>
      <c r="D644" s="120" t="str">
        <f t="shared" ref="D644:D707" si="31">TEXT(B644,"mmm")</f>
        <v>Jan</v>
      </c>
      <c r="E644" s="7"/>
      <c r="F644" s="7"/>
      <c r="G644" s="120"/>
      <c r="H644" s="120"/>
      <c r="I644" s="118"/>
      <c r="J644" s="118"/>
      <c r="K644" s="115"/>
      <c r="L644" s="115"/>
      <c r="M644" s="8"/>
      <c r="N644" s="8" t="str">
        <f t="shared" ref="N644:N707" si="32">IF(ISBLANK(M644),"-",(M644/60))</f>
        <v>-</v>
      </c>
      <c r="O644" s="127"/>
      <c r="P644" s="127"/>
      <c r="Q644" s="127"/>
      <c r="R644" s="127"/>
      <c r="S644" s="127"/>
      <c r="T644" s="139"/>
      <c r="U644" s="158"/>
      <c r="V644" s="7"/>
      <c r="W644" s="7"/>
      <c r="X644" s="146"/>
      <c r="Y644" s="7"/>
      <c r="Z644" s="7"/>
      <c r="AA644" s="7" t="str">
        <f>IFERROR((VLOOKUP(F644,#REF!,2,FALSE)),"-")</f>
        <v>-</v>
      </c>
      <c r="AB644" s="119" t="e">
        <f>CONCATENATE(F644," - ",I644," - ",#REF!,)</f>
        <v>#REF!</v>
      </c>
    </row>
    <row r="645" spans="1:28" s="116" customFormat="1" ht="15">
      <c r="A645" s="114"/>
      <c r="B645" s="120"/>
      <c r="C645" s="129" t="str">
        <f t="shared" si="30"/>
        <v>week-0</v>
      </c>
      <c r="D645" s="120" t="str">
        <f t="shared" si="31"/>
        <v>Jan</v>
      </c>
      <c r="E645" s="7"/>
      <c r="F645" s="7"/>
      <c r="G645" s="120"/>
      <c r="H645" s="120"/>
      <c r="I645" s="118"/>
      <c r="J645" s="118"/>
      <c r="K645" s="115"/>
      <c r="L645" s="115"/>
      <c r="M645" s="8"/>
      <c r="N645" s="8" t="str">
        <f t="shared" si="32"/>
        <v>-</v>
      </c>
      <c r="O645" s="126"/>
      <c r="P645" s="127"/>
      <c r="Q645" s="127"/>
      <c r="R645" s="126"/>
      <c r="S645" s="127"/>
      <c r="T645" s="8"/>
      <c r="U645" s="158"/>
      <c r="V645" s="7"/>
      <c r="W645" s="7"/>
      <c r="X645" s="146"/>
      <c r="Y645" s="7"/>
      <c r="Z645" s="7"/>
      <c r="AA645" s="7" t="str">
        <f>IFERROR((VLOOKUP(F645,#REF!,2,FALSE)),"-")</f>
        <v>-</v>
      </c>
      <c r="AB645" s="119" t="e">
        <f>CONCATENATE(F645," - ",I645," - ",#REF!,)</f>
        <v>#REF!</v>
      </c>
    </row>
    <row r="646" spans="1:28" s="116" customFormat="1" ht="15">
      <c r="A646" s="114"/>
      <c r="B646" s="120"/>
      <c r="C646" s="129" t="str">
        <f t="shared" si="30"/>
        <v>week-0</v>
      </c>
      <c r="D646" s="120" t="str">
        <f t="shared" si="31"/>
        <v>Jan</v>
      </c>
      <c r="E646" s="7"/>
      <c r="F646" s="7"/>
      <c r="G646" s="120"/>
      <c r="H646" s="120"/>
      <c r="I646" s="118"/>
      <c r="J646" s="118"/>
      <c r="K646" s="115"/>
      <c r="L646" s="115"/>
      <c r="M646" s="8"/>
      <c r="N646" s="8" t="str">
        <f t="shared" si="32"/>
        <v>-</v>
      </c>
      <c r="O646" s="126"/>
      <c r="P646" s="127"/>
      <c r="Q646" s="127"/>
      <c r="R646" s="126"/>
      <c r="S646" s="127"/>
      <c r="T646" s="8"/>
      <c r="U646" s="158"/>
      <c r="V646" s="7"/>
      <c r="W646" s="7"/>
      <c r="X646" s="146"/>
      <c r="Y646" s="7"/>
      <c r="Z646" s="7"/>
      <c r="AA646" s="7" t="str">
        <f>IFERROR((VLOOKUP(F646,#REF!,2,FALSE)),"-")</f>
        <v>-</v>
      </c>
      <c r="AB646" s="119" t="e">
        <f>CONCATENATE(F646," - ",I646," - ",#REF!,)</f>
        <v>#REF!</v>
      </c>
    </row>
    <row r="647" spans="1:28" s="116" customFormat="1" ht="15">
      <c r="A647" s="114"/>
      <c r="B647" s="120"/>
      <c r="C647" s="129" t="str">
        <f t="shared" si="30"/>
        <v>week-0</v>
      </c>
      <c r="D647" s="120" t="str">
        <f t="shared" si="31"/>
        <v>Jan</v>
      </c>
      <c r="E647" s="7"/>
      <c r="F647" s="7"/>
      <c r="G647" s="120"/>
      <c r="H647" s="120"/>
      <c r="I647" s="118"/>
      <c r="J647" s="118"/>
      <c r="K647" s="115"/>
      <c r="L647" s="115"/>
      <c r="M647" s="8"/>
      <c r="N647" s="8" t="str">
        <f t="shared" si="32"/>
        <v>-</v>
      </c>
      <c r="O647" s="126"/>
      <c r="P647" s="127"/>
      <c r="Q647" s="127"/>
      <c r="R647" s="126"/>
      <c r="S647" s="127"/>
      <c r="T647" s="8"/>
      <c r="U647" s="158"/>
      <c r="V647" s="7"/>
      <c r="W647" s="7"/>
      <c r="X647" s="146"/>
      <c r="Y647" s="7"/>
      <c r="Z647" s="7"/>
      <c r="AA647" s="7" t="str">
        <f>IFERROR((VLOOKUP(F647,#REF!,2,FALSE)),"-")</f>
        <v>-</v>
      </c>
      <c r="AB647" s="119" t="e">
        <f>CONCATENATE(F647," - ",I647," - ",#REF!,)</f>
        <v>#REF!</v>
      </c>
    </row>
    <row r="648" spans="1:28" s="116" customFormat="1" ht="15">
      <c r="A648" s="114"/>
      <c r="B648" s="120"/>
      <c r="C648" s="129" t="str">
        <f t="shared" si="30"/>
        <v>week-0</v>
      </c>
      <c r="D648" s="120" t="str">
        <f t="shared" si="31"/>
        <v>Jan</v>
      </c>
      <c r="E648" s="7"/>
      <c r="F648" s="7"/>
      <c r="G648" s="120"/>
      <c r="H648" s="120"/>
      <c r="I648" s="118"/>
      <c r="J648" s="118"/>
      <c r="K648" s="115"/>
      <c r="L648" s="115"/>
      <c r="M648" s="8"/>
      <c r="N648" s="8" t="str">
        <f t="shared" si="32"/>
        <v>-</v>
      </c>
      <c r="O648" s="126"/>
      <c r="P648" s="127"/>
      <c r="Q648" s="127"/>
      <c r="R648" s="126"/>
      <c r="S648" s="127"/>
      <c r="T648" s="8"/>
      <c r="U648" s="158"/>
      <c r="V648" s="7"/>
      <c r="W648" s="7"/>
      <c r="X648" s="146"/>
      <c r="Y648" s="7"/>
      <c r="Z648" s="7"/>
      <c r="AA648" s="7" t="str">
        <f>IFERROR((VLOOKUP(F648,#REF!,2,FALSE)),"-")</f>
        <v>-</v>
      </c>
      <c r="AB648" s="119" t="e">
        <f>CONCATENATE(F648," - ",I648," - ",#REF!,)</f>
        <v>#REF!</v>
      </c>
    </row>
    <row r="649" spans="1:28" s="116" customFormat="1" ht="15">
      <c r="A649" s="114"/>
      <c r="B649" s="120"/>
      <c r="C649" s="129" t="str">
        <f t="shared" si="30"/>
        <v>week-0</v>
      </c>
      <c r="D649" s="120" t="str">
        <f t="shared" si="31"/>
        <v>Jan</v>
      </c>
      <c r="E649" s="7"/>
      <c r="F649" s="7"/>
      <c r="G649" s="120"/>
      <c r="H649" s="120"/>
      <c r="I649" s="118"/>
      <c r="J649" s="118"/>
      <c r="K649" s="115"/>
      <c r="L649" s="115"/>
      <c r="M649" s="8"/>
      <c r="N649" s="8" t="str">
        <f t="shared" si="32"/>
        <v>-</v>
      </c>
      <c r="O649" s="126"/>
      <c r="P649" s="127"/>
      <c r="Q649" s="127"/>
      <c r="R649" s="126"/>
      <c r="S649" s="127"/>
      <c r="T649" s="8"/>
      <c r="U649" s="158"/>
      <c r="V649" s="7"/>
      <c r="W649" s="7"/>
      <c r="X649" s="146"/>
      <c r="Y649" s="7"/>
      <c r="Z649" s="7"/>
      <c r="AA649" s="7" t="str">
        <f>IFERROR((VLOOKUP(F649,#REF!,2,FALSE)),"-")</f>
        <v>-</v>
      </c>
      <c r="AB649" s="119" t="e">
        <f>CONCATENATE(F649," - ",I649," - ",#REF!,)</f>
        <v>#REF!</v>
      </c>
    </row>
    <row r="650" spans="1:28" s="116" customFormat="1" ht="15">
      <c r="A650" s="114"/>
      <c r="B650" s="120"/>
      <c r="C650" s="129" t="str">
        <f t="shared" si="30"/>
        <v>week-0</v>
      </c>
      <c r="D650" s="120" t="str">
        <f t="shared" si="31"/>
        <v>Jan</v>
      </c>
      <c r="E650" s="7"/>
      <c r="F650" s="7"/>
      <c r="G650" s="120"/>
      <c r="H650" s="120"/>
      <c r="I650" s="118"/>
      <c r="J650" s="118"/>
      <c r="K650" s="115"/>
      <c r="L650" s="115"/>
      <c r="M650" s="8"/>
      <c r="N650" s="8" t="str">
        <f t="shared" si="32"/>
        <v>-</v>
      </c>
      <c r="O650" s="126"/>
      <c r="P650" s="127"/>
      <c r="Q650" s="127"/>
      <c r="R650" s="126"/>
      <c r="S650" s="127"/>
      <c r="T650" s="8"/>
      <c r="U650" s="158"/>
      <c r="V650" s="7"/>
      <c r="W650" s="7"/>
      <c r="X650" s="146"/>
      <c r="Y650" s="7"/>
      <c r="Z650" s="7"/>
      <c r="AA650" s="7" t="str">
        <f>IFERROR((VLOOKUP(F650,#REF!,2,FALSE)),"-")</f>
        <v>-</v>
      </c>
      <c r="AB650" s="119" t="e">
        <f>CONCATENATE(F650," - ",I650," - ",#REF!,)</f>
        <v>#REF!</v>
      </c>
    </row>
    <row r="651" spans="1:28" s="116" customFormat="1" ht="15">
      <c r="A651" s="114"/>
      <c r="B651" s="120"/>
      <c r="C651" s="129" t="str">
        <f t="shared" si="30"/>
        <v>week-0</v>
      </c>
      <c r="D651" s="120" t="str">
        <f t="shared" si="31"/>
        <v>Jan</v>
      </c>
      <c r="E651" s="7"/>
      <c r="F651" s="7"/>
      <c r="G651" s="120"/>
      <c r="H651" s="120"/>
      <c r="I651" s="118"/>
      <c r="J651" s="118"/>
      <c r="K651" s="115"/>
      <c r="L651" s="115"/>
      <c r="M651" s="8"/>
      <c r="N651" s="8" t="str">
        <f t="shared" si="32"/>
        <v>-</v>
      </c>
      <c r="O651" s="126"/>
      <c r="P651" s="127"/>
      <c r="Q651" s="127"/>
      <c r="R651" s="126"/>
      <c r="S651" s="127"/>
      <c r="T651" s="8"/>
      <c r="U651" s="158"/>
      <c r="V651" s="7"/>
      <c r="W651" s="7"/>
      <c r="X651" s="146"/>
      <c r="Y651" s="7"/>
      <c r="Z651" s="7"/>
      <c r="AA651" s="7" t="str">
        <f>IFERROR((VLOOKUP(F651,#REF!,2,FALSE)),"-")</f>
        <v>-</v>
      </c>
      <c r="AB651" s="119" t="e">
        <f>CONCATENATE(F651," - ",I651," - ",#REF!,)</f>
        <v>#REF!</v>
      </c>
    </row>
    <row r="652" spans="1:28" s="116" customFormat="1" ht="15">
      <c r="A652" s="114"/>
      <c r="B652" s="120"/>
      <c r="C652" s="129" t="str">
        <f t="shared" si="30"/>
        <v>week-0</v>
      </c>
      <c r="D652" s="120" t="str">
        <f t="shared" si="31"/>
        <v>Jan</v>
      </c>
      <c r="E652" s="7"/>
      <c r="F652" s="7"/>
      <c r="G652" s="120"/>
      <c r="H652" s="120"/>
      <c r="I652" s="118"/>
      <c r="J652" s="118"/>
      <c r="K652" s="115"/>
      <c r="L652" s="115"/>
      <c r="M652" s="8"/>
      <c r="N652" s="8" t="str">
        <f t="shared" si="32"/>
        <v>-</v>
      </c>
      <c r="O652" s="126"/>
      <c r="P652" s="127"/>
      <c r="Q652" s="127"/>
      <c r="R652" s="126"/>
      <c r="S652" s="127"/>
      <c r="T652" s="8"/>
      <c r="U652" s="158"/>
      <c r="V652" s="7"/>
      <c r="W652" s="7"/>
      <c r="X652" s="146"/>
      <c r="Y652" s="7"/>
      <c r="Z652" s="7"/>
      <c r="AA652" s="7" t="str">
        <f>IFERROR((VLOOKUP(F652,#REF!,2,FALSE)),"-")</f>
        <v>-</v>
      </c>
      <c r="AB652" s="119" t="e">
        <f>CONCATENATE(F652," - ",I652," - ",#REF!,)</f>
        <v>#REF!</v>
      </c>
    </row>
    <row r="653" spans="1:28" s="116" customFormat="1" ht="15">
      <c r="A653" s="114"/>
      <c r="B653" s="120"/>
      <c r="C653" s="129" t="str">
        <f t="shared" si="30"/>
        <v>week-0</v>
      </c>
      <c r="D653" s="120" t="str">
        <f t="shared" si="31"/>
        <v>Jan</v>
      </c>
      <c r="E653" s="7"/>
      <c r="F653" s="7"/>
      <c r="G653" s="120"/>
      <c r="H653" s="120"/>
      <c r="I653" s="118"/>
      <c r="J653" s="118"/>
      <c r="K653" s="115"/>
      <c r="L653" s="115"/>
      <c r="M653" s="8"/>
      <c r="N653" s="8" t="str">
        <f t="shared" si="32"/>
        <v>-</v>
      </c>
      <c r="O653" s="126"/>
      <c r="P653" s="127"/>
      <c r="Q653" s="127"/>
      <c r="R653" s="126"/>
      <c r="S653" s="127"/>
      <c r="T653" s="8"/>
      <c r="U653" s="158"/>
      <c r="V653" s="7"/>
      <c r="W653" s="7"/>
      <c r="X653" s="146"/>
      <c r="Y653" s="7"/>
      <c r="Z653" s="7"/>
      <c r="AA653" s="7" t="str">
        <f>IFERROR((VLOOKUP(F653,#REF!,2,FALSE)),"-")</f>
        <v>-</v>
      </c>
      <c r="AB653" s="119" t="e">
        <f>CONCATENATE(F653," - ",I653," - ",#REF!,)</f>
        <v>#REF!</v>
      </c>
    </row>
    <row r="654" spans="1:28" s="116" customFormat="1" ht="15">
      <c r="A654" s="114"/>
      <c r="B654" s="120"/>
      <c r="C654" s="129" t="str">
        <f t="shared" si="30"/>
        <v>week-0</v>
      </c>
      <c r="D654" s="120" t="str">
        <f t="shared" si="31"/>
        <v>Jan</v>
      </c>
      <c r="E654" s="7"/>
      <c r="F654" s="7"/>
      <c r="G654" s="120"/>
      <c r="H654" s="120"/>
      <c r="I654" s="118"/>
      <c r="J654" s="118"/>
      <c r="K654" s="115"/>
      <c r="L654" s="115"/>
      <c r="M654" s="8"/>
      <c r="N654" s="8" t="str">
        <f t="shared" si="32"/>
        <v>-</v>
      </c>
      <c r="O654" s="126"/>
      <c r="P654" s="127"/>
      <c r="Q654" s="127"/>
      <c r="R654" s="126"/>
      <c r="S654" s="127"/>
      <c r="T654" s="8"/>
      <c r="U654" s="158"/>
      <c r="V654" s="7"/>
      <c r="W654" s="7"/>
      <c r="X654" s="146"/>
      <c r="Y654" s="7"/>
      <c r="Z654" s="7"/>
      <c r="AA654" s="7" t="str">
        <f>IFERROR((VLOOKUP(F654,#REF!,2,FALSE)),"-")</f>
        <v>-</v>
      </c>
      <c r="AB654" s="119" t="e">
        <f>CONCATENATE(F654," - ",I654," - ",#REF!,)</f>
        <v>#REF!</v>
      </c>
    </row>
    <row r="655" spans="1:28" s="116" customFormat="1" ht="15">
      <c r="A655" s="114"/>
      <c r="B655" s="120"/>
      <c r="C655" s="129" t="str">
        <f t="shared" si="30"/>
        <v>week-0</v>
      </c>
      <c r="D655" s="120" t="str">
        <f t="shared" si="31"/>
        <v>Jan</v>
      </c>
      <c r="E655" s="7"/>
      <c r="F655" s="7"/>
      <c r="G655" s="120"/>
      <c r="H655" s="120"/>
      <c r="I655" s="118"/>
      <c r="J655" s="118"/>
      <c r="K655" s="115"/>
      <c r="L655" s="115"/>
      <c r="M655" s="8"/>
      <c r="N655" s="8" t="str">
        <f t="shared" si="32"/>
        <v>-</v>
      </c>
      <c r="O655" s="126"/>
      <c r="P655" s="127"/>
      <c r="Q655" s="127"/>
      <c r="R655" s="126"/>
      <c r="S655" s="127"/>
      <c r="T655" s="8"/>
      <c r="U655" s="158"/>
      <c r="V655" s="7"/>
      <c r="W655" s="7"/>
      <c r="X655" s="146"/>
      <c r="Y655" s="7"/>
      <c r="Z655" s="7"/>
      <c r="AA655" s="7" t="str">
        <f>IFERROR((VLOOKUP(F655,#REF!,2,FALSE)),"-")</f>
        <v>-</v>
      </c>
      <c r="AB655" s="119" t="e">
        <f>CONCATENATE(F655," - ",I655," - ",#REF!,)</f>
        <v>#REF!</v>
      </c>
    </row>
    <row r="656" spans="1:28" s="116" customFormat="1" ht="15">
      <c r="A656" s="114"/>
      <c r="B656" s="120"/>
      <c r="C656" s="129" t="str">
        <f t="shared" si="30"/>
        <v>week-0</v>
      </c>
      <c r="D656" s="120" t="str">
        <f t="shared" si="31"/>
        <v>Jan</v>
      </c>
      <c r="E656" s="7"/>
      <c r="F656" s="7"/>
      <c r="G656" s="120"/>
      <c r="H656" s="120"/>
      <c r="I656" s="118"/>
      <c r="J656" s="118"/>
      <c r="K656" s="115"/>
      <c r="L656" s="115"/>
      <c r="M656" s="8"/>
      <c r="N656" s="8" t="str">
        <f t="shared" si="32"/>
        <v>-</v>
      </c>
      <c r="O656" s="126"/>
      <c r="P656" s="127"/>
      <c r="Q656" s="127"/>
      <c r="R656" s="126"/>
      <c r="S656" s="127"/>
      <c r="T656" s="8"/>
      <c r="U656" s="158"/>
      <c r="V656" s="7"/>
      <c r="W656" s="7"/>
      <c r="X656" s="146"/>
      <c r="Y656" s="7"/>
      <c r="Z656" s="7"/>
      <c r="AA656" s="7" t="str">
        <f>IFERROR((VLOOKUP(F656,#REF!,2,FALSE)),"-")</f>
        <v>-</v>
      </c>
      <c r="AB656" s="119" t="e">
        <f>CONCATENATE(F656," - ",I656," - ",#REF!,)</f>
        <v>#REF!</v>
      </c>
    </row>
    <row r="657" spans="1:28" s="116" customFormat="1" ht="15">
      <c r="A657" s="114"/>
      <c r="B657" s="120"/>
      <c r="C657" s="129" t="str">
        <f t="shared" si="30"/>
        <v>week-0</v>
      </c>
      <c r="D657" s="120" t="str">
        <f t="shared" si="31"/>
        <v>Jan</v>
      </c>
      <c r="E657" s="7"/>
      <c r="F657" s="7"/>
      <c r="G657" s="120"/>
      <c r="H657" s="120"/>
      <c r="I657" s="118"/>
      <c r="J657" s="118"/>
      <c r="K657" s="115"/>
      <c r="L657" s="115"/>
      <c r="M657" s="8"/>
      <c r="N657" s="8" t="str">
        <f t="shared" si="32"/>
        <v>-</v>
      </c>
      <c r="O657" s="126"/>
      <c r="P657" s="127"/>
      <c r="Q657" s="127"/>
      <c r="R657" s="126"/>
      <c r="S657" s="127"/>
      <c r="T657" s="8"/>
      <c r="U657" s="158"/>
      <c r="V657" s="7"/>
      <c r="W657" s="7"/>
      <c r="X657" s="146"/>
      <c r="Y657" s="7"/>
      <c r="Z657" s="7"/>
      <c r="AA657" s="7" t="str">
        <f>IFERROR((VLOOKUP(F657,#REF!,2,FALSE)),"-")</f>
        <v>-</v>
      </c>
      <c r="AB657" s="119" t="e">
        <f>CONCATENATE(F657," - ",I657," - ",#REF!,)</f>
        <v>#REF!</v>
      </c>
    </row>
    <row r="658" spans="1:28" s="116" customFormat="1" ht="15">
      <c r="A658" s="114"/>
      <c r="B658" s="120"/>
      <c r="C658" s="129" t="str">
        <f t="shared" si="30"/>
        <v>week-0</v>
      </c>
      <c r="D658" s="120" t="str">
        <f t="shared" si="31"/>
        <v>Jan</v>
      </c>
      <c r="E658" s="7"/>
      <c r="F658" s="7"/>
      <c r="G658" s="120"/>
      <c r="H658" s="120"/>
      <c r="I658" s="118"/>
      <c r="J658" s="118"/>
      <c r="K658" s="115"/>
      <c r="L658" s="115"/>
      <c r="M658" s="8"/>
      <c r="N658" s="8" t="str">
        <f t="shared" si="32"/>
        <v>-</v>
      </c>
      <c r="O658" s="126"/>
      <c r="P658" s="127"/>
      <c r="Q658" s="127"/>
      <c r="R658" s="126"/>
      <c r="S658" s="127"/>
      <c r="T658" s="8"/>
      <c r="U658" s="158"/>
      <c r="V658" s="7"/>
      <c r="W658" s="7"/>
      <c r="X658" s="146"/>
      <c r="Y658" s="7"/>
      <c r="Z658" s="7"/>
      <c r="AA658" s="7" t="str">
        <f>IFERROR((VLOOKUP(F658,#REF!,2,FALSE)),"-")</f>
        <v>-</v>
      </c>
      <c r="AB658" s="119" t="e">
        <f>CONCATENATE(F658," - ",I658," - ",#REF!,)</f>
        <v>#REF!</v>
      </c>
    </row>
    <row r="659" spans="1:28" s="116" customFormat="1" ht="15">
      <c r="A659" s="114"/>
      <c r="B659" s="120"/>
      <c r="C659" s="129" t="str">
        <f t="shared" si="30"/>
        <v>week-0</v>
      </c>
      <c r="D659" s="120" t="str">
        <f t="shared" si="31"/>
        <v>Jan</v>
      </c>
      <c r="E659" s="7"/>
      <c r="F659" s="7"/>
      <c r="G659" s="120"/>
      <c r="H659" s="120"/>
      <c r="I659" s="118"/>
      <c r="J659" s="118"/>
      <c r="K659" s="115"/>
      <c r="L659" s="115"/>
      <c r="M659" s="8"/>
      <c r="N659" s="8" t="str">
        <f t="shared" si="32"/>
        <v>-</v>
      </c>
      <c r="O659" s="126"/>
      <c r="P659" s="127"/>
      <c r="Q659" s="127"/>
      <c r="R659" s="126"/>
      <c r="S659" s="127"/>
      <c r="T659" s="8"/>
      <c r="U659" s="158"/>
      <c r="V659" s="7"/>
      <c r="W659" s="7"/>
      <c r="X659" s="146"/>
      <c r="Y659" s="7"/>
      <c r="Z659" s="7"/>
      <c r="AA659" s="7" t="str">
        <f>IFERROR((VLOOKUP(F659,#REF!,2,FALSE)),"-")</f>
        <v>-</v>
      </c>
      <c r="AB659" s="119" t="e">
        <f>CONCATENATE(F659," - ",I659," - ",#REF!,)</f>
        <v>#REF!</v>
      </c>
    </row>
    <row r="660" spans="1:28" s="116" customFormat="1" ht="15">
      <c r="A660" s="114"/>
      <c r="B660" s="120"/>
      <c r="C660" s="129" t="str">
        <f t="shared" si="30"/>
        <v>week-0</v>
      </c>
      <c r="D660" s="120" t="str">
        <f t="shared" si="31"/>
        <v>Jan</v>
      </c>
      <c r="E660" s="7"/>
      <c r="F660" s="7"/>
      <c r="G660" s="120"/>
      <c r="H660" s="120"/>
      <c r="I660" s="118"/>
      <c r="J660" s="118"/>
      <c r="K660" s="115"/>
      <c r="L660" s="115"/>
      <c r="M660" s="8"/>
      <c r="N660" s="8" t="str">
        <f t="shared" si="32"/>
        <v>-</v>
      </c>
      <c r="O660" s="126"/>
      <c r="P660" s="127"/>
      <c r="Q660" s="127"/>
      <c r="R660" s="126"/>
      <c r="S660" s="127"/>
      <c r="T660" s="8"/>
      <c r="U660" s="158"/>
      <c r="V660" s="7"/>
      <c r="W660" s="7"/>
      <c r="X660" s="146"/>
      <c r="Y660" s="7"/>
      <c r="Z660" s="7"/>
      <c r="AA660" s="7" t="str">
        <f>IFERROR((VLOOKUP(F660,#REF!,2,FALSE)),"-")</f>
        <v>-</v>
      </c>
      <c r="AB660" s="119" t="e">
        <f>CONCATENATE(F660," - ",I660," - ",#REF!,)</f>
        <v>#REF!</v>
      </c>
    </row>
    <row r="661" spans="1:28" s="116" customFormat="1" ht="15">
      <c r="A661" s="114"/>
      <c r="B661" s="120"/>
      <c r="C661" s="129" t="str">
        <f t="shared" si="30"/>
        <v>week-0</v>
      </c>
      <c r="D661" s="120" t="str">
        <f t="shared" si="31"/>
        <v>Jan</v>
      </c>
      <c r="E661" s="7"/>
      <c r="F661" s="7"/>
      <c r="G661" s="120"/>
      <c r="H661" s="120"/>
      <c r="I661" s="118"/>
      <c r="J661" s="118"/>
      <c r="K661" s="115"/>
      <c r="L661" s="115"/>
      <c r="M661" s="8"/>
      <c r="N661" s="8" t="str">
        <f t="shared" si="32"/>
        <v>-</v>
      </c>
      <c r="O661" s="126"/>
      <c r="P661" s="127"/>
      <c r="Q661" s="127"/>
      <c r="R661" s="126"/>
      <c r="S661" s="127"/>
      <c r="T661" s="8"/>
      <c r="U661" s="158"/>
      <c r="V661" s="7"/>
      <c r="W661" s="7"/>
      <c r="X661" s="146"/>
      <c r="Y661" s="7"/>
      <c r="Z661" s="7"/>
      <c r="AA661" s="7" t="str">
        <f>IFERROR((VLOOKUP(F661,#REF!,2,FALSE)),"-")</f>
        <v>-</v>
      </c>
      <c r="AB661" s="119" t="e">
        <f>CONCATENATE(F661," - ",I661," - ",#REF!,)</f>
        <v>#REF!</v>
      </c>
    </row>
    <row r="662" spans="1:28" s="116" customFormat="1" ht="15">
      <c r="A662" s="114"/>
      <c r="B662" s="120"/>
      <c r="C662" s="129" t="str">
        <f t="shared" si="30"/>
        <v>week-0</v>
      </c>
      <c r="D662" s="120" t="str">
        <f t="shared" si="31"/>
        <v>Jan</v>
      </c>
      <c r="E662" s="7"/>
      <c r="F662" s="7"/>
      <c r="G662" s="120"/>
      <c r="H662" s="120"/>
      <c r="I662" s="118"/>
      <c r="J662" s="118"/>
      <c r="K662" s="115"/>
      <c r="L662" s="115"/>
      <c r="M662" s="8"/>
      <c r="N662" s="8" t="str">
        <f t="shared" si="32"/>
        <v>-</v>
      </c>
      <c r="O662" s="126"/>
      <c r="P662" s="127"/>
      <c r="Q662" s="127"/>
      <c r="R662" s="126"/>
      <c r="S662" s="127"/>
      <c r="T662" s="8"/>
      <c r="U662" s="158"/>
      <c r="V662" s="7"/>
      <c r="W662" s="7"/>
      <c r="X662" s="146"/>
      <c r="Y662" s="7"/>
      <c r="Z662" s="7"/>
      <c r="AA662" s="7" t="str">
        <f>IFERROR((VLOOKUP(F662,#REF!,2,FALSE)),"-")</f>
        <v>-</v>
      </c>
      <c r="AB662" s="119" t="e">
        <f>CONCATENATE(F662," - ",I662," - ",#REF!,)</f>
        <v>#REF!</v>
      </c>
    </row>
    <row r="663" spans="1:28" s="116" customFormat="1" ht="15">
      <c r="A663" s="114"/>
      <c r="B663" s="120"/>
      <c r="C663" s="129" t="str">
        <f t="shared" si="30"/>
        <v>week-0</v>
      </c>
      <c r="D663" s="120" t="str">
        <f t="shared" si="31"/>
        <v>Jan</v>
      </c>
      <c r="E663" s="7"/>
      <c r="F663" s="7"/>
      <c r="G663" s="120"/>
      <c r="H663" s="120"/>
      <c r="I663" s="118"/>
      <c r="J663" s="118"/>
      <c r="K663" s="115"/>
      <c r="L663" s="115"/>
      <c r="M663" s="8"/>
      <c r="N663" s="8" t="str">
        <f t="shared" si="32"/>
        <v>-</v>
      </c>
      <c r="O663" s="126"/>
      <c r="P663" s="127"/>
      <c r="Q663" s="127"/>
      <c r="R663" s="126"/>
      <c r="S663" s="127"/>
      <c r="T663" s="8"/>
      <c r="U663" s="158"/>
      <c r="V663" s="7"/>
      <c r="W663" s="7"/>
      <c r="X663" s="146"/>
      <c r="Y663" s="7"/>
      <c r="Z663" s="7"/>
      <c r="AA663" s="7" t="str">
        <f>IFERROR((VLOOKUP(F663,#REF!,2,FALSE)),"-")</f>
        <v>-</v>
      </c>
      <c r="AB663" s="119" t="e">
        <f>CONCATENATE(F663," - ",I663," - ",#REF!,)</f>
        <v>#REF!</v>
      </c>
    </row>
    <row r="664" spans="1:28" s="116" customFormat="1" ht="15">
      <c r="A664" s="114"/>
      <c r="B664" s="120"/>
      <c r="C664" s="129" t="str">
        <f t="shared" si="30"/>
        <v>week-0</v>
      </c>
      <c r="D664" s="120" t="str">
        <f t="shared" si="31"/>
        <v>Jan</v>
      </c>
      <c r="E664" s="7"/>
      <c r="F664" s="7"/>
      <c r="G664" s="120"/>
      <c r="H664" s="120"/>
      <c r="I664" s="118"/>
      <c r="J664" s="118"/>
      <c r="K664" s="115"/>
      <c r="L664" s="115"/>
      <c r="M664" s="8"/>
      <c r="N664" s="8" t="str">
        <f t="shared" si="32"/>
        <v>-</v>
      </c>
      <c r="O664" s="126"/>
      <c r="P664" s="127"/>
      <c r="Q664" s="127"/>
      <c r="R664" s="126"/>
      <c r="S664" s="127"/>
      <c r="T664" s="8"/>
      <c r="U664" s="158"/>
      <c r="V664" s="7"/>
      <c r="W664" s="7"/>
      <c r="X664" s="146"/>
      <c r="Y664" s="7"/>
      <c r="Z664" s="7"/>
      <c r="AA664" s="7" t="str">
        <f>IFERROR((VLOOKUP(F664,#REF!,2,FALSE)),"-")</f>
        <v>-</v>
      </c>
      <c r="AB664" s="119" t="e">
        <f>CONCATENATE(F664," - ",I664," - ",#REF!,)</f>
        <v>#REF!</v>
      </c>
    </row>
    <row r="665" spans="1:28" s="116" customFormat="1" ht="15">
      <c r="A665" s="114"/>
      <c r="B665" s="120"/>
      <c r="C665" s="129" t="str">
        <f t="shared" si="30"/>
        <v>week-0</v>
      </c>
      <c r="D665" s="120" t="str">
        <f t="shared" si="31"/>
        <v>Jan</v>
      </c>
      <c r="E665" s="7"/>
      <c r="F665" s="7"/>
      <c r="G665" s="120"/>
      <c r="H665" s="120"/>
      <c r="I665" s="118"/>
      <c r="J665" s="118"/>
      <c r="K665" s="115"/>
      <c r="L665" s="115"/>
      <c r="M665" s="8"/>
      <c r="N665" s="8" t="str">
        <f t="shared" si="32"/>
        <v>-</v>
      </c>
      <c r="O665" s="126"/>
      <c r="P665" s="127"/>
      <c r="Q665" s="127"/>
      <c r="R665" s="126"/>
      <c r="S665" s="127"/>
      <c r="T665" s="8"/>
      <c r="U665" s="158"/>
      <c r="V665" s="7"/>
      <c r="W665" s="7"/>
      <c r="X665" s="146"/>
      <c r="Y665" s="7"/>
      <c r="Z665" s="7"/>
      <c r="AA665" s="7" t="str">
        <f>IFERROR((VLOOKUP(F665,#REF!,2,FALSE)),"-")</f>
        <v>-</v>
      </c>
      <c r="AB665" s="119" t="e">
        <f>CONCATENATE(F665," - ",I665," - ",#REF!,)</f>
        <v>#REF!</v>
      </c>
    </row>
    <row r="666" spans="1:28" s="116" customFormat="1" ht="15">
      <c r="A666" s="114"/>
      <c r="B666" s="120"/>
      <c r="C666" s="129" t="str">
        <f t="shared" si="30"/>
        <v>week-0</v>
      </c>
      <c r="D666" s="120" t="str">
        <f t="shared" si="31"/>
        <v>Jan</v>
      </c>
      <c r="E666" s="7"/>
      <c r="F666" s="7"/>
      <c r="G666" s="120"/>
      <c r="H666" s="120"/>
      <c r="I666" s="118"/>
      <c r="J666" s="118"/>
      <c r="K666" s="115"/>
      <c r="L666" s="115"/>
      <c r="M666" s="8"/>
      <c r="N666" s="8" t="str">
        <f t="shared" si="32"/>
        <v>-</v>
      </c>
      <c r="O666" s="126"/>
      <c r="P666" s="127"/>
      <c r="Q666" s="127"/>
      <c r="R666" s="126"/>
      <c r="S666" s="127"/>
      <c r="T666" s="8"/>
      <c r="U666" s="158"/>
      <c r="V666" s="7"/>
      <c r="W666" s="7"/>
      <c r="X666" s="146"/>
      <c r="Y666" s="7"/>
      <c r="Z666" s="7"/>
      <c r="AA666" s="7" t="str">
        <f>IFERROR((VLOOKUP(F666,#REF!,2,FALSE)),"-")</f>
        <v>-</v>
      </c>
      <c r="AB666" s="119" t="e">
        <f>CONCATENATE(F666," - ",I666," - ",#REF!,)</f>
        <v>#REF!</v>
      </c>
    </row>
    <row r="667" spans="1:28" s="116" customFormat="1" ht="15">
      <c r="A667" s="114"/>
      <c r="B667" s="120"/>
      <c r="C667" s="129" t="str">
        <f t="shared" si="30"/>
        <v>week-0</v>
      </c>
      <c r="D667" s="120" t="str">
        <f t="shared" si="31"/>
        <v>Jan</v>
      </c>
      <c r="E667" s="7"/>
      <c r="F667" s="7"/>
      <c r="G667" s="120"/>
      <c r="H667" s="120"/>
      <c r="I667" s="118"/>
      <c r="J667" s="118"/>
      <c r="K667" s="115"/>
      <c r="L667" s="115"/>
      <c r="M667" s="8"/>
      <c r="N667" s="8" t="str">
        <f t="shared" si="32"/>
        <v>-</v>
      </c>
      <c r="O667" s="126"/>
      <c r="P667" s="127"/>
      <c r="Q667" s="127"/>
      <c r="R667" s="126"/>
      <c r="S667" s="127"/>
      <c r="T667" s="8"/>
      <c r="U667" s="158"/>
      <c r="V667" s="7"/>
      <c r="W667" s="7"/>
      <c r="X667" s="146"/>
      <c r="Y667" s="7"/>
      <c r="Z667" s="7"/>
      <c r="AA667" s="7" t="str">
        <f>IFERROR((VLOOKUP(F667,#REF!,2,FALSE)),"-")</f>
        <v>-</v>
      </c>
      <c r="AB667" s="119" t="e">
        <f>CONCATENATE(F667," - ",I667," - ",#REF!,)</f>
        <v>#REF!</v>
      </c>
    </row>
    <row r="668" spans="1:28" s="116" customFormat="1" ht="15">
      <c r="A668" s="114"/>
      <c r="B668" s="120"/>
      <c r="C668" s="129" t="str">
        <f t="shared" si="30"/>
        <v>week-0</v>
      </c>
      <c r="D668" s="120" t="str">
        <f t="shared" si="31"/>
        <v>Jan</v>
      </c>
      <c r="E668" s="7"/>
      <c r="F668" s="7"/>
      <c r="G668" s="120"/>
      <c r="H668" s="120"/>
      <c r="I668" s="118"/>
      <c r="J668" s="118"/>
      <c r="K668" s="115"/>
      <c r="L668" s="115"/>
      <c r="M668" s="8"/>
      <c r="N668" s="8" t="str">
        <f t="shared" si="32"/>
        <v>-</v>
      </c>
      <c r="O668" s="126"/>
      <c r="P668" s="127"/>
      <c r="Q668" s="127"/>
      <c r="R668" s="126"/>
      <c r="S668" s="127"/>
      <c r="T668" s="8"/>
      <c r="U668" s="158"/>
      <c r="V668" s="7"/>
      <c r="W668" s="7"/>
      <c r="X668" s="146"/>
      <c r="Y668" s="7"/>
      <c r="Z668" s="7"/>
      <c r="AA668" s="7" t="str">
        <f>IFERROR((VLOOKUP(F668,#REF!,2,FALSE)),"-")</f>
        <v>-</v>
      </c>
      <c r="AB668" s="119" t="e">
        <f>CONCATENATE(F668," - ",I668," - ",#REF!,)</f>
        <v>#REF!</v>
      </c>
    </row>
    <row r="669" spans="1:28" s="116" customFormat="1" ht="15">
      <c r="A669" s="114"/>
      <c r="B669" s="120"/>
      <c r="C669" s="129" t="str">
        <f t="shared" si="30"/>
        <v>week-0</v>
      </c>
      <c r="D669" s="120" t="str">
        <f t="shared" si="31"/>
        <v>Jan</v>
      </c>
      <c r="E669" s="7"/>
      <c r="F669" s="7"/>
      <c r="G669" s="120"/>
      <c r="H669" s="120"/>
      <c r="I669" s="118"/>
      <c r="J669" s="118"/>
      <c r="K669" s="115"/>
      <c r="L669" s="115"/>
      <c r="M669" s="8"/>
      <c r="N669" s="8" t="str">
        <f t="shared" si="32"/>
        <v>-</v>
      </c>
      <c r="O669" s="127"/>
      <c r="P669" s="127"/>
      <c r="Q669" s="127"/>
      <c r="R669" s="127"/>
      <c r="S669" s="127"/>
      <c r="T669" s="139"/>
      <c r="U669" s="158"/>
      <c r="V669" s="7"/>
      <c r="W669" s="7"/>
      <c r="X669" s="146"/>
      <c r="Y669" s="7"/>
      <c r="Z669" s="7"/>
      <c r="AA669" s="7" t="str">
        <f>IFERROR((VLOOKUP(F669,#REF!,2,FALSE)),"-")</f>
        <v>-</v>
      </c>
      <c r="AB669" s="119" t="e">
        <f>CONCATENATE(F669," - ",I669," - ",#REF!,)</f>
        <v>#REF!</v>
      </c>
    </row>
    <row r="670" spans="1:28" s="116" customFormat="1" ht="15">
      <c r="A670" s="114"/>
      <c r="B670" s="120"/>
      <c r="C670" s="129" t="str">
        <f t="shared" si="30"/>
        <v>week-0</v>
      </c>
      <c r="D670" s="120" t="str">
        <f t="shared" si="31"/>
        <v>Jan</v>
      </c>
      <c r="E670" s="7"/>
      <c r="F670" s="7"/>
      <c r="G670" s="120"/>
      <c r="H670" s="120"/>
      <c r="I670" s="118"/>
      <c r="J670" s="118"/>
      <c r="K670" s="115"/>
      <c r="L670" s="115"/>
      <c r="M670" s="8"/>
      <c r="N670" s="8" t="str">
        <f t="shared" si="32"/>
        <v>-</v>
      </c>
      <c r="O670" s="126"/>
      <c r="P670" s="127"/>
      <c r="Q670" s="127"/>
      <c r="R670" s="126"/>
      <c r="S670" s="127"/>
      <c r="T670" s="8"/>
      <c r="U670" s="158"/>
      <c r="V670" s="7"/>
      <c r="W670" s="7"/>
      <c r="X670" s="146"/>
      <c r="Y670" s="7"/>
      <c r="Z670" s="7"/>
      <c r="AA670" s="7" t="str">
        <f>IFERROR((VLOOKUP(F670,#REF!,2,FALSE)),"-")</f>
        <v>-</v>
      </c>
      <c r="AB670" s="119" t="e">
        <f>CONCATENATE(F670," - ",I670," - ",#REF!,)</f>
        <v>#REF!</v>
      </c>
    </row>
    <row r="671" spans="1:28" s="116" customFormat="1" ht="15">
      <c r="A671" s="114"/>
      <c r="B671" s="120"/>
      <c r="C671" s="129" t="str">
        <f t="shared" si="30"/>
        <v>week-0</v>
      </c>
      <c r="D671" s="120" t="str">
        <f t="shared" si="31"/>
        <v>Jan</v>
      </c>
      <c r="E671" s="7"/>
      <c r="F671" s="7"/>
      <c r="G671" s="120"/>
      <c r="H671" s="120"/>
      <c r="I671" s="118"/>
      <c r="J671" s="118"/>
      <c r="K671" s="115"/>
      <c r="L671" s="115"/>
      <c r="M671" s="8"/>
      <c r="N671" s="8" t="str">
        <f t="shared" si="32"/>
        <v>-</v>
      </c>
      <c r="O671" s="126"/>
      <c r="P671" s="127"/>
      <c r="Q671" s="127"/>
      <c r="R671" s="126"/>
      <c r="S671" s="127"/>
      <c r="T671" s="8"/>
      <c r="U671" s="158"/>
      <c r="V671" s="7"/>
      <c r="W671" s="7"/>
      <c r="X671" s="146"/>
      <c r="Y671" s="7"/>
      <c r="Z671" s="7"/>
      <c r="AA671" s="7" t="str">
        <f>IFERROR((VLOOKUP(F671,#REF!,2,FALSE)),"-")</f>
        <v>-</v>
      </c>
      <c r="AB671" s="119" t="e">
        <f>CONCATENATE(F671," - ",I671," - ",#REF!,)</f>
        <v>#REF!</v>
      </c>
    </row>
    <row r="672" spans="1:28" s="116" customFormat="1" ht="15">
      <c r="A672" s="114"/>
      <c r="B672" s="120"/>
      <c r="C672" s="129" t="str">
        <f t="shared" si="30"/>
        <v>week-0</v>
      </c>
      <c r="D672" s="120" t="str">
        <f t="shared" si="31"/>
        <v>Jan</v>
      </c>
      <c r="E672" s="7"/>
      <c r="F672" s="7"/>
      <c r="G672" s="120"/>
      <c r="H672" s="120"/>
      <c r="I672" s="118"/>
      <c r="J672" s="118"/>
      <c r="K672" s="115"/>
      <c r="L672" s="115"/>
      <c r="M672" s="8"/>
      <c r="N672" s="8" t="str">
        <f t="shared" si="32"/>
        <v>-</v>
      </c>
      <c r="O672" s="126"/>
      <c r="P672" s="127"/>
      <c r="Q672" s="127"/>
      <c r="R672" s="126"/>
      <c r="S672" s="127"/>
      <c r="T672" s="8"/>
      <c r="U672" s="158"/>
      <c r="V672" s="7"/>
      <c r="W672" s="7"/>
      <c r="X672" s="146"/>
      <c r="Y672" s="7"/>
      <c r="Z672" s="7"/>
      <c r="AA672" s="7" t="str">
        <f>IFERROR((VLOOKUP(F672,#REF!,2,FALSE)),"-")</f>
        <v>-</v>
      </c>
      <c r="AB672" s="119" t="e">
        <f>CONCATENATE(F672," - ",I672," - ",#REF!,)</f>
        <v>#REF!</v>
      </c>
    </row>
    <row r="673" spans="1:28" s="116" customFormat="1" ht="15">
      <c r="A673" s="114"/>
      <c r="B673" s="120"/>
      <c r="C673" s="129" t="str">
        <f t="shared" si="30"/>
        <v>week-0</v>
      </c>
      <c r="D673" s="120" t="str">
        <f t="shared" si="31"/>
        <v>Jan</v>
      </c>
      <c r="E673" s="7"/>
      <c r="F673" s="7"/>
      <c r="G673" s="120"/>
      <c r="H673" s="120"/>
      <c r="I673" s="118"/>
      <c r="J673" s="118"/>
      <c r="K673" s="115"/>
      <c r="L673" s="115"/>
      <c r="M673" s="8"/>
      <c r="N673" s="8" t="str">
        <f t="shared" si="32"/>
        <v>-</v>
      </c>
      <c r="O673" s="126"/>
      <c r="P673" s="127"/>
      <c r="Q673" s="127"/>
      <c r="R673" s="126"/>
      <c r="S673" s="127"/>
      <c r="T673" s="8"/>
      <c r="U673" s="158"/>
      <c r="V673" s="7"/>
      <c r="W673" s="7"/>
      <c r="X673" s="146"/>
      <c r="Y673" s="7"/>
      <c r="Z673" s="7"/>
      <c r="AA673" s="7" t="str">
        <f>IFERROR((VLOOKUP(F673,#REF!,2,FALSE)),"-")</f>
        <v>-</v>
      </c>
      <c r="AB673" s="119" t="e">
        <f>CONCATENATE(F673," - ",I673," - ",#REF!,)</f>
        <v>#REF!</v>
      </c>
    </row>
    <row r="674" spans="1:28" s="116" customFormat="1" ht="15">
      <c r="A674" s="114"/>
      <c r="B674" s="120"/>
      <c r="C674" s="129" t="str">
        <f t="shared" si="30"/>
        <v>week-0</v>
      </c>
      <c r="D674" s="120" t="str">
        <f t="shared" si="31"/>
        <v>Jan</v>
      </c>
      <c r="E674" s="7"/>
      <c r="F674" s="7"/>
      <c r="G674" s="120"/>
      <c r="H674" s="120"/>
      <c r="I674" s="118"/>
      <c r="J674" s="118"/>
      <c r="K674" s="115"/>
      <c r="L674" s="115"/>
      <c r="M674" s="8"/>
      <c r="N674" s="8" t="str">
        <f t="shared" si="32"/>
        <v>-</v>
      </c>
      <c r="O674" s="126"/>
      <c r="P674" s="127"/>
      <c r="Q674" s="127"/>
      <c r="R674" s="126"/>
      <c r="S674" s="127"/>
      <c r="T674" s="8"/>
      <c r="U674" s="158"/>
      <c r="V674" s="7"/>
      <c r="W674" s="7"/>
      <c r="X674" s="146"/>
      <c r="Y674" s="7"/>
      <c r="Z674" s="7"/>
      <c r="AA674" s="7" t="str">
        <f>IFERROR((VLOOKUP(F674,#REF!,2,FALSE)),"-")</f>
        <v>-</v>
      </c>
      <c r="AB674" s="119" t="e">
        <f>CONCATENATE(F674," - ",I674," - ",#REF!,)</f>
        <v>#REF!</v>
      </c>
    </row>
    <row r="675" spans="1:28" s="116" customFormat="1" ht="15">
      <c r="A675" s="114"/>
      <c r="B675" s="120"/>
      <c r="C675" s="129" t="str">
        <f t="shared" si="30"/>
        <v>week-0</v>
      </c>
      <c r="D675" s="120" t="str">
        <f t="shared" si="31"/>
        <v>Jan</v>
      </c>
      <c r="E675" s="7"/>
      <c r="F675" s="7"/>
      <c r="G675" s="120"/>
      <c r="H675" s="120"/>
      <c r="I675" s="118"/>
      <c r="J675" s="118"/>
      <c r="K675" s="115"/>
      <c r="L675" s="115"/>
      <c r="M675" s="8"/>
      <c r="N675" s="8" t="str">
        <f t="shared" si="32"/>
        <v>-</v>
      </c>
      <c r="O675" s="126"/>
      <c r="P675" s="127"/>
      <c r="Q675" s="127"/>
      <c r="R675" s="126"/>
      <c r="S675" s="127"/>
      <c r="T675" s="8"/>
      <c r="U675" s="158"/>
      <c r="V675" s="7"/>
      <c r="W675" s="7"/>
      <c r="X675" s="146"/>
      <c r="Y675" s="7"/>
      <c r="Z675" s="7"/>
      <c r="AA675" s="7" t="str">
        <f>IFERROR((VLOOKUP(F675,#REF!,2,FALSE)),"-")</f>
        <v>-</v>
      </c>
      <c r="AB675" s="119" t="e">
        <f>CONCATENATE(F675," - ",I675," - ",#REF!,)</f>
        <v>#REF!</v>
      </c>
    </row>
    <row r="676" spans="1:28" s="116" customFormat="1" ht="15">
      <c r="A676" s="114"/>
      <c r="B676" s="120"/>
      <c r="C676" s="129" t="str">
        <f t="shared" si="30"/>
        <v>week-0</v>
      </c>
      <c r="D676" s="120" t="str">
        <f t="shared" si="31"/>
        <v>Jan</v>
      </c>
      <c r="E676" s="7"/>
      <c r="F676" s="7"/>
      <c r="G676" s="120"/>
      <c r="H676" s="120"/>
      <c r="I676" s="118"/>
      <c r="J676" s="118"/>
      <c r="K676" s="115"/>
      <c r="L676" s="115"/>
      <c r="M676" s="8"/>
      <c r="N676" s="8" t="str">
        <f t="shared" si="32"/>
        <v>-</v>
      </c>
      <c r="O676" s="126"/>
      <c r="P676" s="127"/>
      <c r="Q676" s="127"/>
      <c r="R676" s="126"/>
      <c r="S676" s="127"/>
      <c r="T676" s="8"/>
      <c r="U676" s="158"/>
      <c r="V676" s="7"/>
      <c r="W676" s="7"/>
      <c r="X676" s="146"/>
      <c r="Y676" s="7"/>
      <c r="Z676" s="7"/>
      <c r="AA676" s="7" t="str">
        <f>IFERROR((VLOOKUP(F676,#REF!,2,FALSE)),"-")</f>
        <v>-</v>
      </c>
      <c r="AB676" s="119" t="e">
        <f>CONCATENATE(F676," - ",I676," - ",#REF!,)</f>
        <v>#REF!</v>
      </c>
    </row>
    <row r="677" spans="1:28" s="116" customFormat="1" ht="15">
      <c r="A677" s="114"/>
      <c r="B677" s="120"/>
      <c r="C677" s="129" t="str">
        <f t="shared" si="30"/>
        <v>week-0</v>
      </c>
      <c r="D677" s="120" t="str">
        <f t="shared" si="31"/>
        <v>Jan</v>
      </c>
      <c r="E677" s="7"/>
      <c r="F677" s="7"/>
      <c r="G677" s="120"/>
      <c r="H677" s="120"/>
      <c r="I677" s="118"/>
      <c r="J677" s="118"/>
      <c r="K677" s="115"/>
      <c r="L677" s="115"/>
      <c r="M677" s="8"/>
      <c r="N677" s="8" t="str">
        <f t="shared" si="32"/>
        <v>-</v>
      </c>
      <c r="O677" s="126"/>
      <c r="P677" s="127"/>
      <c r="Q677" s="127"/>
      <c r="R677" s="126"/>
      <c r="S677" s="127"/>
      <c r="T677" s="8"/>
      <c r="U677" s="158"/>
      <c r="V677" s="7"/>
      <c r="W677" s="7"/>
      <c r="X677" s="146"/>
      <c r="Y677" s="7"/>
      <c r="Z677" s="7"/>
      <c r="AA677" s="7" t="str">
        <f>IFERROR((VLOOKUP(F677,#REF!,2,FALSE)),"-")</f>
        <v>-</v>
      </c>
      <c r="AB677" s="119" t="e">
        <f>CONCATENATE(F677," - ",I677," - ",#REF!,)</f>
        <v>#REF!</v>
      </c>
    </row>
    <row r="678" spans="1:28" s="116" customFormat="1" ht="15">
      <c r="A678" s="114"/>
      <c r="B678" s="120"/>
      <c r="C678" s="129" t="str">
        <f t="shared" si="30"/>
        <v>week-0</v>
      </c>
      <c r="D678" s="120" t="str">
        <f t="shared" si="31"/>
        <v>Jan</v>
      </c>
      <c r="E678" s="7"/>
      <c r="F678" s="7"/>
      <c r="G678" s="120"/>
      <c r="H678" s="120"/>
      <c r="I678" s="118"/>
      <c r="J678" s="118"/>
      <c r="K678" s="115"/>
      <c r="L678" s="115"/>
      <c r="M678" s="8"/>
      <c r="N678" s="8" t="str">
        <f t="shared" si="32"/>
        <v>-</v>
      </c>
      <c r="O678" s="126"/>
      <c r="P678" s="127"/>
      <c r="Q678" s="127"/>
      <c r="R678" s="126"/>
      <c r="S678" s="127"/>
      <c r="T678" s="8"/>
      <c r="U678" s="158"/>
      <c r="V678" s="7"/>
      <c r="W678" s="7"/>
      <c r="X678" s="146"/>
      <c r="Y678" s="7"/>
      <c r="Z678" s="7"/>
      <c r="AA678" s="7" t="str">
        <f>IFERROR((VLOOKUP(F678,#REF!,2,FALSE)),"-")</f>
        <v>-</v>
      </c>
      <c r="AB678" s="119" t="e">
        <f>CONCATENATE(F678," - ",I678," - ",#REF!,)</f>
        <v>#REF!</v>
      </c>
    </row>
    <row r="679" spans="1:28" s="116" customFormat="1" ht="15">
      <c r="A679" s="114"/>
      <c r="B679" s="120"/>
      <c r="C679" s="129" t="str">
        <f t="shared" si="30"/>
        <v>week-0</v>
      </c>
      <c r="D679" s="120" t="str">
        <f t="shared" si="31"/>
        <v>Jan</v>
      </c>
      <c r="E679" s="7"/>
      <c r="F679" s="7"/>
      <c r="G679" s="120"/>
      <c r="H679" s="120"/>
      <c r="I679" s="118"/>
      <c r="J679" s="118"/>
      <c r="K679" s="115"/>
      <c r="L679" s="115"/>
      <c r="M679" s="8"/>
      <c r="N679" s="8" t="str">
        <f t="shared" si="32"/>
        <v>-</v>
      </c>
      <c r="O679" s="126"/>
      <c r="P679" s="127"/>
      <c r="Q679" s="127"/>
      <c r="R679" s="126"/>
      <c r="S679" s="127"/>
      <c r="T679" s="8"/>
      <c r="U679" s="158"/>
      <c r="V679" s="7"/>
      <c r="W679" s="7"/>
      <c r="X679" s="146"/>
      <c r="Y679" s="7"/>
      <c r="Z679" s="7"/>
      <c r="AA679" s="7" t="str">
        <f>IFERROR((VLOOKUP(F679,#REF!,2,FALSE)),"-")</f>
        <v>-</v>
      </c>
      <c r="AB679" s="119" t="e">
        <f>CONCATENATE(F679," - ",I679," - ",#REF!,)</f>
        <v>#REF!</v>
      </c>
    </row>
    <row r="680" spans="1:28" s="116" customFormat="1" ht="15">
      <c r="A680" s="114"/>
      <c r="B680" s="120"/>
      <c r="C680" s="129" t="str">
        <f t="shared" si="30"/>
        <v>week-0</v>
      </c>
      <c r="D680" s="120" t="str">
        <f t="shared" si="31"/>
        <v>Jan</v>
      </c>
      <c r="E680" s="7"/>
      <c r="F680" s="7"/>
      <c r="G680" s="120"/>
      <c r="H680" s="120"/>
      <c r="I680" s="118"/>
      <c r="J680" s="118"/>
      <c r="K680" s="115"/>
      <c r="L680" s="115"/>
      <c r="M680" s="8"/>
      <c r="N680" s="8" t="str">
        <f t="shared" si="32"/>
        <v>-</v>
      </c>
      <c r="O680" s="126"/>
      <c r="P680" s="127"/>
      <c r="Q680" s="127"/>
      <c r="R680" s="126"/>
      <c r="S680" s="127"/>
      <c r="T680" s="8"/>
      <c r="U680" s="158"/>
      <c r="V680" s="7"/>
      <c r="W680" s="7"/>
      <c r="X680" s="146"/>
      <c r="Y680" s="7"/>
      <c r="Z680" s="7"/>
      <c r="AA680" s="7" t="str">
        <f>IFERROR((VLOOKUP(F680,#REF!,2,FALSE)),"-")</f>
        <v>-</v>
      </c>
      <c r="AB680" s="119" t="e">
        <f>CONCATENATE(F680," - ",I680," - ",#REF!,)</f>
        <v>#REF!</v>
      </c>
    </row>
    <row r="681" spans="1:28" s="116" customFormat="1" ht="15">
      <c r="A681" s="114"/>
      <c r="B681" s="120"/>
      <c r="C681" s="129" t="str">
        <f t="shared" si="30"/>
        <v>week-0</v>
      </c>
      <c r="D681" s="120" t="str">
        <f t="shared" si="31"/>
        <v>Jan</v>
      </c>
      <c r="E681" s="7"/>
      <c r="F681" s="7"/>
      <c r="G681" s="120"/>
      <c r="H681" s="120"/>
      <c r="I681" s="118"/>
      <c r="J681" s="118"/>
      <c r="K681" s="115"/>
      <c r="L681" s="115"/>
      <c r="M681" s="8"/>
      <c r="N681" s="8" t="str">
        <f t="shared" si="32"/>
        <v>-</v>
      </c>
      <c r="O681" s="126"/>
      <c r="P681" s="127"/>
      <c r="Q681" s="127"/>
      <c r="R681" s="126"/>
      <c r="S681" s="127"/>
      <c r="T681" s="8"/>
      <c r="U681" s="158"/>
      <c r="V681" s="7"/>
      <c r="W681" s="7"/>
      <c r="X681" s="146"/>
      <c r="Y681" s="7"/>
      <c r="Z681" s="7"/>
      <c r="AA681" s="7" t="str">
        <f>IFERROR((VLOOKUP(F681,#REF!,2,FALSE)),"-")</f>
        <v>-</v>
      </c>
      <c r="AB681" s="119" t="e">
        <f>CONCATENATE(F681," - ",I681," - ",#REF!,)</f>
        <v>#REF!</v>
      </c>
    </row>
    <row r="682" spans="1:28" s="116" customFormat="1" ht="15">
      <c r="A682" s="114"/>
      <c r="B682" s="120"/>
      <c r="C682" s="129" t="str">
        <f t="shared" si="30"/>
        <v>week-0</v>
      </c>
      <c r="D682" s="120" t="str">
        <f t="shared" si="31"/>
        <v>Jan</v>
      </c>
      <c r="E682" s="7"/>
      <c r="F682" s="7"/>
      <c r="G682" s="120"/>
      <c r="H682" s="120"/>
      <c r="I682" s="118"/>
      <c r="J682" s="118"/>
      <c r="K682" s="115"/>
      <c r="L682" s="115"/>
      <c r="M682" s="8"/>
      <c r="N682" s="8" t="str">
        <f t="shared" si="32"/>
        <v>-</v>
      </c>
      <c r="O682" s="126"/>
      <c r="P682" s="127"/>
      <c r="Q682" s="127"/>
      <c r="R682" s="126"/>
      <c r="S682" s="127"/>
      <c r="T682" s="8"/>
      <c r="U682" s="158"/>
      <c r="V682" s="7"/>
      <c r="W682" s="7"/>
      <c r="X682" s="146"/>
      <c r="Y682" s="7"/>
      <c r="Z682" s="7"/>
      <c r="AA682" s="7" t="str">
        <f>IFERROR((VLOOKUP(F682,#REF!,2,FALSE)),"-")</f>
        <v>-</v>
      </c>
      <c r="AB682" s="119" t="e">
        <f>CONCATENATE(F682," - ",I682," - ",#REF!,)</f>
        <v>#REF!</v>
      </c>
    </row>
    <row r="683" spans="1:28" s="116" customFormat="1" ht="15">
      <c r="A683" s="114"/>
      <c r="B683" s="120"/>
      <c r="C683" s="129" t="str">
        <f t="shared" si="30"/>
        <v>week-0</v>
      </c>
      <c r="D683" s="120" t="str">
        <f t="shared" si="31"/>
        <v>Jan</v>
      </c>
      <c r="E683" s="7"/>
      <c r="F683" s="7"/>
      <c r="G683" s="120"/>
      <c r="H683" s="120"/>
      <c r="I683" s="118"/>
      <c r="J683" s="118"/>
      <c r="K683" s="115"/>
      <c r="L683" s="115"/>
      <c r="M683" s="8"/>
      <c r="N683" s="8" t="str">
        <f t="shared" si="32"/>
        <v>-</v>
      </c>
      <c r="O683" s="126"/>
      <c r="P683" s="127"/>
      <c r="Q683" s="127"/>
      <c r="R683" s="126"/>
      <c r="S683" s="127"/>
      <c r="T683" s="8"/>
      <c r="U683" s="158"/>
      <c r="V683" s="7"/>
      <c r="W683" s="7"/>
      <c r="X683" s="146"/>
      <c r="Y683" s="7"/>
      <c r="Z683" s="7"/>
      <c r="AA683" s="7" t="str">
        <f>IFERROR((VLOOKUP(F683,#REF!,2,FALSE)),"-")</f>
        <v>-</v>
      </c>
      <c r="AB683" s="119" t="e">
        <f>CONCATENATE(F683," - ",I683," - ",#REF!,)</f>
        <v>#REF!</v>
      </c>
    </row>
    <row r="684" spans="1:28" s="116" customFormat="1" ht="15">
      <c r="A684" s="114"/>
      <c r="B684" s="120"/>
      <c r="C684" s="129" t="str">
        <f t="shared" si="30"/>
        <v>week-0</v>
      </c>
      <c r="D684" s="120" t="str">
        <f t="shared" si="31"/>
        <v>Jan</v>
      </c>
      <c r="E684" s="7"/>
      <c r="F684" s="7"/>
      <c r="G684" s="120"/>
      <c r="H684" s="120"/>
      <c r="I684" s="118"/>
      <c r="J684" s="118"/>
      <c r="K684" s="115"/>
      <c r="L684" s="115"/>
      <c r="M684" s="8"/>
      <c r="N684" s="8" t="str">
        <f t="shared" si="32"/>
        <v>-</v>
      </c>
      <c r="O684" s="126"/>
      <c r="P684" s="127"/>
      <c r="Q684" s="127"/>
      <c r="R684" s="126"/>
      <c r="S684" s="127"/>
      <c r="T684" s="8"/>
      <c r="U684" s="158"/>
      <c r="V684" s="7"/>
      <c r="W684" s="7"/>
      <c r="X684" s="146"/>
      <c r="Y684" s="7"/>
      <c r="Z684" s="7"/>
      <c r="AA684" s="7" t="str">
        <f>IFERROR((VLOOKUP(F684,#REF!,2,FALSE)),"-")</f>
        <v>-</v>
      </c>
      <c r="AB684" s="119" t="e">
        <f>CONCATENATE(F684," - ",I684," - ",#REF!,)</f>
        <v>#REF!</v>
      </c>
    </row>
    <row r="685" spans="1:28" s="116" customFormat="1" ht="15">
      <c r="A685" s="114"/>
      <c r="B685" s="120"/>
      <c r="C685" s="129" t="str">
        <f t="shared" si="30"/>
        <v>week-0</v>
      </c>
      <c r="D685" s="120" t="str">
        <f t="shared" si="31"/>
        <v>Jan</v>
      </c>
      <c r="E685" s="7"/>
      <c r="F685" s="7"/>
      <c r="G685" s="120"/>
      <c r="H685" s="120"/>
      <c r="I685" s="118"/>
      <c r="J685" s="118"/>
      <c r="K685" s="115"/>
      <c r="L685" s="115"/>
      <c r="M685" s="8"/>
      <c r="N685" s="8" t="str">
        <f t="shared" si="32"/>
        <v>-</v>
      </c>
      <c r="O685" s="126"/>
      <c r="P685" s="127"/>
      <c r="Q685" s="127"/>
      <c r="R685" s="126"/>
      <c r="S685" s="127"/>
      <c r="T685" s="8"/>
      <c r="U685" s="158"/>
      <c r="V685" s="7"/>
      <c r="W685" s="7"/>
      <c r="X685" s="146"/>
      <c r="Y685" s="7"/>
      <c r="Z685" s="7"/>
      <c r="AA685" s="7" t="str">
        <f>IFERROR((VLOOKUP(F685,#REF!,2,FALSE)),"-")</f>
        <v>-</v>
      </c>
      <c r="AB685" s="119" t="e">
        <f>CONCATENATE(F685," - ",I685," - ",#REF!,)</f>
        <v>#REF!</v>
      </c>
    </row>
    <row r="686" spans="1:28" s="116" customFormat="1" ht="15">
      <c r="A686" s="114"/>
      <c r="B686" s="120"/>
      <c r="C686" s="129" t="str">
        <f t="shared" si="30"/>
        <v>week-0</v>
      </c>
      <c r="D686" s="120" t="str">
        <f t="shared" si="31"/>
        <v>Jan</v>
      </c>
      <c r="E686" s="7"/>
      <c r="F686" s="7"/>
      <c r="G686" s="120"/>
      <c r="H686" s="120"/>
      <c r="I686" s="118"/>
      <c r="J686" s="118"/>
      <c r="K686" s="115"/>
      <c r="L686" s="115"/>
      <c r="M686" s="8"/>
      <c r="N686" s="8" t="str">
        <f t="shared" si="32"/>
        <v>-</v>
      </c>
      <c r="O686" s="126"/>
      <c r="P686" s="127"/>
      <c r="Q686" s="127"/>
      <c r="R686" s="126"/>
      <c r="S686" s="127"/>
      <c r="T686" s="8"/>
      <c r="U686" s="158"/>
      <c r="V686" s="7"/>
      <c r="W686" s="7"/>
      <c r="X686" s="146"/>
      <c r="Y686" s="7"/>
      <c r="Z686" s="7"/>
      <c r="AA686" s="7" t="str">
        <f>IFERROR((VLOOKUP(F686,#REF!,2,FALSE)),"-")</f>
        <v>-</v>
      </c>
      <c r="AB686" s="119" t="e">
        <f>CONCATENATE(F686," - ",I686," - ",#REF!,)</f>
        <v>#REF!</v>
      </c>
    </row>
    <row r="687" spans="1:28" s="116" customFormat="1" ht="15">
      <c r="A687" s="114"/>
      <c r="B687" s="120"/>
      <c r="C687" s="129" t="str">
        <f t="shared" si="30"/>
        <v>week-0</v>
      </c>
      <c r="D687" s="120" t="str">
        <f t="shared" si="31"/>
        <v>Jan</v>
      </c>
      <c r="E687" s="7"/>
      <c r="F687" s="7"/>
      <c r="G687" s="120"/>
      <c r="H687" s="120"/>
      <c r="I687" s="118"/>
      <c r="J687" s="118"/>
      <c r="K687" s="115"/>
      <c r="L687" s="115"/>
      <c r="M687" s="8"/>
      <c r="N687" s="8" t="str">
        <f t="shared" si="32"/>
        <v>-</v>
      </c>
      <c r="O687" s="126"/>
      <c r="P687" s="127"/>
      <c r="Q687" s="127"/>
      <c r="R687" s="126"/>
      <c r="S687" s="127"/>
      <c r="T687" s="8"/>
      <c r="U687" s="158"/>
      <c r="V687" s="7"/>
      <c r="W687" s="7"/>
      <c r="X687" s="146"/>
      <c r="Y687" s="7"/>
      <c r="Z687" s="7"/>
      <c r="AA687" s="7" t="str">
        <f>IFERROR((VLOOKUP(F687,#REF!,2,FALSE)),"-")</f>
        <v>-</v>
      </c>
      <c r="AB687" s="119" t="e">
        <f>CONCATENATE(F687," - ",I687," - ",#REF!,)</f>
        <v>#REF!</v>
      </c>
    </row>
    <row r="688" spans="1:28" s="116" customFormat="1" ht="15">
      <c r="A688" s="114"/>
      <c r="B688" s="120"/>
      <c r="C688" s="129" t="str">
        <f t="shared" si="30"/>
        <v>week-0</v>
      </c>
      <c r="D688" s="120" t="str">
        <f t="shared" si="31"/>
        <v>Jan</v>
      </c>
      <c r="E688" s="7"/>
      <c r="F688" s="7"/>
      <c r="G688" s="120"/>
      <c r="H688" s="120"/>
      <c r="I688" s="118"/>
      <c r="J688" s="118"/>
      <c r="K688" s="115"/>
      <c r="L688" s="115"/>
      <c r="M688" s="8"/>
      <c r="N688" s="8" t="str">
        <f t="shared" si="32"/>
        <v>-</v>
      </c>
      <c r="O688" s="126"/>
      <c r="P688" s="127"/>
      <c r="Q688" s="127"/>
      <c r="R688" s="126"/>
      <c r="S688" s="127"/>
      <c r="T688" s="8"/>
      <c r="U688" s="158"/>
      <c r="V688" s="7"/>
      <c r="W688" s="7"/>
      <c r="X688" s="146"/>
      <c r="Y688" s="7"/>
      <c r="Z688" s="7"/>
      <c r="AA688" s="7" t="str">
        <f>IFERROR((VLOOKUP(F688,#REF!,2,FALSE)),"-")</f>
        <v>-</v>
      </c>
      <c r="AB688" s="119" t="e">
        <f>CONCATENATE(F688," - ",I688," - ",#REF!,)</f>
        <v>#REF!</v>
      </c>
    </row>
    <row r="689" spans="1:28" s="116" customFormat="1" ht="15">
      <c r="A689" s="114"/>
      <c r="B689" s="120"/>
      <c r="C689" s="129" t="str">
        <f t="shared" si="30"/>
        <v>week-0</v>
      </c>
      <c r="D689" s="120" t="str">
        <f t="shared" si="31"/>
        <v>Jan</v>
      </c>
      <c r="E689" s="7"/>
      <c r="F689" s="7"/>
      <c r="G689" s="120"/>
      <c r="H689" s="120"/>
      <c r="I689" s="118"/>
      <c r="J689" s="118"/>
      <c r="K689" s="115"/>
      <c r="L689" s="115"/>
      <c r="M689" s="8"/>
      <c r="N689" s="8" t="str">
        <f t="shared" si="32"/>
        <v>-</v>
      </c>
      <c r="O689" s="126"/>
      <c r="P689" s="127"/>
      <c r="Q689" s="127"/>
      <c r="R689" s="126"/>
      <c r="S689" s="127"/>
      <c r="T689" s="8"/>
      <c r="U689" s="158"/>
      <c r="V689" s="7"/>
      <c r="W689" s="7"/>
      <c r="X689" s="146"/>
      <c r="Y689" s="7"/>
      <c r="Z689" s="7"/>
      <c r="AA689" s="7" t="str">
        <f>IFERROR((VLOOKUP(F689,#REF!,2,FALSE)),"-")</f>
        <v>-</v>
      </c>
      <c r="AB689" s="119" t="e">
        <f>CONCATENATE(F689," - ",I689," - ",#REF!,)</f>
        <v>#REF!</v>
      </c>
    </row>
    <row r="690" spans="1:28" s="116" customFormat="1" ht="15">
      <c r="A690" s="114"/>
      <c r="B690" s="120"/>
      <c r="C690" s="129" t="str">
        <f t="shared" si="30"/>
        <v>week-0</v>
      </c>
      <c r="D690" s="120" t="str">
        <f t="shared" si="31"/>
        <v>Jan</v>
      </c>
      <c r="E690" s="7"/>
      <c r="F690" s="7"/>
      <c r="G690" s="120"/>
      <c r="H690" s="120"/>
      <c r="I690" s="118"/>
      <c r="J690" s="118"/>
      <c r="K690" s="115"/>
      <c r="L690" s="115"/>
      <c r="M690" s="8"/>
      <c r="N690" s="8" t="str">
        <f t="shared" si="32"/>
        <v>-</v>
      </c>
      <c r="O690" s="126"/>
      <c r="P690" s="127"/>
      <c r="Q690" s="127"/>
      <c r="R690" s="126"/>
      <c r="S690" s="127"/>
      <c r="T690" s="8"/>
      <c r="U690" s="158"/>
      <c r="V690" s="7"/>
      <c r="W690" s="7"/>
      <c r="X690" s="146"/>
      <c r="Y690" s="7"/>
      <c r="Z690" s="7"/>
      <c r="AA690" s="7" t="str">
        <f>IFERROR((VLOOKUP(F690,#REF!,2,FALSE)),"-")</f>
        <v>-</v>
      </c>
      <c r="AB690" s="119" t="e">
        <f>CONCATENATE(F690," - ",I690," - ",#REF!,)</f>
        <v>#REF!</v>
      </c>
    </row>
    <row r="691" spans="1:28" s="116" customFormat="1" ht="15">
      <c r="A691" s="114"/>
      <c r="B691" s="120"/>
      <c r="C691" s="129" t="str">
        <f t="shared" si="30"/>
        <v>week-0</v>
      </c>
      <c r="D691" s="120" t="str">
        <f t="shared" si="31"/>
        <v>Jan</v>
      </c>
      <c r="E691" s="7"/>
      <c r="F691" s="7"/>
      <c r="G691" s="120"/>
      <c r="H691" s="120"/>
      <c r="I691" s="118"/>
      <c r="J691" s="118"/>
      <c r="K691" s="115"/>
      <c r="L691" s="115"/>
      <c r="M691" s="8"/>
      <c r="N691" s="8" t="str">
        <f t="shared" si="32"/>
        <v>-</v>
      </c>
      <c r="O691" s="126"/>
      <c r="P691" s="127"/>
      <c r="Q691" s="127"/>
      <c r="R691" s="126"/>
      <c r="S691" s="127"/>
      <c r="T691" s="8"/>
      <c r="U691" s="158"/>
      <c r="V691" s="7"/>
      <c r="W691" s="7"/>
      <c r="X691" s="146"/>
      <c r="Y691" s="7"/>
      <c r="Z691" s="7"/>
      <c r="AA691" s="7" t="str">
        <f>IFERROR((VLOOKUP(F691,#REF!,2,FALSE)),"-")</f>
        <v>-</v>
      </c>
      <c r="AB691" s="119" t="e">
        <f>CONCATENATE(F691," - ",I691," - ",#REF!,)</f>
        <v>#REF!</v>
      </c>
    </row>
    <row r="692" spans="1:28" s="116" customFormat="1" ht="15">
      <c r="A692" s="114"/>
      <c r="B692" s="120"/>
      <c r="C692" s="129" t="str">
        <f t="shared" si="30"/>
        <v>week-0</v>
      </c>
      <c r="D692" s="120" t="str">
        <f t="shared" si="31"/>
        <v>Jan</v>
      </c>
      <c r="E692" s="7"/>
      <c r="F692" s="7"/>
      <c r="G692" s="120"/>
      <c r="H692" s="120"/>
      <c r="I692" s="118"/>
      <c r="J692" s="118"/>
      <c r="K692" s="115"/>
      <c r="L692" s="115"/>
      <c r="M692" s="8"/>
      <c r="N692" s="8" t="str">
        <f t="shared" si="32"/>
        <v>-</v>
      </c>
      <c r="O692" s="127"/>
      <c r="P692" s="127"/>
      <c r="Q692" s="127"/>
      <c r="R692" s="127"/>
      <c r="S692" s="127"/>
      <c r="T692" s="139"/>
      <c r="U692" s="158"/>
      <c r="V692" s="7"/>
      <c r="W692" s="7"/>
      <c r="X692" s="146"/>
      <c r="Y692" s="7"/>
      <c r="Z692" s="7"/>
      <c r="AA692" s="7" t="str">
        <f>IFERROR((VLOOKUP(F692,#REF!,2,FALSE)),"-")</f>
        <v>-</v>
      </c>
      <c r="AB692" s="119" t="e">
        <f>CONCATENATE(F692," - ",I692," - ",#REF!,)</f>
        <v>#REF!</v>
      </c>
    </row>
    <row r="693" spans="1:28" s="116" customFormat="1" ht="15">
      <c r="A693" s="114"/>
      <c r="B693" s="120"/>
      <c r="C693" s="129" t="str">
        <f t="shared" si="30"/>
        <v>week-0</v>
      </c>
      <c r="D693" s="120" t="str">
        <f t="shared" si="31"/>
        <v>Jan</v>
      </c>
      <c r="E693" s="7"/>
      <c r="F693" s="7"/>
      <c r="G693" s="120"/>
      <c r="H693" s="120"/>
      <c r="I693" s="118"/>
      <c r="J693" s="118"/>
      <c r="K693" s="115"/>
      <c r="L693" s="115"/>
      <c r="M693" s="8"/>
      <c r="N693" s="8" t="str">
        <f t="shared" si="32"/>
        <v>-</v>
      </c>
      <c r="O693" s="126"/>
      <c r="P693" s="127"/>
      <c r="Q693" s="127"/>
      <c r="R693" s="126"/>
      <c r="S693" s="127"/>
      <c r="T693" s="8"/>
      <c r="U693" s="158"/>
      <c r="V693" s="7"/>
      <c r="W693" s="7"/>
      <c r="X693" s="146"/>
      <c r="Y693" s="7"/>
      <c r="Z693" s="7"/>
      <c r="AA693" s="7" t="str">
        <f>IFERROR((VLOOKUP(F693,#REF!,2,FALSE)),"-")</f>
        <v>-</v>
      </c>
      <c r="AB693" s="119" t="e">
        <f>CONCATENATE(F693," - ",I693," - ",#REF!,)</f>
        <v>#REF!</v>
      </c>
    </row>
    <row r="694" spans="1:28" s="116" customFormat="1" ht="15">
      <c r="A694" s="114"/>
      <c r="B694" s="120"/>
      <c r="C694" s="129" t="str">
        <f t="shared" si="30"/>
        <v>week-0</v>
      </c>
      <c r="D694" s="120" t="str">
        <f t="shared" si="31"/>
        <v>Jan</v>
      </c>
      <c r="E694" s="7"/>
      <c r="F694" s="7"/>
      <c r="G694" s="120"/>
      <c r="H694" s="120"/>
      <c r="I694" s="118"/>
      <c r="J694" s="118"/>
      <c r="K694" s="115"/>
      <c r="L694" s="115"/>
      <c r="M694" s="8"/>
      <c r="N694" s="8" t="str">
        <f t="shared" si="32"/>
        <v>-</v>
      </c>
      <c r="O694" s="126"/>
      <c r="P694" s="127"/>
      <c r="Q694" s="127"/>
      <c r="R694" s="126"/>
      <c r="S694" s="127"/>
      <c r="T694" s="8"/>
      <c r="U694" s="158"/>
      <c r="V694" s="7"/>
      <c r="W694" s="7"/>
      <c r="X694" s="146"/>
      <c r="Y694" s="7"/>
      <c r="Z694" s="7"/>
      <c r="AA694" s="7" t="str">
        <f>IFERROR((VLOOKUP(F694,#REF!,2,FALSE)),"-")</f>
        <v>-</v>
      </c>
      <c r="AB694" s="119" t="e">
        <f>CONCATENATE(F694," - ",I694," - ",#REF!,)</f>
        <v>#REF!</v>
      </c>
    </row>
    <row r="695" spans="1:28" s="116" customFormat="1" ht="15">
      <c r="A695" s="114"/>
      <c r="B695" s="120"/>
      <c r="C695" s="129" t="str">
        <f t="shared" si="30"/>
        <v>week-0</v>
      </c>
      <c r="D695" s="120" t="str">
        <f t="shared" si="31"/>
        <v>Jan</v>
      </c>
      <c r="E695" s="7"/>
      <c r="F695" s="7"/>
      <c r="G695" s="120"/>
      <c r="H695" s="120"/>
      <c r="I695" s="118"/>
      <c r="J695" s="118"/>
      <c r="K695" s="115"/>
      <c r="L695" s="115"/>
      <c r="M695" s="8"/>
      <c r="N695" s="8" t="str">
        <f t="shared" si="32"/>
        <v>-</v>
      </c>
      <c r="O695" s="126"/>
      <c r="P695" s="127"/>
      <c r="Q695" s="127"/>
      <c r="R695" s="126"/>
      <c r="S695" s="127"/>
      <c r="T695" s="8"/>
      <c r="U695" s="158"/>
      <c r="V695" s="7"/>
      <c r="W695" s="7"/>
      <c r="X695" s="146"/>
      <c r="Y695" s="7"/>
      <c r="Z695" s="7"/>
      <c r="AA695" s="7" t="str">
        <f>IFERROR((VLOOKUP(F695,#REF!,2,FALSE)),"-")</f>
        <v>-</v>
      </c>
      <c r="AB695" s="119" t="e">
        <f>CONCATENATE(F695," - ",I695," - ",#REF!,)</f>
        <v>#REF!</v>
      </c>
    </row>
    <row r="696" spans="1:28" s="116" customFormat="1" ht="15">
      <c r="A696" s="114"/>
      <c r="B696" s="120"/>
      <c r="C696" s="129" t="str">
        <f t="shared" si="30"/>
        <v>week-0</v>
      </c>
      <c r="D696" s="120" t="str">
        <f t="shared" si="31"/>
        <v>Jan</v>
      </c>
      <c r="E696" s="7"/>
      <c r="F696" s="7"/>
      <c r="G696" s="120"/>
      <c r="H696" s="120"/>
      <c r="I696" s="118"/>
      <c r="J696" s="118"/>
      <c r="K696" s="115"/>
      <c r="L696" s="115"/>
      <c r="M696" s="8"/>
      <c r="N696" s="8" t="str">
        <f t="shared" si="32"/>
        <v>-</v>
      </c>
      <c r="O696" s="126"/>
      <c r="P696" s="127"/>
      <c r="Q696" s="127"/>
      <c r="R696" s="126"/>
      <c r="S696" s="127"/>
      <c r="T696" s="8"/>
      <c r="U696" s="158"/>
      <c r="V696" s="7"/>
      <c r="W696" s="7"/>
      <c r="X696" s="146"/>
      <c r="Y696" s="7"/>
      <c r="Z696" s="7"/>
      <c r="AA696" s="7" t="str">
        <f>IFERROR((VLOOKUP(F696,#REF!,2,FALSE)),"-")</f>
        <v>-</v>
      </c>
      <c r="AB696" s="119" t="e">
        <f>CONCATENATE(F696," - ",I696," - ",#REF!,)</f>
        <v>#REF!</v>
      </c>
    </row>
    <row r="697" spans="1:28" s="116" customFormat="1" ht="15">
      <c r="A697" s="114"/>
      <c r="B697" s="120"/>
      <c r="C697" s="129" t="str">
        <f t="shared" si="30"/>
        <v>week-0</v>
      </c>
      <c r="D697" s="120" t="str">
        <f t="shared" si="31"/>
        <v>Jan</v>
      </c>
      <c r="E697" s="7"/>
      <c r="F697" s="7"/>
      <c r="G697" s="120"/>
      <c r="H697" s="120"/>
      <c r="I697" s="118"/>
      <c r="J697" s="118"/>
      <c r="K697" s="115"/>
      <c r="L697" s="115"/>
      <c r="M697" s="8"/>
      <c r="N697" s="8" t="str">
        <f t="shared" si="32"/>
        <v>-</v>
      </c>
      <c r="O697" s="126"/>
      <c r="P697" s="127"/>
      <c r="Q697" s="127"/>
      <c r="R697" s="126"/>
      <c r="S697" s="127"/>
      <c r="T697" s="8"/>
      <c r="U697" s="158"/>
      <c r="V697" s="7"/>
      <c r="W697" s="7"/>
      <c r="X697" s="146"/>
      <c r="Y697" s="7"/>
      <c r="Z697" s="7"/>
      <c r="AA697" s="7" t="str">
        <f>IFERROR((VLOOKUP(F697,#REF!,2,FALSE)),"-")</f>
        <v>-</v>
      </c>
      <c r="AB697" s="119" t="e">
        <f>CONCATENATE(F697," - ",I697," - ",#REF!,)</f>
        <v>#REF!</v>
      </c>
    </row>
    <row r="698" spans="1:28" s="116" customFormat="1" ht="15">
      <c r="A698" s="114"/>
      <c r="B698" s="120"/>
      <c r="C698" s="129" t="str">
        <f t="shared" si="30"/>
        <v>week-0</v>
      </c>
      <c r="D698" s="120" t="str">
        <f t="shared" si="31"/>
        <v>Jan</v>
      </c>
      <c r="E698" s="7"/>
      <c r="F698" s="7"/>
      <c r="G698" s="120"/>
      <c r="H698" s="120"/>
      <c r="I698" s="118"/>
      <c r="J698" s="118"/>
      <c r="K698" s="115"/>
      <c r="L698" s="115"/>
      <c r="M698" s="8"/>
      <c r="N698" s="8" t="str">
        <f t="shared" si="32"/>
        <v>-</v>
      </c>
      <c r="O698" s="126"/>
      <c r="P698" s="127"/>
      <c r="Q698" s="127"/>
      <c r="R698" s="126"/>
      <c r="S698" s="127"/>
      <c r="T698" s="8"/>
      <c r="U698" s="158"/>
      <c r="V698" s="7"/>
      <c r="W698" s="7"/>
      <c r="X698" s="146"/>
      <c r="Y698" s="7"/>
      <c r="Z698" s="7"/>
      <c r="AA698" s="7" t="str">
        <f>IFERROR((VLOOKUP(F698,#REF!,2,FALSE)),"-")</f>
        <v>-</v>
      </c>
      <c r="AB698" s="119" t="e">
        <f>CONCATENATE(F698," - ",I698," - ",#REF!,)</f>
        <v>#REF!</v>
      </c>
    </row>
    <row r="699" spans="1:28" s="116" customFormat="1" ht="15">
      <c r="A699" s="114"/>
      <c r="B699" s="120"/>
      <c r="C699" s="129" t="str">
        <f t="shared" si="30"/>
        <v>week-0</v>
      </c>
      <c r="D699" s="120" t="str">
        <f t="shared" si="31"/>
        <v>Jan</v>
      </c>
      <c r="E699" s="7"/>
      <c r="F699" s="7"/>
      <c r="G699" s="120"/>
      <c r="H699" s="120"/>
      <c r="I699" s="118"/>
      <c r="J699" s="118"/>
      <c r="K699" s="115"/>
      <c r="L699" s="115"/>
      <c r="M699" s="8"/>
      <c r="N699" s="8" t="str">
        <f t="shared" si="32"/>
        <v>-</v>
      </c>
      <c r="O699" s="126"/>
      <c r="P699" s="127"/>
      <c r="Q699" s="127"/>
      <c r="R699" s="126"/>
      <c r="S699" s="127"/>
      <c r="T699" s="8"/>
      <c r="U699" s="158"/>
      <c r="V699" s="7"/>
      <c r="W699" s="7"/>
      <c r="X699" s="146"/>
      <c r="Y699" s="7"/>
      <c r="Z699" s="7"/>
      <c r="AA699" s="7" t="str">
        <f>IFERROR((VLOOKUP(F699,#REF!,2,FALSE)),"-")</f>
        <v>-</v>
      </c>
      <c r="AB699" s="119" t="e">
        <f>CONCATENATE(F699," - ",I699," - ",#REF!,)</f>
        <v>#REF!</v>
      </c>
    </row>
    <row r="700" spans="1:28" s="116" customFormat="1" ht="15">
      <c r="A700" s="114"/>
      <c r="B700" s="120"/>
      <c r="C700" s="129" t="str">
        <f t="shared" si="30"/>
        <v>week-0</v>
      </c>
      <c r="D700" s="120" t="str">
        <f t="shared" si="31"/>
        <v>Jan</v>
      </c>
      <c r="E700" s="7"/>
      <c r="F700" s="7"/>
      <c r="G700" s="120"/>
      <c r="H700" s="120"/>
      <c r="I700" s="118"/>
      <c r="J700" s="118"/>
      <c r="K700" s="115"/>
      <c r="L700" s="115"/>
      <c r="M700" s="8"/>
      <c r="N700" s="8" t="str">
        <f t="shared" si="32"/>
        <v>-</v>
      </c>
      <c r="O700" s="126"/>
      <c r="P700" s="127"/>
      <c r="Q700" s="127"/>
      <c r="R700" s="126"/>
      <c r="S700" s="127"/>
      <c r="T700" s="8"/>
      <c r="U700" s="158"/>
      <c r="V700" s="7"/>
      <c r="W700" s="7"/>
      <c r="X700" s="146"/>
      <c r="Y700" s="7"/>
      <c r="Z700" s="7"/>
      <c r="AA700" s="7" t="str">
        <f>IFERROR((VLOOKUP(F700,#REF!,2,FALSE)),"-")</f>
        <v>-</v>
      </c>
      <c r="AB700" s="119" t="e">
        <f>CONCATENATE(F700," - ",I700," - ",#REF!,)</f>
        <v>#REF!</v>
      </c>
    </row>
    <row r="701" spans="1:28" s="116" customFormat="1" ht="15">
      <c r="A701" s="114"/>
      <c r="B701" s="120"/>
      <c r="C701" s="129" t="str">
        <f t="shared" si="30"/>
        <v>week-0</v>
      </c>
      <c r="D701" s="120" t="str">
        <f t="shared" si="31"/>
        <v>Jan</v>
      </c>
      <c r="E701" s="7"/>
      <c r="F701" s="7"/>
      <c r="G701" s="120"/>
      <c r="H701" s="120"/>
      <c r="I701" s="118"/>
      <c r="J701" s="118"/>
      <c r="K701" s="115"/>
      <c r="L701" s="115"/>
      <c r="M701" s="8"/>
      <c r="N701" s="8" t="str">
        <f t="shared" si="32"/>
        <v>-</v>
      </c>
      <c r="O701" s="126"/>
      <c r="P701" s="127"/>
      <c r="Q701" s="127"/>
      <c r="R701" s="126"/>
      <c r="S701" s="127"/>
      <c r="T701" s="8"/>
      <c r="U701" s="158"/>
      <c r="V701" s="7"/>
      <c r="W701" s="7"/>
      <c r="X701" s="146"/>
      <c r="Y701" s="7"/>
      <c r="Z701" s="7"/>
      <c r="AA701" s="7" t="str">
        <f>IFERROR((VLOOKUP(F701,#REF!,2,FALSE)),"-")</f>
        <v>-</v>
      </c>
      <c r="AB701" s="119" t="e">
        <f>CONCATENATE(F701," - ",I701," - ",#REF!,)</f>
        <v>#REF!</v>
      </c>
    </row>
    <row r="702" spans="1:28" s="116" customFormat="1" ht="15">
      <c r="A702" s="114"/>
      <c r="B702" s="120"/>
      <c r="C702" s="129" t="str">
        <f t="shared" si="30"/>
        <v>week-0</v>
      </c>
      <c r="D702" s="120" t="str">
        <f t="shared" si="31"/>
        <v>Jan</v>
      </c>
      <c r="E702" s="7"/>
      <c r="F702" s="7"/>
      <c r="G702" s="120"/>
      <c r="H702" s="120"/>
      <c r="I702" s="118"/>
      <c r="J702" s="118"/>
      <c r="K702" s="115"/>
      <c r="L702" s="115"/>
      <c r="M702" s="8"/>
      <c r="N702" s="8" t="str">
        <f t="shared" si="32"/>
        <v>-</v>
      </c>
      <c r="O702" s="126"/>
      <c r="P702" s="127"/>
      <c r="Q702" s="127"/>
      <c r="R702" s="126"/>
      <c r="S702" s="127"/>
      <c r="T702" s="8"/>
      <c r="U702" s="158"/>
      <c r="V702" s="7"/>
      <c r="W702" s="7"/>
      <c r="X702" s="146"/>
      <c r="Y702" s="7"/>
      <c r="Z702" s="7"/>
      <c r="AA702" s="7" t="str">
        <f>IFERROR((VLOOKUP(F702,#REF!,2,FALSE)),"-")</f>
        <v>-</v>
      </c>
      <c r="AB702" s="119" t="e">
        <f>CONCATENATE(F702," - ",I702," - ",#REF!,)</f>
        <v>#REF!</v>
      </c>
    </row>
    <row r="703" spans="1:28" s="116" customFormat="1" ht="15">
      <c r="A703" s="114"/>
      <c r="B703" s="120"/>
      <c r="C703" s="129" t="str">
        <f t="shared" si="30"/>
        <v>week-0</v>
      </c>
      <c r="D703" s="120" t="str">
        <f t="shared" si="31"/>
        <v>Jan</v>
      </c>
      <c r="E703" s="7"/>
      <c r="F703" s="7"/>
      <c r="G703" s="120"/>
      <c r="H703" s="120"/>
      <c r="I703" s="118"/>
      <c r="J703" s="118"/>
      <c r="K703" s="115"/>
      <c r="L703" s="115"/>
      <c r="M703" s="8"/>
      <c r="N703" s="8" t="str">
        <f t="shared" si="32"/>
        <v>-</v>
      </c>
      <c r="O703" s="126"/>
      <c r="P703" s="127"/>
      <c r="Q703" s="127"/>
      <c r="R703" s="126"/>
      <c r="S703" s="127"/>
      <c r="T703" s="8"/>
      <c r="U703" s="158"/>
      <c r="V703" s="7"/>
      <c r="W703" s="7"/>
      <c r="X703" s="146"/>
      <c r="Y703" s="7"/>
      <c r="Z703" s="7"/>
      <c r="AA703" s="7" t="str">
        <f>IFERROR((VLOOKUP(F703,#REF!,2,FALSE)),"-")</f>
        <v>-</v>
      </c>
      <c r="AB703" s="119" t="e">
        <f>CONCATENATE(F703," - ",I703," - ",#REF!,)</f>
        <v>#REF!</v>
      </c>
    </row>
    <row r="704" spans="1:28" s="116" customFormat="1" ht="15">
      <c r="A704" s="114"/>
      <c r="B704" s="120"/>
      <c r="C704" s="129" t="str">
        <f t="shared" si="30"/>
        <v>week-0</v>
      </c>
      <c r="D704" s="120" t="str">
        <f t="shared" si="31"/>
        <v>Jan</v>
      </c>
      <c r="E704" s="7"/>
      <c r="F704" s="7"/>
      <c r="G704" s="120"/>
      <c r="H704" s="120"/>
      <c r="I704" s="118"/>
      <c r="J704" s="118"/>
      <c r="K704" s="115"/>
      <c r="L704" s="115"/>
      <c r="M704" s="8"/>
      <c r="N704" s="8" t="str">
        <f t="shared" si="32"/>
        <v>-</v>
      </c>
      <c r="O704" s="126"/>
      <c r="P704" s="127"/>
      <c r="Q704" s="127"/>
      <c r="R704" s="126"/>
      <c r="S704" s="127"/>
      <c r="T704" s="8"/>
      <c r="U704" s="158"/>
      <c r="V704" s="7"/>
      <c r="W704" s="7"/>
      <c r="X704" s="146"/>
      <c r="Y704" s="7"/>
      <c r="Z704" s="7"/>
      <c r="AA704" s="7" t="str">
        <f>IFERROR((VLOOKUP(F704,#REF!,2,FALSE)),"-")</f>
        <v>-</v>
      </c>
      <c r="AB704" s="119" t="e">
        <f>CONCATENATE(F704," - ",I704," - ",#REF!,)</f>
        <v>#REF!</v>
      </c>
    </row>
    <row r="705" spans="1:28" s="116" customFormat="1" ht="15">
      <c r="A705" s="114"/>
      <c r="B705" s="120"/>
      <c r="C705" s="129" t="str">
        <f t="shared" si="30"/>
        <v>week-0</v>
      </c>
      <c r="D705" s="120" t="str">
        <f t="shared" si="31"/>
        <v>Jan</v>
      </c>
      <c r="E705" s="7"/>
      <c r="F705" s="7"/>
      <c r="G705" s="120"/>
      <c r="H705" s="120"/>
      <c r="I705" s="118"/>
      <c r="J705" s="118"/>
      <c r="K705" s="115"/>
      <c r="L705" s="115"/>
      <c r="M705" s="8"/>
      <c r="N705" s="8" t="str">
        <f t="shared" si="32"/>
        <v>-</v>
      </c>
      <c r="O705" s="126"/>
      <c r="P705" s="127"/>
      <c r="Q705" s="127"/>
      <c r="R705" s="126"/>
      <c r="S705" s="127"/>
      <c r="T705" s="8"/>
      <c r="U705" s="158"/>
      <c r="V705" s="7"/>
      <c r="W705" s="7"/>
      <c r="X705" s="146"/>
      <c r="Y705" s="7"/>
      <c r="Z705" s="7"/>
      <c r="AA705" s="7" t="str">
        <f>IFERROR((VLOOKUP(F705,#REF!,2,FALSE)),"-")</f>
        <v>-</v>
      </c>
      <c r="AB705" s="119" t="e">
        <f>CONCATENATE(F705," - ",I705," - ",#REF!,)</f>
        <v>#REF!</v>
      </c>
    </row>
    <row r="706" spans="1:28" s="116" customFormat="1" ht="15">
      <c r="A706" s="114"/>
      <c r="B706" s="120"/>
      <c r="C706" s="129" t="str">
        <f t="shared" si="30"/>
        <v>week-0</v>
      </c>
      <c r="D706" s="120" t="str">
        <f t="shared" si="31"/>
        <v>Jan</v>
      </c>
      <c r="E706" s="7"/>
      <c r="F706" s="7"/>
      <c r="G706" s="120"/>
      <c r="H706" s="120"/>
      <c r="I706" s="118"/>
      <c r="J706" s="118"/>
      <c r="K706" s="115"/>
      <c r="L706" s="115"/>
      <c r="M706" s="8"/>
      <c r="N706" s="8" t="str">
        <f t="shared" si="32"/>
        <v>-</v>
      </c>
      <c r="O706" s="126"/>
      <c r="P706" s="127"/>
      <c r="Q706" s="127"/>
      <c r="R706" s="126"/>
      <c r="S706" s="127"/>
      <c r="T706" s="8"/>
      <c r="U706" s="158"/>
      <c r="V706" s="7"/>
      <c r="W706" s="7"/>
      <c r="X706" s="146"/>
      <c r="Y706" s="7"/>
      <c r="Z706" s="7"/>
      <c r="AA706" s="7" t="str">
        <f>IFERROR((VLOOKUP(F706,#REF!,2,FALSE)),"-")</f>
        <v>-</v>
      </c>
      <c r="AB706" s="119" t="e">
        <f>CONCATENATE(F706," - ",I706," - ",#REF!,)</f>
        <v>#REF!</v>
      </c>
    </row>
    <row r="707" spans="1:28" s="116" customFormat="1" ht="15">
      <c r="A707" s="114"/>
      <c r="B707" s="120"/>
      <c r="C707" s="129" t="str">
        <f t="shared" si="30"/>
        <v>week-0</v>
      </c>
      <c r="D707" s="120" t="str">
        <f t="shared" si="31"/>
        <v>Jan</v>
      </c>
      <c r="E707" s="7"/>
      <c r="F707" s="7"/>
      <c r="G707" s="120"/>
      <c r="H707" s="120"/>
      <c r="I707" s="118"/>
      <c r="J707" s="118"/>
      <c r="K707" s="115"/>
      <c r="L707" s="115"/>
      <c r="M707" s="8"/>
      <c r="N707" s="8" t="str">
        <f t="shared" si="32"/>
        <v>-</v>
      </c>
      <c r="O707" s="126"/>
      <c r="P707" s="127"/>
      <c r="Q707" s="127"/>
      <c r="R707" s="126"/>
      <c r="S707" s="127"/>
      <c r="T707" s="8"/>
      <c r="U707" s="158"/>
      <c r="V707" s="7"/>
      <c r="W707" s="7"/>
      <c r="X707" s="146"/>
      <c r="Y707" s="7"/>
      <c r="Z707" s="7"/>
      <c r="AA707" s="7" t="str">
        <f>IFERROR((VLOOKUP(F707,#REF!,2,FALSE)),"-")</f>
        <v>-</v>
      </c>
      <c r="AB707" s="119" t="e">
        <f>CONCATENATE(F707," - ",I707," - ",#REF!,)</f>
        <v>#REF!</v>
      </c>
    </row>
    <row r="708" spans="1:28" s="116" customFormat="1" ht="15">
      <c r="A708" s="114"/>
      <c r="B708" s="120"/>
      <c r="C708" s="129" t="str">
        <f t="shared" ref="C708:C771" si="33">"week-"&amp;WEEKNUM(B708)</f>
        <v>week-0</v>
      </c>
      <c r="D708" s="120" t="str">
        <f t="shared" ref="D708:D771" si="34">TEXT(B708,"mmm")</f>
        <v>Jan</v>
      </c>
      <c r="E708" s="7"/>
      <c r="F708" s="7"/>
      <c r="G708" s="120"/>
      <c r="H708" s="120"/>
      <c r="I708" s="118"/>
      <c r="J708" s="118"/>
      <c r="K708" s="115"/>
      <c r="L708" s="115"/>
      <c r="M708" s="8"/>
      <c r="N708" s="8" t="str">
        <f t="shared" ref="N708:N771" si="35">IF(ISBLANK(M708),"-",(M708/60))</f>
        <v>-</v>
      </c>
      <c r="O708" s="126"/>
      <c r="P708" s="127"/>
      <c r="Q708" s="127"/>
      <c r="R708" s="126"/>
      <c r="S708" s="127"/>
      <c r="T708" s="8"/>
      <c r="U708" s="158"/>
      <c r="V708" s="7"/>
      <c r="W708" s="7"/>
      <c r="X708" s="146"/>
      <c r="Y708" s="7"/>
      <c r="Z708" s="7"/>
      <c r="AA708" s="7" t="str">
        <f>IFERROR((VLOOKUP(F708,#REF!,2,FALSE)),"-")</f>
        <v>-</v>
      </c>
      <c r="AB708" s="119" t="e">
        <f>CONCATENATE(F708," - ",I708," - ",#REF!,)</f>
        <v>#REF!</v>
      </c>
    </row>
    <row r="709" spans="1:28" s="116" customFormat="1" ht="15">
      <c r="A709" s="114"/>
      <c r="B709" s="120"/>
      <c r="C709" s="129" t="str">
        <f t="shared" si="33"/>
        <v>week-0</v>
      </c>
      <c r="D709" s="120" t="str">
        <f t="shared" si="34"/>
        <v>Jan</v>
      </c>
      <c r="E709" s="7"/>
      <c r="F709" s="7"/>
      <c r="G709" s="120"/>
      <c r="H709" s="120"/>
      <c r="I709" s="118"/>
      <c r="J709" s="118"/>
      <c r="K709" s="115"/>
      <c r="L709" s="115"/>
      <c r="M709" s="8"/>
      <c r="N709" s="8" t="str">
        <f t="shared" si="35"/>
        <v>-</v>
      </c>
      <c r="O709" s="126"/>
      <c r="P709" s="127"/>
      <c r="Q709" s="127"/>
      <c r="R709" s="126"/>
      <c r="S709" s="127"/>
      <c r="T709" s="8"/>
      <c r="U709" s="158"/>
      <c r="V709" s="7"/>
      <c r="W709" s="7"/>
      <c r="X709" s="146"/>
      <c r="Y709" s="7"/>
      <c r="Z709" s="7"/>
      <c r="AA709" s="7" t="str">
        <f>IFERROR((VLOOKUP(F709,#REF!,2,FALSE)),"-")</f>
        <v>-</v>
      </c>
      <c r="AB709" s="119" t="e">
        <f>CONCATENATE(F709," - ",I709," - ",#REF!,)</f>
        <v>#REF!</v>
      </c>
    </row>
    <row r="710" spans="1:28" s="116" customFormat="1" ht="15">
      <c r="A710" s="114"/>
      <c r="B710" s="120"/>
      <c r="C710" s="129" t="str">
        <f t="shared" si="33"/>
        <v>week-0</v>
      </c>
      <c r="D710" s="120" t="str">
        <f t="shared" si="34"/>
        <v>Jan</v>
      </c>
      <c r="E710" s="7"/>
      <c r="F710" s="7"/>
      <c r="G710" s="120"/>
      <c r="H710" s="120"/>
      <c r="I710" s="118"/>
      <c r="J710" s="118"/>
      <c r="K710" s="115"/>
      <c r="L710" s="115"/>
      <c r="M710" s="8"/>
      <c r="N710" s="8" t="str">
        <f t="shared" si="35"/>
        <v>-</v>
      </c>
      <c r="O710" s="126"/>
      <c r="P710" s="127"/>
      <c r="Q710" s="127"/>
      <c r="R710" s="126"/>
      <c r="S710" s="127"/>
      <c r="T710" s="8"/>
      <c r="U710" s="158"/>
      <c r="V710" s="7"/>
      <c r="W710" s="7"/>
      <c r="X710" s="146"/>
      <c r="Y710" s="7"/>
      <c r="Z710" s="7"/>
      <c r="AA710" s="7" t="str">
        <f>IFERROR((VLOOKUP(F710,#REF!,2,FALSE)),"-")</f>
        <v>-</v>
      </c>
      <c r="AB710" s="119" t="e">
        <f>CONCATENATE(F710," - ",I710," - ",#REF!,)</f>
        <v>#REF!</v>
      </c>
    </row>
    <row r="711" spans="1:28" s="116" customFormat="1" ht="15">
      <c r="A711" s="114"/>
      <c r="B711" s="120"/>
      <c r="C711" s="129" t="str">
        <f t="shared" si="33"/>
        <v>week-0</v>
      </c>
      <c r="D711" s="120" t="str">
        <f t="shared" si="34"/>
        <v>Jan</v>
      </c>
      <c r="E711" s="7"/>
      <c r="F711" s="7"/>
      <c r="G711" s="120"/>
      <c r="H711" s="120"/>
      <c r="I711" s="118"/>
      <c r="J711" s="118"/>
      <c r="K711" s="115"/>
      <c r="L711" s="115"/>
      <c r="M711" s="8"/>
      <c r="N711" s="8" t="str">
        <f t="shared" si="35"/>
        <v>-</v>
      </c>
      <c r="O711" s="126"/>
      <c r="P711" s="127"/>
      <c r="Q711" s="127"/>
      <c r="R711" s="126"/>
      <c r="S711" s="127"/>
      <c r="T711" s="8"/>
      <c r="U711" s="158"/>
      <c r="V711" s="7"/>
      <c r="W711" s="7"/>
      <c r="X711" s="146"/>
      <c r="Y711" s="7"/>
      <c r="Z711" s="7"/>
      <c r="AA711" s="7" t="str">
        <f>IFERROR((VLOOKUP(F711,#REF!,2,FALSE)),"-")</f>
        <v>-</v>
      </c>
      <c r="AB711" s="119" t="e">
        <f>CONCATENATE(F711," - ",I711," - ",#REF!,)</f>
        <v>#REF!</v>
      </c>
    </row>
    <row r="712" spans="1:28" s="116" customFormat="1" ht="15">
      <c r="A712" s="114"/>
      <c r="B712" s="120"/>
      <c r="C712" s="129" t="str">
        <f t="shared" si="33"/>
        <v>week-0</v>
      </c>
      <c r="D712" s="120" t="str">
        <f t="shared" si="34"/>
        <v>Jan</v>
      </c>
      <c r="E712" s="7"/>
      <c r="F712" s="7"/>
      <c r="G712" s="120"/>
      <c r="H712" s="120"/>
      <c r="I712" s="118"/>
      <c r="J712" s="118"/>
      <c r="K712" s="115"/>
      <c r="L712" s="115"/>
      <c r="M712" s="8"/>
      <c r="N712" s="8" t="str">
        <f t="shared" si="35"/>
        <v>-</v>
      </c>
      <c r="O712" s="126"/>
      <c r="P712" s="127"/>
      <c r="Q712" s="127"/>
      <c r="R712" s="126"/>
      <c r="S712" s="127"/>
      <c r="T712" s="8"/>
      <c r="U712" s="158"/>
      <c r="V712" s="7"/>
      <c r="W712" s="7"/>
      <c r="X712" s="146"/>
      <c r="Y712" s="7"/>
      <c r="Z712" s="7"/>
      <c r="AA712" s="7" t="str">
        <f>IFERROR((VLOOKUP(F712,#REF!,2,FALSE)),"-")</f>
        <v>-</v>
      </c>
      <c r="AB712" s="119" t="e">
        <f>CONCATENATE(F712," - ",I712," - ",#REF!,)</f>
        <v>#REF!</v>
      </c>
    </row>
    <row r="713" spans="1:28" s="116" customFormat="1" ht="15">
      <c r="A713" s="114"/>
      <c r="B713" s="120"/>
      <c r="C713" s="129" t="str">
        <f t="shared" si="33"/>
        <v>week-0</v>
      </c>
      <c r="D713" s="120" t="str">
        <f t="shared" si="34"/>
        <v>Jan</v>
      </c>
      <c r="E713" s="7"/>
      <c r="F713" s="7"/>
      <c r="G713" s="120"/>
      <c r="H713" s="120"/>
      <c r="I713" s="118"/>
      <c r="J713" s="118"/>
      <c r="K713" s="115"/>
      <c r="L713" s="115"/>
      <c r="M713" s="8"/>
      <c r="N713" s="8" t="str">
        <f t="shared" si="35"/>
        <v>-</v>
      </c>
      <c r="O713" s="126"/>
      <c r="P713" s="127"/>
      <c r="Q713" s="127"/>
      <c r="R713" s="126"/>
      <c r="S713" s="127"/>
      <c r="T713" s="8"/>
      <c r="U713" s="158"/>
      <c r="V713" s="7"/>
      <c r="W713" s="7"/>
      <c r="X713" s="146"/>
      <c r="Y713" s="7"/>
      <c r="Z713" s="7"/>
      <c r="AA713" s="7" t="str">
        <f>IFERROR((VLOOKUP(F713,#REF!,2,FALSE)),"-")</f>
        <v>-</v>
      </c>
      <c r="AB713" s="119" t="e">
        <f>CONCATENATE(F713," - ",I713," - ",#REF!,)</f>
        <v>#REF!</v>
      </c>
    </row>
    <row r="714" spans="1:28" s="116" customFormat="1" ht="15">
      <c r="A714" s="114"/>
      <c r="B714" s="120"/>
      <c r="C714" s="129" t="str">
        <f t="shared" si="33"/>
        <v>week-0</v>
      </c>
      <c r="D714" s="120" t="str">
        <f t="shared" si="34"/>
        <v>Jan</v>
      </c>
      <c r="E714" s="7"/>
      <c r="F714" s="7"/>
      <c r="G714" s="120"/>
      <c r="H714" s="120"/>
      <c r="I714" s="118"/>
      <c r="J714" s="118"/>
      <c r="K714" s="115"/>
      <c r="L714" s="115"/>
      <c r="M714" s="8"/>
      <c r="N714" s="8" t="str">
        <f t="shared" si="35"/>
        <v>-</v>
      </c>
      <c r="O714" s="126"/>
      <c r="P714" s="127"/>
      <c r="Q714" s="127"/>
      <c r="R714" s="126"/>
      <c r="S714" s="127"/>
      <c r="T714" s="8"/>
      <c r="U714" s="158"/>
      <c r="V714" s="7"/>
      <c r="W714" s="7"/>
      <c r="X714" s="146"/>
      <c r="Y714" s="7"/>
      <c r="Z714" s="7"/>
      <c r="AA714" s="7" t="str">
        <f>IFERROR((VLOOKUP(F714,#REF!,2,FALSE)),"-")</f>
        <v>-</v>
      </c>
      <c r="AB714" s="119" t="e">
        <f>CONCATENATE(F714," - ",I714," - ",#REF!,)</f>
        <v>#REF!</v>
      </c>
    </row>
    <row r="715" spans="1:28" s="116" customFormat="1" ht="15">
      <c r="A715" s="114"/>
      <c r="B715" s="120"/>
      <c r="C715" s="129" t="str">
        <f t="shared" si="33"/>
        <v>week-0</v>
      </c>
      <c r="D715" s="120" t="str">
        <f t="shared" si="34"/>
        <v>Jan</v>
      </c>
      <c r="E715" s="7"/>
      <c r="F715" s="7"/>
      <c r="G715" s="120"/>
      <c r="H715" s="120"/>
      <c r="I715" s="118"/>
      <c r="J715" s="118"/>
      <c r="K715" s="115"/>
      <c r="L715" s="115"/>
      <c r="M715" s="8"/>
      <c r="N715" s="8" t="str">
        <f t="shared" si="35"/>
        <v>-</v>
      </c>
      <c r="O715" s="126"/>
      <c r="P715" s="127"/>
      <c r="Q715" s="127"/>
      <c r="R715" s="126"/>
      <c r="S715" s="127"/>
      <c r="T715" s="8"/>
      <c r="U715" s="158"/>
      <c r="V715" s="7"/>
      <c r="W715" s="7"/>
      <c r="X715" s="146"/>
      <c r="Y715" s="7"/>
      <c r="Z715" s="7"/>
      <c r="AA715" s="7" t="str">
        <f>IFERROR((VLOOKUP(F715,#REF!,2,FALSE)),"-")</f>
        <v>-</v>
      </c>
      <c r="AB715" s="119" t="e">
        <f>CONCATENATE(F715," - ",I715," - ",#REF!,)</f>
        <v>#REF!</v>
      </c>
    </row>
    <row r="716" spans="1:28" s="116" customFormat="1" ht="15">
      <c r="A716" s="114"/>
      <c r="B716" s="120"/>
      <c r="C716" s="129" t="str">
        <f t="shared" si="33"/>
        <v>week-0</v>
      </c>
      <c r="D716" s="120" t="str">
        <f t="shared" si="34"/>
        <v>Jan</v>
      </c>
      <c r="E716" s="7"/>
      <c r="F716" s="7"/>
      <c r="G716" s="120"/>
      <c r="H716" s="120"/>
      <c r="I716" s="118"/>
      <c r="J716" s="118"/>
      <c r="K716" s="115"/>
      <c r="L716" s="115"/>
      <c r="M716" s="8"/>
      <c r="N716" s="8" t="str">
        <f t="shared" si="35"/>
        <v>-</v>
      </c>
      <c r="O716" s="126"/>
      <c r="P716" s="127"/>
      <c r="Q716" s="127"/>
      <c r="R716" s="126"/>
      <c r="S716" s="127"/>
      <c r="T716" s="8"/>
      <c r="U716" s="158"/>
      <c r="V716" s="7"/>
      <c r="W716" s="7"/>
      <c r="X716" s="146"/>
      <c r="Y716" s="7"/>
      <c r="Z716" s="7"/>
      <c r="AA716" s="7" t="str">
        <f>IFERROR((VLOOKUP(F716,#REF!,2,FALSE)),"-")</f>
        <v>-</v>
      </c>
      <c r="AB716" s="119" t="e">
        <f>CONCATENATE(F716," - ",I716," - ",#REF!,)</f>
        <v>#REF!</v>
      </c>
    </row>
    <row r="717" spans="1:28" s="116" customFormat="1" ht="15">
      <c r="A717" s="114"/>
      <c r="B717" s="120"/>
      <c r="C717" s="129" t="str">
        <f t="shared" si="33"/>
        <v>week-0</v>
      </c>
      <c r="D717" s="120" t="str">
        <f t="shared" si="34"/>
        <v>Jan</v>
      </c>
      <c r="E717" s="7"/>
      <c r="F717" s="7"/>
      <c r="G717" s="120"/>
      <c r="H717" s="120"/>
      <c r="I717" s="118"/>
      <c r="J717" s="118"/>
      <c r="K717" s="115"/>
      <c r="L717" s="115"/>
      <c r="M717" s="8"/>
      <c r="N717" s="8" t="str">
        <f t="shared" si="35"/>
        <v>-</v>
      </c>
      <c r="O717" s="126"/>
      <c r="P717" s="127"/>
      <c r="Q717" s="127"/>
      <c r="R717" s="126"/>
      <c r="S717" s="127"/>
      <c r="T717" s="8"/>
      <c r="U717" s="158"/>
      <c r="V717" s="7"/>
      <c r="W717" s="7"/>
      <c r="X717" s="146"/>
      <c r="Y717" s="7"/>
      <c r="Z717" s="7"/>
      <c r="AA717" s="7" t="str">
        <f>IFERROR((VLOOKUP(F717,#REF!,2,FALSE)),"-")</f>
        <v>-</v>
      </c>
      <c r="AB717" s="119" t="e">
        <f>CONCATENATE(F717," - ",I717," - ",#REF!,)</f>
        <v>#REF!</v>
      </c>
    </row>
    <row r="718" spans="1:28" s="116" customFormat="1" ht="15">
      <c r="A718" s="114"/>
      <c r="B718" s="120"/>
      <c r="C718" s="129" t="str">
        <f t="shared" si="33"/>
        <v>week-0</v>
      </c>
      <c r="D718" s="120" t="str">
        <f t="shared" si="34"/>
        <v>Jan</v>
      </c>
      <c r="E718" s="7"/>
      <c r="F718" s="7"/>
      <c r="G718" s="120"/>
      <c r="H718" s="120"/>
      <c r="I718" s="118"/>
      <c r="J718" s="118"/>
      <c r="K718" s="115"/>
      <c r="L718" s="115"/>
      <c r="M718" s="8"/>
      <c r="N718" s="8" t="str">
        <f t="shared" si="35"/>
        <v>-</v>
      </c>
      <c r="O718" s="126"/>
      <c r="P718" s="127"/>
      <c r="Q718" s="127"/>
      <c r="R718" s="126"/>
      <c r="S718" s="127"/>
      <c r="T718" s="8"/>
      <c r="U718" s="158"/>
      <c r="V718" s="7"/>
      <c r="W718" s="7"/>
      <c r="X718" s="146"/>
      <c r="Y718" s="7"/>
      <c r="Z718" s="7"/>
      <c r="AA718" s="7" t="str">
        <f>IFERROR((VLOOKUP(F718,#REF!,2,FALSE)),"-")</f>
        <v>-</v>
      </c>
      <c r="AB718" s="119" t="e">
        <f>CONCATENATE(F718," - ",I718," - ",#REF!,)</f>
        <v>#REF!</v>
      </c>
    </row>
    <row r="719" spans="1:28" s="116" customFormat="1" ht="15">
      <c r="A719" s="114"/>
      <c r="B719" s="120"/>
      <c r="C719" s="129" t="str">
        <f t="shared" si="33"/>
        <v>week-0</v>
      </c>
      <c r="D719" s="120" t="str">
        <f t="shared" si="34"/>
        <v>Jan</v>
      </c>
      <c r="E719" s="7"/>
      <c r="F719" s="7"/>
      <c r="G719" s="120"/>
      <c r="H719" s="120"/>
      <c r="I719" s="118"/>
      <c r="J719" s="118"/>
      <c r="K719" s="115"/>
      <c r="L719" s="115"/>
      <c r="M719" s="8"/>
      <c r="N719" s="8" t="str">
        <f t="shared" si="35"/>
        <v>-</v>
      </c>
      <c r="O719" s="126"/>
      <c r="P719" s="127"/>
      <c r="Q719" s="127"/>
      <c r="R719" s="126"/>
      <c r="S719" s="127"/>
      <c r="T719" s="8"/>
      <c r="U719" s="158"/>
      <c r="V719" s="7"/>
      <c r="W719" s="7"/>
      <c r="X719" s="146"/>
      <c r="Y719" s="7"/>
      <c r="Z719" s="7"/>
      <c r="AA719" s="7" t="str">
        <f>IFERROR((VLOOKUP(F719,#REF!,2,FALSE)),"-")</f>
        <v>-</v>
      </c>
      <c r="AB719" s="119" t="e">
        <f>CONCATENATE(F719," - ",I719," - ",#REF!,)</f>
        <v>#REF!</v>
      </c>
    </row>
    <row r="720" spans="1:28" s="116" customFormat="1" ht="15">
      <c r="A720" s="114"/>
      <c r="B720" s="120"/>
      <c r="C720" s="129" t="str">
        <f t="shared" si="33"/>
        <v>week-0</v>
      </c>
      <c r="D720" s="120" t="str">
        <f t="shared" si="34"/>
        <v>Jan</v>
      </c>
      <c r="E720" s="7"/>
      <c r="F720" s="7"/>
      <c r="G720" s="120"/>
      <c r="H720" s="120"/>
      <c r="I720" s="118"/>
      <c r="J720" s="118"/>
      <c r="K720" s="115"/>
      <c r="L720" s="115"/>
      <c r="M720" s="8"/>
      <c r="N720" s="8" t="str">
        <f t="shared" si="35"/>
        <v>-</v>
      </c>
      <c r="O720" s="126"/>
      <c r="P720" s="127"/>
      <c r="Q720" s="127"/>
      <c r="R720" s="126"/>
      <c r="S720" s="127"/>
      <c r="T720" s="8"/>
      <c r="U720" s="158"/>
      <c r="V720" s="7"/>
      <c r="W720" s="7"/>
      <c r="X720" s="146"/>
      <c r="Y720" s="7"/>
      <c r="Z720" s="7"/>
      <c r="AA720" s="7" t="str">
        <f>IFERROR((VLOOKUP(F720,#REF!,2,FALSE)),"-")</f>
        <v>-</v>
      </c>
      <c r="AB720" s="119" t="e">
        <f>CONCATENATE(F720," - ",I720," - ",#REF!,)</f>
        <v>#REF!</v>
      </c>
    </row>
    <row r="721" spans="1:28" s="116" customFormat="1" ht="15">
      <c r="A721" s="114"/>
      <c r="B721" s="120"/>
      <c r="C721" s="129" t="str">
        <f t="shared" si="33"/>
        <v>week-0</v>
      </c>
      <c r="D721" s="120" t="str">
        <f t="shared" si="34"/>
        <v>Jan</v>
      </c>
      <c r="E721" s="7"/>
      <c r="F721" s="7"/>
      <c r="G721" s="120"/>
      <c r="H721" s="120"/>
      <c r="I721" s="118"/>
      <c r="J721" s="118"/>
      <c r="K721" s="115"/>
      <c r="L721" s="115"/>
      <c r="M721" s="8"/>
      <c r="N721" s="8" t="str">
        <f t="shared" si="35"/>
        <v>-</v>
      </c>
      <c r="O721" s="126"/>
      <c r="P721" s="127"/>
      <c r="Q721" s="127"/>
      <c r="R721" s="126"/>
      <c r="S721" s="127"/>
      <c r="T721" s="8"/>
      <c r="U721" s="158"/>
      <c r="V721" s="7"/>
      <c r="W721" s="7"/>
      <c r="X721" s="146"/>
      <c r="Y721" s="7"/>
      <c r="Z721" s="7"/>
      <c r="AA721" s="7" t="str">
        <f>IFERROR((VLOOKUP(F721,#REF!,2,FALSE)),"-")</f>
        <v>-</v>
      </c>
      <c r="AB721" s="119" t="e">
        <f>CONCATENATE(F721," - ",I721," - ",#REF!,)</f>
        <v>#REF!</v>
      </c>
    </row>
    <row r="722" spans="1:28" s="116" customFormat="1" ht="15">
      <c r="A722" s="114"/>
      <c r="B722" s="120"/>
      <c r="C722" s="129" t="str">
        <f t="shared" si="33"/>
        <v>week-0</v>
      </c>
      <c r="D722" s="120" t="str">
        <f t="shared" si="34"/>
        <v>Jan</v>
      </c>
      <c r="E722" s="7"/>
      <c r="F722" s="7"/>
      <c r="G722" s="120"/>
      <c r="H722" s="120"/>
      <c r="I722" s="118"/>
      <c r="J722" s="118"/>
      <c r="K722" s="115"/>
      <c r="L722" s="115"/>
      <c r="M722" s="8"/>
      <c r="N722" s="8" t="str">
        <f t="shared" si="35"/>
        <v>-</v>
      </c>
      <c r="O722" s="126"/>
      <c r="P722" s="127"/>
      <c r="Q722" s="127"/>
      <c r="R722" s="126"/>
      <c r="S722" s="127"/>
      <c r="T722" s="8"/>
      <c r="U722" s="158"/>
      <c r="V722" s="7"/>
      <c r="W722" s="7"/>
      <c r="X722" s="146"/>
      <c r="Y722" s="7"/>
      <c r="Z722" s="7"/>
      <c r="AA722" s="7" t="str">
        <f>IFERROR((VLOOKUP(F722,#REF!,2,FALSE)),"-")</f>
        <v>-</v>
      </c>
      <c r="AB722" s="119" t="e">
        <f>CONCATENATE(F722," - ",I722," - ",#REF!,)</f>
        <v>#REF!</v>
      </c>
    </row>
    <row r="723" spans="1:28" s="116" customFormat="1" ht="15">
      <c r="A723" s="114"/>
      <c r="B723" s="120"/>
      <c r="C723" s="129" t="str">
        <f t="shared" si="33"/>
        <v>week-0</v>
      </c>
      <c r="D723" s="120" t="str">
        <f t="shared" si="34"/>
        <v>Jan</v>
      </c>
      <c r="E723" s="7"/>
      <c r="F723" s="7"/>
      <c r="G723" s="120"/>
      <c r="H723" s="120"/>
      <c r="I723" s="118"/>
      <c r="J723" s="118"/>
      <c r="K723" s="115"/>
      <c r="L723" s="115"/>
      <c r="M723" s="8"/>
      <c r="N723" s="8" t="str">
        <f t="shared" si="35"/>
        <v>-</v>
      </c>
      <c r="O723" s="126"/>
      <c r="P723" s="127"/>
      <c r="Q723" s="127"/>
      <c r="R723" s="126"/>
      <c r="S723" s="127"/>
      <c r="T723" s="8"/>
      <c r="U723" s="158"/>
      <c r="V723" s="7"/>
      <c r="W723" s="7"/>
      <c r="X723" s="146"/>
      <c r="Y723" s="7"/>
      <c r="Z723" s="7"/>
      <c r="AA723" s="7" t="str">
        <f>IFERROR((VLOOKUP(F723,#REF!,2,FALSE)),"-")</f>
        <v>-</v>
      </c>
      <c r="AB723" s="119" t="e">
        <f>CONCATENATE(F723," - ",I723," - ",#REF!,)</f>
        <v>#REF!</v>
      </c>
    </row>
    <row r="724" spans="1:28" s="116" customFormat="1" ht="15">
      <c r="A724" s="114"/>
      <c r="B724" s="120"/>
      <c r="C724" s="129" t="str">
        <f t="shared" si="33"/>
        <v>week-0</v>
      </c>
      <c r="D724" s="120" t="str">
        <f t="shared" si="34"/>
        <v>Jan</v>
      </c>
      <c r="E724" s="7"/>
      <c r="F724" s="7"/>
      <c r="G724" s="120"/>
      <c r="H724" s="120"/>
      <c r="I724" s="118"/>
      <c r="J724" s="118"/>
      <c r="K724" s="115"/>
      <c r="L724" s="115"/>
      <c r="M724" s="8"/>
      <c r="N724" s="8" t="str">
        <f t="shared" si="35"/>
        <v>-</v>
      </c>
      <c r="O724" s="126"/>
      <c r="P724" s="127"/>
      <c r="Q724" s="127"/>
      <c r="R724" s="126"/>
      <c r="S724" s="127"/>
      <c r="T724" s="8"/>
      <c r="U724" s="158"/>
      <c r="V724" s="7"/>
      <c r="W724" s="7"/>
      <c r="X724" s="146"/>
      <c r="Y724" s="7"/>
      <c r="Z724" s="7"/>
      <c r="AA724" s="7" t="str">
        <f>IFERROR((VLOOKUP(F724,#REF!,2,FALSE)),"-")</f>
        <v>-</v>
      </c>
      <c r="AB724" s="119" t="e">
        <f>CONCATENATE(F724," - ",I724," - ",#REF!,)</f>
        <v>#REF!</v>
      </c>
    </row>
    <row r="725" spans="1:28" s="116" customFormat="1" ht="15">
      <c r="A725" s="114"/>
      <c r="B725" s="120"/>
      <c r="C725" s="129" t="str">
        <f t="shared" si="33"/>
        <v>week-0</v>
      </c>
      <c r="D725" s="120" t="str">
        <f t="shared" si="34"/>
        <v>Jan</v>
      </c>
      <c r="E725" s="7"/>
      <c r="F725" s="7"/>
      <c r="G725" s="120"/>
      <c r="H725" s="120"/>
      <c r="I725" s="118"/>
      <c r="J725" s="118"/>
      <c r="K725" s="115"/>
      <c r="L725" s="115"/>
      <c r="M725" s="8"/>
      <c r="N725" s="8" t="str">
        <f t="shared" si="35"/>
        <v>-</v>
      </c>
      <c r="O725" s="126"/>
      <c r="P725" s="127"/>
      <c r="Q725" s="127"/>
      <c r="R725" s="126"/>
      <c r="S725" s="127"/>
      <c r="T725" s="8"/>
      <c r="U725" s="158"/>
      <c r="V725" s="7"/>
      <c r="W725" s="7"/>
      <c r="X725" s="146"/>
      <c r="Y725" s="7"/>
      <c r="Z725" s="7"/>
      <c r="AA725" s="7" t="str">
        <f>IFERROR((VLOOKUP(F725,#REF!,2,FALSE)),"-")</f>
        <v>-</v>
      </c>
      <c r="AB725" s="119" t="e">
        <f>CONCATENATE(F725," - ",I725," - ",#REF!,)</f>
        <v>#REF!</v>
      </c>
    </row>
    <row r="726" spans="1:28" s="116" customFormat="1" ht="15">
      <c r="A726" s="114"/>
      <c r="B726" s="120"/>
      <c r="C726" s="129" t="str">
        <f t="shared" si="33"/>
        <v>week-0</v>
      </c>
      <c r="D726" s="120" t="str">
        <f t="shared" si="34"/>
        <v>Jan</v>
      </c>
      <c r="E726" s="7"/>
      <c r="F726" s="7"/>
      <c r="G726" s="120"/>
      <c r="H726" s="120"/>
      <c r="I726" s="118"/>
      <c r="J726" s="118"/>
      <c r="K726" s="115"/>
      <c r="L726" s="115"/>
      <c r="M726" s="8"/>
      <c r="N726" s="8" t="str">
        <f t="shared" si="35"/>
        <v>-</v>
      </c>
      <c r="O726" s="126"/>
      <c r="P726" s="127"/>
      <c r="Q726" s="127"/>
      <c r="R726" s="126"/>
      <c r="S726" s="127"/>
      <c r="T726" s="8"/>
      <c r="U726" s="158"/>
      <c r="V726" s="7"/>
      <c r="W726" s="7"/>
      <c r="X726" s="146"/>
      <c r="Y726" s="7"/>
      <c r="Z726" s="7"/>
      <c r="AA726" s="7" t="str">
        <f>IFERROR((VLOOKUP(F726,#REF!,2,FALSE)),"-")</f>
        <v>-</v>
      </c>
      <c r="AB726" s="119" t="e">
        <f>CONCATENATE(F726," - ",I726," - ",#REF!,)</f>
        <v>#REF!</v>
      </c>
    </row>
    <row r="727" spans="1:28" s="116" customFormat="1" ht="15">
      <c r="A727" s="114"/>
      <c r="B727" s="120"/>
      <c r="C727" s="129" t="str">
        <f t="shared" si="33"/>
        <v>week-0</v>
      </c>
      <c r="D727" s="120" t="str">
        <f t="shared" si="34"/>
        <v>Jan</v>
      </c>
      <c r="E727" s="7"/>
      <c r="F727" s="7"/>
      <c r="G727" s="120"/>
      <c r="H727" s="120"/>
      <c r="I727" s="118"/>
      <c r="J727" s="118"/>
      <c r="K727" s="115"/>
      <c r="L727" s="115"/>
      <c r="M727" s="8"/>
      <c r="N727" s="8" t="str">
        <f t="shared" si="35"/>
        <v>-</v>
      </c>
      <c r="O727" s="126"/>
      <c r="P727" s="127"/>
      <c r="Q727" s="127"/>
      <c r="R727" s="126"/>
      <c r="S727" s="127"/>
      <c r="T727" s="8"/>
      <c r="U727" s="158"/>
      <c r="V727" s="7"/>
      <c r="W727" s="7"/>
      <c r="X727" s="146"/>
      <c r="Y727" s="7"/>
      <c r="Z727" s="7"/>
      <c r="AA727" s="7" t="str">
        <f>IFERROR((VLOOKUP(F727,#REF!,2,FALSE)),"-")</f>
        <v>-</v>
      </c>
      <c r="AB727" s="119" t="e">
        <f>CONCATENATE(F727," - ",I727," - ",#REF!,)</f>
        <v>#REF!</v>
      </c>
    </row>
    <row r="728" spans="1:28" s="116" customFormat="1" ht="15">
      <c r="A728" s="114"/>
      <c r="B728" s="120"/>
      <c r="C728" s="129" t="str">
        <f t="shared" si="33"/>
        <v>week-0</v>
      </c>
      <c r="D728" s="120" t="str">
        <f t="shared" si="34"/>
        <v>Jan</v>
      </c>
      <c r="E728" s="7"/>
      <c r="F728" s="7"/>
      <c r="G728" s="120"/>
      <c r="H728" s="120"/>
      <c r="I728" s="118"/>
      <c r="J728" s="118"/>
      <c r="K728" s="115"/>
      <c r="L728" s="115"/>
      <c r="M728" s="8"/>
      <c r="N728" s="8" t="str">
        <f t="shared" si="35"/>
        <v>-</v>
      </c>
      <c r="O728" s="126"/>
      <c r="P728" s="127"/>
      <c r="Q728" s="127"/>
      <c r="R728" s="126"/>
      <c r="S728" s="127"/>
      <c r="T728" s="8"/>
      <c r="U728" s="158"/>
      <c r="V728" s="7"/>
      <c r="W728" s="7"/>
      <c r="X728" s="146"/>
      <c r="Y728" s="7"/>
      <c r="Z728" s="7"/>
      <c r="AA728" s="7" t="str">
        <f>IFERROR((VLOOKUP(F728,#REF!,2,FALSE)),"-")</f>
        <v>-</v>
      </c>
      <c r="AB728" s="119" t="e">
        <f>CONCATENATE(F728," - ",I728," - ",#REF!,)</f>
        <v>#REF!</v>
      </c>
    </row>
    <row r="729" spans="1:28" s="116" customFormat="1" ht="15">
      <c r="A729" s="114"/>
      <c r="B729" s="120"/>
      <c r="C729" s="129" t="str">
        <f t="shared" si="33"/>
        <v>week-0</v>
      </c>
      <c r="D729" s="120" t="str">
        <f t="shared" si="34"/>
        <v>Jan</v>
      </c>
      <c r="E729" s="7"/>
      <c r="F729" s="7"/>
      <c r="G729" s="120"/>
      <c r="H729" s="120"/>
      <c r="I729" s="118"/>
      <c r="J729" s="118"/>
      <c r="K729" s="115"/>
      <c r="L729" s="115"/>
      <c r="M729" s="8"/>
      <c r="N729" s="8" t="str">
        <f t="shared" si="35"/>
        <v>-</v>
      </c>
      <c r="O729" s="126"/>
      <c r="P729" s="127"/>
      <c r="Q729" s="127"/>
      <c r="R729" s="126"/>
      <c r="S729" s="127"/>
      <c r="T729" s="8"/>
      <c r="U729" s="158"/>
      <c r="V729" s="7"/>
      <c r="W729" s="7"/>
      <c r="X729" s="146"/>
      <c r="Y729" s="7"/>
      <c r="Z729" s="7"/>
      <c r="AA729" s="7" t="str">
        <f>IFERROR((VLOOKUP(F729,#REF!,2,FALSE)),"-")</f>
        <v>-</v>
      </c>
      <c r="AB729" s="119" t="e">
        <f>CONCATENATE(F729," - ",I729," - ",#REF!,)</f>
        <v>#REF!</v>
      </c>
    </row>
    <row r="730" spans="1:28" s="116" customFormat="1" ht="15">
      <c r="A730" s="114"/>
      <c r="B730" s="120"/>
      <c r="C730" s="129" t="str">
        <f t="shared" si="33"/>
        <v>week-0</v>
      </c>
      <c r="D730" s="120" t="str">
        <f t="shared" si="34"/>
        <v>Jan</v>
      </c>
      <c r="E730" s="7"/>
      <c r="F730" s="7"/>
      <c r="G730" s="120"/>
      <c r="H730" s="120"/>
      <c r="I730" s="118"/>
      <c r="J730" s="118"/>
      <c r="K730" s="115"/>
      <c r="L730" s="115"/>
      <c r="M730" s="8"/>
      <c r="N730" s="8" t="str">
        <f t="shared" si="35"/>
        <v>-</v>
      </c>
      <c r="O730" s="126"/>
      <c r="P730" s="127"/>
      <c r="Q730" s="127"/>
      <c r="R730" s="126"/>
      <c r="S730" s="127"/>
      <c r="T730" s="8"/>
      <c r="U730" s="158"/>
      <c r="V730" s="7"/>
      <c r="W730" s="7"/>
      <c r="X730" s="146"/>
      <c r="Y730" s="7"/>
      <c r="Z730" s="7"/>
      <c r="AA730" s="7" t="str">
        <f>IFERROR((VLOOKUP(F730,#REF!,2,FALSE)),"-")</f>
        <v>-</v>
      </c>
      <c r="AB730" s="119" t="e">
        <f>CONCATENATE(F730," - ",I730," - ",#REF!,)</f>
        <v>#REF!</v>
      </c>
    </row>
    <row r="731" spans="1:28" s="116" customFormat="1" ht="15">
      <c r="A731" s="114"/>
      <c r="B731" s="120"/>
      <c r="C731" s="129" t="str">
        <f t="shared" si="33"/>
        <v>week-0</v>
      </c>
      <c r="D731" s="120" t="str">
        <f t="shared" si="34"/>
        <v>Jan</v>
      </c>
      <c r="E731" s="7"/>
      <c r="F731" s="7"/>
      <c r="G731" s="120"/>
      <c r="H731" s="120"/>
      <c r="I731" s="118"/>
      <c r="J731" s="118"/>
      <c r="K731" s="115"/>
      <c r="L731" s="115"/>
      <c r="M731" s="8"/>
      <c r="N731" s="8" t="str">
        <f t="shared" si="35"/>
        <v>-</v>
      </c>
      <c r="O731" s="126"/>
      <c r="P731" s="127"/>
      <c r="Q731" s="127"/>
      <c r="R731" s="126"/>
      <c r="S731" s="127"/>
      <c r="T731" s="8"/>
      <c r="U731" s="158"/>
      <c r="V731" s="7"/>
      <c r="W731" s="7"/>
      <c r="X731" s="146"/>
      <c r="Y731" s="7"/>
      <c r="Z731" s="7"/>
      <c r="AA731" s="7" t="str">
        <f>IFERROR((VLOOKUP(F731,#REF!,2,FALSE)),"-")</f>
        <v>-</v>
      </c>
      <c r="AB731" s="119" t="e">
        <f>CONCATENATE(F731," - ",I731," - ",#REF!,)</f>
        <v>#REF!</v>
      </c>
    </row>
    <row r="732" spans="1:28" s="116" customFormat="1" ht="15">
      <c r="A732" s="114"/>
      <c r="B732" s="120"/>
      <c r="C732" s="129" t="str">
        <f t="shared" si="33"/>
        <v>week-0</v>
      </c>
      <c r="D732" s="120" t="str">
        <f t="shared" si="34"/>
        <v>Jan</v>
      </c>
      <c r="E732" s="7"/>
      <c r="F732" s="7"/>
      <c r="G732" s="120"/>
      <c r="H732" s="120"/>
      <c r="I732" s="118"/>
      <c r="J732" s="118"/>
      <c r="K732" s="115"/>
      <c r="L732" s="115"/>
      <c r="M732" s="8"/>
      <c r="N732" s="8" t="str">
        <f t="shared" si="35"/>
        <v>-</v>
      </c>
      <c r="O732" s="126"/>
      <c r="P732" s="127"/>
      <c r="Q732" s="127"/>
      <c r="R732" s="126"/>
      <c r="S732" s="127"/>
      <c r="T732" s="8"/>
      <c r="U732" s="158"/>
      <c r="V732" s="7"/>
      <c r="W732" s="7"/>
      <c r="X732" s="146"/>
      <c r="Y732" s="7"/>
      <c r="Z732" s="7"/>
      <c r="AA732" s="7" t="str">
        <f>IFERROR((VLOOKUP(F732,#REF!,2,FALSE)),"-")</f>
        <v>-</v>
      </c>
      <c r="AB732" s="119" t="e">
        <f>CONCATENATE(F732," - ",I732," - ",#REF!,)</f>
        <v>#REF!</v>
      </c>
    </row>
    <row r="733" spans="1:28" s="116" customFormat="1" ht="15">
      <c r="A733" s="114"/>
      <c r="B733" s="120"/>
      <c r="C733" s="129" t="str">
        <f t="shared" si="33"/>
        <v>week-0</v>
      </c>
      <c r="D733" s="120" t="str">
        <f t="shared" si="34"/>
        <v>Jan</v>
      </c>
      <c r="E733" s="7"/>
      <c r="F733" s="7"/>
      <c r="G733" s="120"/>
      <c r="H733" s="120"/>
      <c r="I733" s="118"/>
      <c r="J733" s="118"/>
      <c r="K733" s="115"/>
      <c r="L733" s="115"/>
      <c r="M733" s="8"/>
      <c r="N733" s="8" t="str">
        <f t="shared" si="35"/>
        <v>-</v>
      </c>
      <c r="O733" s="126"/>
      <c r="P733" s="127"/>
      <c r="Q733" s="127"/>
      <c r="R733" s="126"/>
      <c r="S733" s="127"/>
      <c r="T733" s="8"/>
      <c r="U733" s="158"/>
      <c r="V733" s="7"/>
      <c r="W733" s="7"/>
      <c r="X733" s="146"/>
      <c r="Y733" s="7"/>
      <c r="Z733" s="7"/>
      <c r="AA733" s="7" t="str">
        <f>IFERROR((VLOOKUP(F733,#REF!,2,FALSE)),"-")</f>
        <v>-</v>
      </c>
      <c r="AB733" s="119" t="e">
        <f>CONCATENATE(F733," - ",I733," - ",#REF!,)</f>
        <v>#REF!</v>
      </c>
    </row>
    <row r="734" spans="1:28" s="116" customFormat="1" ht="15">
      <c r="A734" s="114"/>
      <c r="B734" s="120"/>
      <c r="C734" s="129" t="str">
        <f t="shared" si="33"/>
        <v>week-0</v>
      </c>
      <c r="D734" s="120" t="str">
        <f t="shared" si="34"/>
        <v>Jan</v>
      </c>
      <c r="E734" s="7"/>
      <c r="F734" s="7"/>
      <c r="G734" s="120"/>
      <c r="H734" s="120"/>
      <c r="I734" s="118"/>
      <c r="J734" s="118"/>
      <c r="K734" s="115"/>
      <c r="L734" s="115"/>
      <c r="M734" s="8"/>
      <c r="N734" s="8" t="str">
        <f t="shared" si="35"/>
        <v>-</v>
      </c>
      <c r="O734" s="126"/>
      <c r="P734" s="127"/>
      <c r="Q734" s="127"/>
      <c r="R734" s="126"/>
      <c r="S734" s="127"/>
      <c r="T734" s="8"/>
      <c r="U734" s="158"/>
      <c r="V734" s="7"/>
      <c r="W734" s="7"/>
      <c r="X734" s="146"/>
      <c r="Y734" s="7"/>
      <c r="Z734" s="7"/>
      <c r="AA734" s="7" t="str">
        <f>IFERROR((VLOOKUP(F734,#REF!,2,FALSE)),"-")</f>
        <v>-</v>
      </c>
      <c r="AB734" s="119" t="e">
        <f>CONCATENATE(F734," - ",I734," - ",#REF!,)</f>
        <v>#REF!</v>
      </c>
    </row>
    <row r="735" spans="1:28" s="116" customFormat="1" ht="15">
      <c r="A735" s="114"/>
      <c r="B735" s="120"/>
      <c r="C735" s="129" t="str">
        <f t="shared" si="33"/>
        <v>week-0</v>
      </c>
      <c r="D735" s="120" t="str">
        <f t="shared" si="34"/>
        <v>Jan</v>
      </c>
      <c r="E735" s="7"/>
      <c r="F735" s="7"/>
      <c r="G735" s="120"/>
      <c r="H735" s="120"/>
      <c r="I735" s="118"/>
      <c r="J735" s="118"/>
      <c r="K735" s="115"/>
      <c r="L735" s="115"/>
      <c r="M735" s="8"/>
      <c r="N735" s="8" t="str">
        <f t="shared" si="35"/>
        <v>-</v>
      </c>
      <c r="O735" s="126"/>
      <c r="P735" s="127"/>
      <c r="Q735" s="127"/>
      <c r="R735" s="126"/>
      <c r="S735" s="127"/>
      <c r="T735" s="8"/>
      <c r="U735" s="158"/>
      <c r="V735" s="7"/>
      <c r="W735" s="7"/>
      <c r="X735" s="146"/>
      <c r="Y735" s="7"/>
      <c r="Z735" s="7"/>
      <c r="AA735" s="7" t="str">
        <f>IFERROR((VLOOKUP(F735,#REF!,2,FALSE)),"-")</f>
        <v>-</v>
      </c>
      <c r="AB735" s="119" t="e">
        <f>CONCATENATE(F735," - ",I735," - ",#REF!,)</f>
        <v>#REF!</v>
      </c>
    </row>
    <row r="736" spans="1:28" s="116" customFormat="1" ht="15">
      <c r="A736" s="114"/>
      <c r="B736" s="120"/>
      <c r="C736" s="129" t="str">
        <f t="shared" si="33"/>
        <v>week-0</v>
      </c>
      <c r="D736" s="120" t="str">
        <f t="shared" si="34"/>
        <v>Jan</v>
      </c>
      <c r="E736" s="7"/>
      <c r="F736" s="7"/>
      <c r="G736" s="120"/>
      <c r="H736" s="120"/>
      <c r="I736" s="118"/>
      <c r="J736" s="118"/>
      <c r="K736" s="115"/>
      <c r="L736" s="115"/>
      <c r="M736" s="8"/>
      <c r="N736" s="8" t="str">
        <f t="shared" si="35"/>
        <v>-</v>
      </c>
      <c r="O736" s="126"/>
      <c r="P736" s="127"/>
      <c r="Q736" s="127"/>
      <c r="R736" s="126"/>
      <c r="S736" s="127"/>
      <c r="T736" s="8"/>
      <c r="U736" s="158"/>
      <c r="V736" s="7"/>
      <c r="W736" s="7"/>
      <c r="X736" s="146"/>
      <c r="Y736" s="7"/>
      <c r="Z736" s="7"/>
      <c r="AA736" s="7" t="str">
        <f>IFERROR((VLOOKUP(F736,#REF!,2,FALSE)),"-")</f>
        <v>-</v>
      </c>
      <c r="AB736" s="119" t="e">
        <f>CONCATENATE(F736," - ",I736," - ",#REF!,)</f>
        <v>#REF!</v>
      </c>
    </row>
    <row r="737" spans="1:28" s="116" customFormat="1" ht="15">
      <c r="A737" s="114"/>
      <c r="B737" s="120"/>
      <c r="C737" s="129" t="str">
        <f t="shared" si="33"/>
        <v>week-0</v>
      </c>
      <c r="D737" s="120" t="str">
        <f t="shared" si="34"/>
        <v>Jan</v>
      </c>
      <c r="E737" s="7"/>
      <c r="F737" s="7"/>
      <c r="G737" s="120"/>
      <c r="H737" s="120"/>
      <c r="I737" s="118"/>
      <c r="J737" s="118"/>
      <c r="K737" s="115"/>
      <c r="L737" s="115"/>
      <c r="M737" s="8"/>
      <c r="N737" s="8" t="str">
        <f t="shared" si="35"/>
        <v>-</v>
      </c>
      <c r="O737" s="126"/>
      <c r="P737" s="127"/>
      <c r="Q737" s="127"/>
      <c r="R737" s="126"/>
      <c r="S737" s="127"/>
      <c r="T737" s="8"/>
      <c r="U737" s="158"/>
      <c r="V737" s="7"/>
      <c r="W737" s="7"/>
      <c r="X737" s="146"/>
      <c r="Y737" s="7"/>
      <c r="Z737" s="7"/>
      <c r="AA737" s="7" t="str">
        <f>IFERROR((VLOOKUP(F737,#REF!,2,FALSE)),"-")</f>
        <v>-</v>
      </c>
      <c r="AB737" s="119" t="e">
        <f>CONCATENATE(F737," - ",I737," - ",#REF!,)</f>
        <v>#REF!</v>
      </c>
    </row>
    <row r="738" spans="1:28" s="116" customFormat="1" ht="15">
      <c r="A738" s="114"/>
      <c r="B738" s="120"/>
      <c r="C738" s="129" t="str">
        <f t="shared" si="33"/>
        <v>week-0</v>
      </c>
      <c r="D738" s="120" t="str">
        <f t="shared" si="34"/>
        <v>Jan</v>
      </c>
      <c r="E738" s="7"/>
      <c r="F738" s="7"/>
      <c r="G738" s="120"/>
      <c r="H738" s="120"/>
      <c r="I738" s="118"/>
      <c r="J738" s="118"/>
      <c r="K738" s="115"/>
      <c r="L738" s="115"/>
      <c r="M738" s="8"/>
      <c r="N738" s="8" t="str">
        <f t="shared" si="35"/>
        <v>-</v>
      </c>
      <c r="O738" s="126"/>
      <c r="P738" s="127"/>
      <c r="Q738" s="127"/>
      <c r="R738" s="126"/>
      <c r="S738" s="127"/>
      <c r="T738" s="8"/>
      <c r="U738" s="158"/>
      <c r="V738" s="7"/>
      <c r="W738" s="7"/>
      <c r="X738" s="146"/>
      <c r="Y738" s="7"/>
      <c r="Z738" s="7"/>
      <c r="AA738" s="7" t="str">
        <f>IFERROR((VLOOKUP(F738,#REF!,2,FALSE)),"-")</f>
        <v>-</v>
      </c>
      <c r="AB738" s="119" t="e">
        <f>CONCATENATE(F738," - ",I738," - ",#REF!,)</f>
        <v>#REF!</v>
      </c>
    </row>
    <row r="739" spans="1:28" s="116" customFormat="1" ht="15">
      <c r="A739" s="114"/>
      <c r="B739" s="120"/>
      <c r="C739" s="129" t="str">
        <f t="shared" si="33"/>
        <v>week-0</v>
      </c>
      <c r="D739" s="120" t="str">
        <f t="shared" si="34"/>
        <v>Jan</v>
      </c>
      <c r="E739" s="7"/>
      <c r="F739" s="7"/>
      <c r="G739" s="120"/>
      <c r="H739" s="120"/>
      <c r="I739" s="118"/>
      <c r="J739" s="118"/>
      <c r="K739" s="115"/>
      <c r="L739" s="115"/>
      <c r="M739" s="8"/>
      <c r="N739" s="8" t="str">
        <f t="shared" si="35"/>
        <v>-</v>
      </c>
      <c r="O739" s="126"/>
      <c r="P739" s="127"/>
      <c r="Q739" s="127"/>
      <c r="R739" s="126"/>
      <c r="S739" s="127"/>
      <c r="T739" s="8"/>
      <c r="U739" s="158"/>
      <c r="V739" s="7"/>
      <c r="W739" s="7"/>
      <c r="X739" s="146"/>
      <c r="Y739" s="7"/>
      <c r="Z739" s="7"/>
      <c r="AA739" s="7" t="str">
        <f>IFERROR((VLOOKUP(F739,#REF!,2,FALSE)),"-")</f>
        <v>-</v>
      </c>
      <c r="AB739" s="119" t="e">
        <f>CONCATENATE(F739," - ",I739," - ",#REF!,)</f>
        <v>#REF!</v>
      </c>
    </row>
    <row r="740" spans="1:28" s="116" customFormat="1" ht="15">
      <c r="A740" s="114"/>
      <c r="B740" s="120"/>
      <c r="C740" s="129" t="str">
        <f t="shared" si="33"/>
        <v>week-0</v>
      </c>
      <c r="D740" s="120" t="str">
        <f t="shared" si="34"/>
        <v>Jan</v>
      </c>
      <c r="E740" s="7"/>
      <c r="F740" s="7"/>
      <c r="G740" s="120"/>
      <c r="H740" s="120"/>
      <c r="I740" s="118"/>
      <c r="J740" s="118"/>
      <c r="K740" s="115"/>
      <c r="L740" s="115"/>
      <c r="M740" s="8"/>
      <c r="N740" s="8" t="str">
        <f t="shared" si="35"/>
        <v>-</v>
      </c>
      <c r="O740" s="126"/>
      <c r="P740" s="127"/>
      <c r="Q740" s="127"/>
      <c r="R740" s="126"/>
      <c r="S740" s="127"/>
      <c r="T740" s="8"/>
      <c r="U740" s="158"/>
      <c r="V740" s="7"/>
      <c r="W740" s="7"/>
      <c r="X740" s="146"/>
      <c r="Y740" s="7"/>
      <c r="Z740" s="7"/>
      <c r="AA740" s="7" t="str">
        <f>IFERROR((VLOOKUP(F740,#REF!,2,FALSE)),"-")</f>
        <v>-</v>
      </c>
      <c r="AB740" s="119" t="e">
        <f>CONCATENATE(F740," - ",I740," - ",#REF!,)</f>
        <v>#REF!</v>
      </c>
    </row>
    <row r="741" spans="1:28" s="116" customFormat="1" ht="15">
      <c r="A741" s="114"/>
      <c r="B741" s="120"/>
      <c r="C741" s="129" t="str">
        <f t="shared" si="33"/>
        <v>week-0</v>
      </c>
      <c r="D741" s="120" t="str">
        <f t="shared" si="34"/>
        <v>Jan</v>
      </c>
      <c r="E741" s="7"/>
      <c r="F741" s="7"/>
      <c r="G741" s="120"/>
      <c r="H741" s="120"/>
      <c r="I741" s="118"/>
      <c r="J741" s="118"/>
      <c r="K741" s="115"/>
      <c r="L741" s="115"/>
      <c r="M741" s="8"/>
      <c r="N741" s="8" t="str">
        <f t="shared" si="35"/>
        <v>-</v>
      </c>
      <c r="O741" s="127"/>
      <c r="P741" s="127"/>
      <c r="Q741" s="127"/>
      <c r="R741" s="127"/>
      <c r="S741" s="127"/>
      <c r="T741" s="139"/>
      <c r="U741" s="158"/>
      <c r="V741" s="7"/>
      <c r="W741" s="7"/>
      <c r="X741" s="146"/>
      <c r="Y741" s="7"/>
      <c r="Z741" s="7"/>
      <c r="AA741" s="7" t="str">
        <f>IFERROR((VLOOKUP(F741,#REF!,2,FALSE)),"-")</f>
        <v>-</v>
      </c>
      <c r="AB741" s="119" t="e">
        <f>CONCATENATE(F741," - ",I741," - ",#REF!,)</f>
        <v>#REF!</v>
      </c>
    </row>
    <row r="742" spans="1:28" s="116" customFormat="1" ht="15">
      <c r="A742" s="114"/>
      <c r="B742" s="120"/>
      <c r="C742" s="129" t="str">
        <f t="shared" si="33"/>
        <v>week-0</v>
      </c>
      <c r="D742" s="120" t="str">
        <f t="shared" si="34"/>
        <v>Jan</v>
      </c>
      <c r="E742" s="125"/>
      <c r="F742" s="7"/>
      <c r="G742" s="120"/>
      <c r="H742" s="120"/>
      <c r="I742" s="118"/>
      <c r="J742" s="118"/>
      <c r="K742" s="115"/>
      <c r="L742" s="115"/>
      <c r="M742" s="8"/>
      <c r="N742" s="8" t="str">
        <f t="shared" si="35"/>
        <v>-</v>
      </c>
      <c r="O742" s="127"/>
      <c r="P742" s="127"/>
      <c r="Q742" s="127"/>
      <c r="R742" s="127"/>
      <c r="S742" s="127"/>
      <c r="T742" s="139"/>
      <c r="U742" s="158"/>
      <c r="V742" s="7"/>
      <c r="W742" s="7"/>
      <c r="X742" s="146"/>
      <c r="Y742" s="7"/>
      <c r="Z742" s="7"/>
      <c r="AA742" s="7" t="str">
        <f>IFERROR((VLOOKUP(F742,#REF!,2,FALSE)),"-")</f>
        <v>-</v>
      </c>
      <c r="AB742" s="119" t="e">
        <f>CONCATENATE(F742," - ",I742," - ",#REF!,)</f>
        <v>#REF!</v>
      </c>
    </row>
    <row r="743" spans="1:28" s="116" customFormat="1" ht="15">
      <c r="A743" s="114"/>
      <c r="B743" s="120"/>
      <c r="C743" s="129" t="str">
        <f t="shared" si="33"/>
        <v>week-0</v>
      </c>
      <c r="D743" s="120" t="str">
        <f t="shared" si="34"/>
        <v>Jan</v>
      </c>
      <c r="E743" s="7"/>
      <c r="F743" s="7"/>
      <c r="G743" s="120"/>
      <c r="H743" s="120"/>
      <c r="I743" s="118"/>
      <c r="J743" s="118"/>
      <c r="K743" s="115"/>
      <c r="L743" s="115"/>
      <c r="M743" s="8"/>
      <c r="N743" s="8" t="str">
        <f t="shared" si="35"/>
        <v>-</v>
      </c>
      <c r="O743" s="126"/>
      <c r="P743" s="127"/>
      <c r="Q743" s="127"/>
      <c r="R743" s="126"/>
      <c r="S743" s="127"/>
      <c r="T743" s="8"/>
      <c r="U743" s="158"/>
      <c r="V743" s="7"/>
      <c r="W743" s="7"/>
      <c r="X743" s="146"/>
      <c r="Y743" s="7"/>
      <c r="Z743" s="7"/>
      <c r="AA743" s="7" t="str">
        <f>IFERROR((VLOOKUP(F743,#REF!,2,FALSE)),"-")</f>
        <v>-</v>
      </c>
      <c r="AB743" s="119" t="e">
        <f>CONCATENATE(F743," - ",I743," - ",#REF!,)</f>
        <v>#REF!</v>
      </c>
    </row>
    <row r="744" spans="1:28" s="116" customFormat="1" ht="15">
      <c r="A744" s="114"/>
      <c r="B744" s="120"/>
      <c r="C744" s="129" t="str">
        <f t="shared" si="33"/>
        <v>week-0</v>
      </c>
      <c r="D744" s="120" t="str">
        <f t="shared" si="34"/>
        <v>Jan</v>
      </c>
      <c r="E744" s="7"/>
      <c r="F744" s="7"/>
      <c r="G744" s="120"/>
      <c r="H744" s="120"/>
      <c r="I744" s="118"/>
      <c r="J744" s="118"/>
      <c r="K744" s="115"/>
      <c r="L744" s="115"/>
      <c r="M744" s="8"/>
      <c r="N744" s="8" t="str">
        <f t="shared" si="35"/>
        <v>-</v>
      </c>
      <c r="O744" s="126"/>
      <c r="P744" s="127"/>
      <c r="Q744" s="127"/>
      <c r="R744" s="126"/>
      <c r="S744" s="127"/>
      <c r="T744" s="8"/>
      <c r="U744" s="158"/>
      <c r="V744" s="7"/>
      <c r="W744" s="7"/>
      <c r="X744" s="146"/>
      <c r="Y744" s="7"/>
      <c r="Z744" s="7"/>
      <c r="AA744" s="7" t="str">
        <f>IFERROR((VLOOKUP(F744,#REF!,2,FALSE)),"-")</f>
        <v>-</v>
      </c>
      <c r="AB744" s="119" t="e">
        <f>CONCATENATE(F744," - ",I744," - ",#REF!,)</f>
        <v>#REF!</v>
      </c>
    </row>
    <row r="745" spans="1:28" s="116" customFormat="1" ht="15">
      <c r="A745" s="114"/>
      <c r="B745" s="120"/>
      <c r="C745" s="129" t="str">
        <f t="shared" si="33"/>
        <v>week-0</v>
      </c>
      <c r="D745" s="120" t="str">
        <f t="shared" si="34"/>
        <v>Jan</v>
      </c>
      <c r="E745" s="7"/>
      <c r="F745" s="7"/>
      <c r="G745" s="120"/>
      <c r="H745" s="120"/>
      <c r="I745" s="118"/>
      <c r="J745" s="118"/>
      <c r="K745" s="115"/>
      <c r="L745" s="115"/>
      <c r="M745" s="8"/>
      <c r="N745" s="8" t="str">
        <f t="shared" si="35"/>
        <v>-</v>
      </c>
      <c r="O745" s="126"/>
      <c r="P745" s="127"/>
      <c r="Q745" s="127"/>
      <c r="R745" s="126"/>
      <c r="S745" s="127"/>
      <c r="T745" s="8"/>
      <c r="U745" s="158"/>
      <c r="V745" s="7"/>
      <c r="W745" s="7"/>
      <c r="X745" s="146"/>
      <c r="Y745" s="7"/>
      <c r="Z745" s="7"/>
      <c r="AA745" s="7" t="str">
        <f>IFERROR((VLOOKUP(F745,#REF!,2,FALSE)),"-")</f>
        <v>-</v>
      </c>
      <c r="AB745" s="119" t="e">
        <f>CONCATENATE(F745," - ",I745," - ",#REF!,)</f>
        <v>#REF!</v>
      </c>
    </row>
    <row r="746" spans="1:28" s="116" customFormat="1" ht="15">
      <c r="A746" s="114"/>
      <c r="B746" s="120"/>
      <c r="C746" s="129" t="str">
        <f t="shared" si="33"/>
        <v>week-0</v>
      </c>
      <c r="D746" s="120" t="str">
        <f t="shared" si="34"/>
        <v>Jan</v>
      </c>
      <c r="E746" s="7"/>
      <c r="F746" s="7"/>
      <c r="G746" s="120"/>
      <c r="H746" s="120"/>
      <c r="I746" s="118"/>
      <c r="J746" s="118"/>
      <c r="K746" s="115"/>
      <c r="L746" s="115"/>
      <c r="M746" s="8"/>
      <c r="N746" s="8" t="str">
        <f t="shared" si="35"/>
        <v>-</v>
      </c>
      <c r="O746" s="126"/>
      <c r="P746" s="127"/>
      <c r="Q746" s="127"/>
      <c r="R746" s="126"/>
      <c r="S746" s="127"/>
      <c r="T746" s="8"/>
      <c r="U746" s="158"/>
      <c r="V746" s="7"/>
      <c r="W746" s="7"/>
      <c r="X746" s="146"/>
      <c r="Y746" s="7"/>
      <c r="Z746" s="7"/>
      <c r="AA746" s="7" t="str">
        <f>IFERROR((VLOOKUP(F746,#REF!,2,FALSE)),"-")</f>
        <v>-</v>
      </c>
      <c r="AB746" s="119" t="e">
        <f>CONCATENATE(F746," - ",I746," - ",#REF!,)</f>
        <v>#REF!</v>
      </c>
    </row>
    <row r="747" spans="1:28" s="116" customFormat="1" ht="15">
      <c r="A747" s="114"/>
      <c r="B747" s="120"/>
      <c r="C747" s="129" t="str">
        <f t="shared" si="33"/>
        <v>week-0</v>
      </c>
      <c r="D747" s="120" t="str">
        <f t="shared" si="34"/>
        <v>Jan</v>
      </c>
      <c r="E747" s="7"/>
      <c r="F747" s="7"/>
      <c r="G747" s="120"/>
      <c r="H747" s="120"/>
      <c r="I747" s="118"/>
      <c r="J747" s="118"/>
      <c r="K747" s="115"/>
      <c r="L747" s="115"/>
      <c r="M747" s="8"/>
      <c r="N747" s="8" t="str">
        <f t="shared" si="35"/>
        <v>-</v>
      </c>
      <c r="O747" s="126"/>
      <c r="P747" s="127"/>
      <c r="Q747" s="127"/>
      <c r="R747" s="126"/>
      <c r="S747" s="127"/>
      <c r="T747" s="8"/>
      <c r="U747" s="158"/>
      <c r="V747" s="7"/>
      <c r="W747" s="7"/>
      <c r="X747" s="146"/>
      <c r="Y747" s="7"/>
      <c r="Z747" s="7"/>
      <c r="AA747" s="7" t="str">
        <f>IFERROR((VLOOKUP(F747,#REF!,2,FALSE)),"-")</f>
        <v>-</v>
      </c>
      <c r="AB747" s="119" t="e">
        <f>CONCATENATE(F747," - ",I747," - ",#REF!,)</f>
        <v>#REF!</v>
      </c>
    </row>
    <row r="748" spans="1:28" s="116" customFormat="1" ht="15">
      <c r="A748" s="114"/>
      <c r="B748" s="120"/>
      <c r="C748" s="129" t="str">
        <f t="shared" si="33"/>
        <v>week-0</v>
      </c>
      <c r="D748" s="120" t="str">
        <f t="shared" si="34"/>
        <v>Jan</v>
      </c>
      <c r="E748" s="7"/>
      <c r="F748" s="7"/>
      <c r="G748" s="120"/>
      <c r="H748" s="120"/>
      <c r="I748" s="118"/>
      <c r="J748" s="118"/>
      <c r="K748" s="115"/>
      <c r="L748" s="115"/>
      <c r="M748" s="8"/>
      <c r="N748" s="8" t="str">
        <f t="shared" si="35"/>
        <v>-</v>
      </c>
      <c r="O748" s="126"/>
      <c r="P748" s="127"/>
      <c r="Q748" s="127"/>
      <c r="R748" s="126"/>
      <c r="S748" s="127"/>
      <c r="T748" s="8"/>
      <c r="U748" s="158"/>
      <c r="V748" s="7"/>
      <c r="W748" s="7"/>
      <c r="X748" s="146"/>
      <c r="Y748" s="7"/>
      <c r="Z748" s="7"/>
      <c r="AA748" s="7" t="str">
        <f>IFERROR((VLOOKUP(F748,#REF!,2,FALSE)),"-")</f>
        <v>-</v>
      </c>
      <c r="AB748" s="119" t="e">
        <f>CONCATENATE(F748," - ",I748," - ",#REF!,)</f>
        <v>#REF!</v>
      </c>
    </row>
    <row r="749" spans="1:28" s="116" customFormat="1" ht="15">
      <c r="A749" s="114"/>
      <c r="B749" s="120"/>
      <c r="C749" s="129" t="str">
        <f t="shared" si="33"/>
        <v>week-0</v>
      </c>
      <c r="D749" s="120" t="str">
        <f t="shared" si="34"/>
        <v>Jan</v>
      </c>
      <c r="E749" s="7"/>
      <c r="F749" s="7"/>
      <c r="G749" s="120"/>
      <c r="H749" s="120"/>
      <c r="I749" s="118"/>
      <c r="J749" s="118"/>
      <c r="K749" s="115"/>
      <c r="L749" s="115"/>
      <c r="M749" s="8"/>
      <c r="N749" s="8" t="str">
        <f t="shared" si="35"/>
        <v>-</v>
      </c>
      <c r="O749" s="126"/>
      <c r="P749" s="127"/>
      <c r="Q749" s="127"/>
      <c r="R749" s="126"/>
      <c r="S749" s="127"/>
      <c r="T749" s="8"/>
      <c r="U749" s="158"/>
      <c r="V749" s="7"/>
      <c r="W749" s="7"/>
      <c r="X749" s="146"/>
      <c r="Y749" s="7"/>
      <c r="Z749" s="7"/>
      <c r="AA749" s="7" t="str">
        <f>IFERROR((VLOOKUP(F749,#REF!,2,FALSE)),"-")</f>
        <v>-</v>
      </c>
      <c r="AB749" s="119" t="e">
        <f>CONCATENATE(F749," - ",I749," - ",#REF!,)</f>
        <v>#REF!</v>
      </c>
    </row>
    <row r="750" spans="1:28" s="116" customFormat="1" ht="15">
      <c r="A750" s="114"/>
      <c r="B750" s="120"/>
      <c r="C750" s="129" t="str">
        <f t="shared" si="33"/>
        <v>week-0</v>
      </c>
      <c r="D750" s="120" t="str">
        <f t="shared" si="34"/>
        <v>Jan</v>
      </c>
      <c r="E750" s="7"/>
      <c r="F750" s="7"/>
      <c r="G750" s="120"/>
      <c r="H750" s="120"/>
      <c r="I750" s="118"/>
      <c r="J750" s="118"/>
      <c r="K750" s="115"/>
      <c r="L750" s="115"/>
      <c r="M750" s="8"/>
      <c r="N750" s="8" t="str">
        <f t="shared" si="35"/>
        <v>-</v>
      </c>
      <c r="O750" s="126"/>
      <c r="P750" s="127"/>
      <c r="Q750" s="127"/>
      <c r="R750" s="126"/>
      <c r="S750" s="127"/>
      <c r="T750" s="8"/>
      <c r="U750" s="158"/>
      <c r="V750" s="7"/>
      <c r="W750" s="7"/>
      <c r="X750" s="146"/>
      <c r="Y750" s="7"/>
      <c r="Z750" s="7"/>
      <c r="AA750" s="7" t="str">
        <f>IFERROR((VLOOKUP(F750,#REF!,2,FALSE)),"-")</f>
        <v>-</v>
      </c>
      <c r="AB750" s="119" t="e">
        <f>CONCATENATE(F750," - ",I750," - ",#REF!,)</f>
        <v>#REF!</v>
      </c>
    </row>
    <row r="751" spans="1:28" s="116" customFormat="1" ht="15">
      <c r="A751" s="114"/>
      <c r="B751" s="120"/>
      <c r="C751" s="129" t="str">
        <f t="shared" si="33"/>
        <v>week-0</v>
      </c>
      <c r="D751" s="120" t="str">
        <f t="shared" si="34"/>
        <v>Jan</v>
      </c>
      <c r="E751" s="7"/>
      <c r="F751" s="7"/>
      <c r="G751" s="120"/>
      <c r="H751" s="120"/>
      <c r="I751" s="118"/>
      <c r="J751" s="118"/>
      <c r="K751" s="115"/>
      <c r="L751" s="115"/>
      <c r="M751" s="8"/>
      <c r="N751" s="8" t="str">
        <f t="shared" si="35"/>
        <v>-</v>
      </c>
      <c r="O751" s="126"/>
      <c r="P751" s="127"/>
      <c r="Q751" s="127"/>
      <c r="R751" s="126"/>
      <c r="S751" s="127"/>
      <c r="T751" s="8"/>
      <c r="U751" s="158"/>
      <c r="V751" s="7"/>
      <c r="W751" s="7"/>
      <c r="X751" s="146"/>
      <c r="Y751" s="7"/>
      <c r="Z751" s="7"/>
      <c r="AA751" s="7" t="str">
        <f>IFERROR((VLOOKUP(F751,#REF!,2,FALSE)),"-")</f>
        <v>-</v>
      </c>
      <c r="AB751" s="119" t="e">
        <f>CONCATENATE(F751," - ",I751," - ",#REF!,)</f>
        <v>#REF!</v>
      </c>
    </row>
    <row r="752" spans="1:28" s="116" customFormat="1" ht="15">
      <c r="A752" s="114"/>
      <c r="B752" s="120"/>
      <c r="C752" s="129" t="str">
        <f t="shared" si="33"/>
        <v>week-0</v>
      </c>
      <c r="D752" s="120" t="str">
        <f t="shared" si="34"/>
        <v>Jan</v>
      </c>
      <c r="E752" s="7"/>
      <c r="F752" s="7"/>
      <c r="G752" s="120"/>
      <c r="H752" s="120"/>
      <c r="I752" s="118"/>
      <c r="J752" s="118"/>
      <c r="K752" s="115"/>
      <c r="L752" s="115"/>
      <c r="M752" s="8"/>
      <c r="N752" s="8" t="str">
        <f t="shared" si="35"/>
        <v>-</v>
      </c>
      <c r="O752" s="126"/>
      <c r="P752" s="127"/>
      <c r="Q752" s="127"/>
      <c r="R752" s="126"/>
      <c r="S752" s="127"/>
      <c r="T752" s="8"/>
      <c r="U752" s="158"/>
      <c r="V752" s="7"/>
      <c r="W752" s="7"/>
      <c r="X752" s="146"/>
      <c r="Y752" s="7"/>
      <c r="Z752" s="7"/>
      <c r="AA752" s="7" t="str">
        <f>IFERROR((VLOOKUP(F752,#REF!,2,FALSE)),"-")</f>
        <v>-</v>
      </c>
      <c r="AB752" s="119" t="e">
        <f>CONCATENATE(F752," - ",I752," - ",#REF!,)</f>
        <v>#REF!</v>
      </c>
    </row>
    <row r="753" spans="1:28" s="116" customFormat="1" ht="15">
      <c r="A753" s="114"/>
      <c r="B753" s="120"/>
      <c r="C753" s="129" t="str">
        <f t="shared" si="33"/>
        <v>week-0</v>
      </c>
      <c r="D753" s="120" t="str">
        <f t="shared" si="34"/>
        <v>Jan</v>
      </c>
      <c r="E753" s="7"/>
      <c r="F753" s="7"/>
      <c r="G753" s="120"/>
      <c r="H753" s="120"/>
      <c r="I753" s="118"/>
      <c r="J753" s="118"/>
      <c r="K753" s="115"/>
      <c r="L753" s="115"/>
      <c r="M753" s="8"/>
      <c r="N753" s="8" t="str">
        <f t="shared" si="35"/>
        <v>-</v>
      </c>
      <c r="O753" s="126"/>
      <c r="P753" s="127"/>
      <c r="Q753" s="127"/>
      <c r="R753" s="126"/>
      <c r="S753" s="127"/>
      <c r="T753" s="8"/>
      <c r="U753" s="158"/>
      <c r="V753" s="7"/>
      <c r="W753" s="7"/>
      <c r="X753" s="146"/>
      <c r="Y753" s="7"/>
      <c r="Z753" s="7"/>
      <c r="AA753" s="7" t="str">
        <f>IFERROR((VLOOKUP(F753,#REF!,2,FALSE)),"-")</f>
        <v>-</v>
      </c>
      <c r="AB753" s="119" t="e">
        <f>CONCATENATE(F753," - ",I753," - ",#REF!,)</f>
        <v>#REF!</v>
      </c>
    </row>
    <row r="754" spans="1:28" s="116" customFormat="1" ht="15">
      <c r="A754" s="114"/>
      <c r="B754" s="120"/>
      <c r="C754" s="129" t="str">
        <f t="shared" si="33"/>
        <v>week-0</v>
      </c>
      <c r="D754" s="120" t="str">
        <f t="shared" si="34"/>
        <v>Jan</v>
      </c>
      <c r="E754" s="7"/>
      <c r="F754" s="7"/>
      <c r="G754" s="120"/>
      <c r="H754" s="120"/>
      <c r="I754" s="118"/>
      <c r="J754" s="118"/>
      <c r="K754" s="115"/>
      <c r="L754" s="115"/>
      <c r="M754" s="8"/>
      <c r="N754" s="8" t="str">
        <f t="shared" si="35"/>
        <v>-</v>
      </c>
      <c r="O754" s="126"/>
      <c r="P754" s="127"/>
      <c r="Q754" s="127"/>
      <c r="R754" s="126"/>
      <c r="S754" s="127"/>
      <c r="T754" s="8"/>
      <c r="U754" s="158"/>
      <c r="V754" s="7"/>
      <c r="W754" s="7"/>
      <c r="X754" s="146"/>
      <c r="Y754" s="7"/>
      <c r="Z754" s="7"/>
      <c r="AA754" s="7" t="str">
        <f>IFERROR((VLOOKUP(F754,#REF!,2,FALSE)),"-")</f>
        <v>-</v>
      </c>
      <c r="AB754" s="119" t="e">
        <f>CONCATENATE(F754," - ",I754," - ",#REF!,)</f>
        <v>#REF!</v>
      </c>
    </row>
    <row r="755" spans="1:28" s="116" customFormat="1" ht="15">
      <c r="A755" s="114"/>
      <c r="B755" s="120"/>
      <c r="C755" s="129" t="str">
        <f t="shared" si="33"/>
        <v>week-0</v>
      </c>
      <c r="D755" s="120" t="str">
        <f t="shared" si="34"/>
        <v>Jan</v>
      </c>
      <c r="E755" s="7"/>
      <c r="F755" s="7"/>
      <c r="G755" s="120"/>
      <c r="H755" s="120"/>
      <c r="I755" s="118"/>
      <c r="J755" s="118"/>
      <c r="K755" s="115"/>
      <c r="L755" s="115"/>
      <c r="M755" s="8"/>
      <c r="N755" s="8" t="str">
        <f t="shared" si="35"/>
        <v>-</v>
      </c>
      <c r="O755" s="126"/>
      <c r="P755" s="127"/>
      <c r="Q755" s="127"/>
      <c r="R755" s="126"/>
      <c r="S755" s="127"/>
      <c r="T755" s="8"/>
      <c r="U755" s="158"/>
      <c r="V755" s="7"/>
      <c r="W755" s="7"/>
      <c r="X755" s="146"/>
      <c r="Y755" s="7"/>
      <c r="Z755" s="7"/>
      <c r="AA755" s="7" t="str">
        <f>IFERROR((VLOOKUP(F755,#REF!,2,FALSE)),"-")</f>
        <v>-</v>
      </c>
      <c r="AB755" s="119" t="e">
        <f>CONCATENATE(F755," - ",I755," - ",#REF!,)</f>
        <v>#REF!</v>
      </c>
    </row>
    <row r="756" spans="1:28" s="116" customFormat="1" ht="15">
      <c r="A756" s="114"/>
      <c r="B756" s="120"/>
      <c r="C756" s="129" t="str">
        <f t="shared" si="33"/>
        <v>week-0</v>
      </c>
      <c r="D756" s="120" t="str">
        <f t="shared" si="34"/>
        <v>Jan</v>
      </c>
      <c r="E756" s="7"/>
      <c r="F756" s="7"/>
      <c r="G756" s="120"/>
      <c r="H756" s="120"/>
      <c r="I756" s="118"/>
      <c r="J756" s="118"/>
      <c r="K756" s="115"/>
      <c r="L756" s="115"/>
      <c r="M756" s="8"/>
      <c r="N756" s="8" t="str">
        <f t="shared" si="35"/>
        <v>-</v>
      </c>
      <c r="O756" s="126"/>
      <c r="P756" s="127"/>
      <c r="Q756" s="127"/>
      <c r="R756" s="126"/>
      <c r="S756" s="127"/>
      <c r="T756" s="8"/>
      <c r="U756" s="158"/>
      <c r="V756" s="7"/>
      <c r="W756" s="7"/>
      <c r="X756" s="146"/>
      <c r="Y756" s="7"/>
      <c r="Z756" s="7"/>
      <c r="AA756" s="7" t="str">
        <f>IFERROR((VLOOKUP(F756,#REF!,2,FALSE)),"-")</f>
        <v>-</v>
      </c>
      <c r="AB756" s="119" t="e">
        <f>CONCATENATE(F756," - ",I756," - ",#REF!,)</f>
        <v>#REF!</v>
      </c>
    </row>
    <row r="757" spans="1:28" s="116" customFormat="1" ht="15">
      <c r="A757" s="114"/>
      <c r="B757" s="120"/>
      <c r="C757" s="129" t="str">
        <f t="shared" si="33"/>
        <v>week-0</v>
      </c>
      <c r="D757" s="120" t="str">
        <f t="shared" si="34"/>
        <v>Jan</v>
      </c>
      <c r="E757" s="7"/>
      <c r="F757" s="7"/>
      <c r="G757" s="120"/>
      <c r="H757" s="120"/>
      <c r="I757" s="118"/>
      <c r="J757" s="118"/>
      <c r="K757" s="115"/>
      <c r="L757" s="115"/>
      <c r="M757" s="8"/>
      <c r="N757" s="8" t="str">
        <f t="shared" si="35"/>
        <v>-</v>
      </c>
      <c r="O757" s="126"/>
      <c r="P757" s="127"/>
      <c r="Q757" s="127"/>
      <c r="R757" s="126"/>
      <c r="S757" s="127"/>
      <c r="T757" s="8"/>
      <c r="U757" s="158"/>
      <c r="V757" s="7"/>
      <c r="W757" s="7"/>
      <c r="X757" s="146"/>
      <c r="Y757" s="7"/>
      <c r="Z757" s="7"/>
      <c r="AA757" s="7" t="str">
        <f>IFERROR((VLOOKUP(F757,#REF!,2,FALSE)),"-")</f>
        <v>-</v>
      </c>
      <c r="AB757" s="119" t="e">
        <f>CONCATENATE(F757," - ",I757," - ",#REF!,)</f>
        <v>#REF!</v>
      </c>
    </row>
    <row r="758" spans="1:28" s="116" customFormat="1" ht="15">
      <c r="A758" s="114"/>
      <c r="B758" s="120"/>
      <c r="C758" s="129" t="str">
        <f t="shared" si="33"/>
        <v>week-0</v>
      </c>
      <c r="D758" s="120" t="str">
        <f t="shared" si="34"/>
        <v>Jan</v>
      </c>
      <c r="E758" s="7"/>
      <c r="F758" s="7"/>
      <c r="G758" s="120"/>
      <c r="H758" s="120"/>
      <c r="I758" s="118"/>
      <c r="J758" s="118"/>
      <c r="K758" s="115"/>
      <c r="L758" s="115"/>
      <c r="M758" s="8"/>
      <c r="N758" s="8" t="str">
        <f t="shared" si="35"/>
        <v>-</v>
      </c>
      <c r="O758" s="126"/>
      <c r="P758" s="127"/>
      <c r="Q758" s="127"/>
      <c r="R758" s="126"/>
      <c r="S758" s="127"/>
      <c r="T758" s="8"/>
      <c r="U758" s="158"/>
      <c r="V758" s="7"/>
      <c r="W758" s="7"/>
      <c r="X758" s="146"/>
      <c r="Y758" s="7"/>
      <c r="Z758" s="7"/>
      <c r="AA758" s="7" t="str">
        <f>IFERROR((VLOOKUP(F758,#REF!,2,FALSE)),"-")</f>
        <v>-</v>
      </c>
      <c r="AB758" s="119" t="e">
        <f>CONCATENATE(F758," - ",I758," - ",#REF!,)</f>
        <v>#REF!</v>
      </c>
    </row>
    <row r="759" spans="1:28" s="116" customFormat="1" ht="15">
      <c r="A759" s="114"/>
      <c r="B759" s="120"/>
      <c r="C759" s="129" t="str">
        <f t="shared" si="33"/>
        <v>week-0</v>
      </c>
      <c r="D759" s="120" t="str">
        <f t="shared" si="34"/>
        <v>Jan</v>
      </c>
      <c r="E759" s="7"/>
      <c r="F759" s="7"/>
      <c r="G759" s="120"/>
      <c r="H759" s="120"/>
      <c r="I759" s="118"/>
      <c r="J759" s="118"/>
      <c r="K759" s="115"/>
      <c r="L759" s="115"/>
      <c r="M759" s="8"/>
      <c r="N759" s="8" t="str">
        <f t="shared" si="35"/>
        <v>-</v>
      </c>
      <c r="O759" s="126"/>
      <c r="P759" s="127"/>
      <c r="Q759" s="127"/>
      <c r="R759" s="126"/>
      <c r="S759" s="127"/>
      <c r="T759" s="8"/>
      <c r="U759" s="158"/>
      <c r="V759" s="7"/>
      <c r="W759" s="7"/>
      <c r="X759" s="146"/>
      <c r="Y759" s="7"/>
      <c r="Z759" s="7"/>
      <c r="AA759" s="7" t="str">
        <f>IFERROR((VLOOKUP(F759,#REF!,2,FALSE)),"-")</f>
        <v>-</v>
      </c>
      <c r="AB759" s="119" t="e">
        <f>CONCATENATE(F759," - ",I759," - ",#REF!,)</f>
        <v>#REF!</v>
      </c>
    </row>
    <row r="760" spans="1:28" s="116" customFormat="1" ht="15">
      <c r="A760" s="114"/>
      <c r="B760" s="120"/>
      <c r="C760" s="129" t="str">
        <f t="shared" si="33"/>
        <v>week-0</v>
      </c>
      <c r="D760" s="120" t="str">
        <f t="shared" si="34"/>
        <v>Jan</v>
      </c>
      <c r="E760" s="7"/>
      <c r="F760" s="7"/>
      <c r="G760" s="120"/>
      <c r="H760" s="120"/>
      <c r="I760" s="118"/>
      <c r="J760" s="118"/>
      <c r="K760" s="115"/>
      <c r="L760" s="115"/>
      <c r="M760" s="8"/>
      <c r="N760" s="8" t="str">
        <f t="shared" si="35"/>
        <v>-</v>
      </c>
      <c r="O760" s="126"/>
      <c r="P760" s="127"/>
      <c r="Q760" s="127"/>
      <c r="R760" s="126"/>
      <c r="S760" s="127"/>
      <c r="T760" s="8"/>
      <c r="U760" s="158"/>
      <c r="V760" s="7"/>
      <c r="W760" s="7"/>
      <c r="X760" s="146"/>
      <c r="Y760" s="7"/>
      <c r="Z760" s="7"/>
      <c r="AA760" s="7" t="str">
        <f>IFERROR((VLOOKUP(F760,#REF!,2,FALSE)),"-")</f>
        <v>-</v>
      </c>
      <c r="AB760" s="119" t="e">
        <f>CONCATENATE(F760," - ",I760," - ",#REF!,)</f>
        <v>#REF!</v>
      </c>
    </row>
    <row r="761" spans="1:28" s="116" customFormat="1" ht="15">
      <c r="A761" s="114"/>
      <c r="B761" s="120"/>
      <c r="C761" s="129" t="str">
        <f t="shared" si="33"/>
        <v>week-0</v>
      </c>
      <c r="D761" s="120" t="str">
        <f t="shared" si="34"/>
        <v>Jan</v>
      </c>
      <c r="E761" s="7"/>
      <c r="F761" s="7"/>
      <c r="G761" s="120"/>
      <c r="H761" s="120"/>
      <c r="I761" s="118"/>
      <c r="J761" s="118"/>
      <c r="K761" s="115"/>
      <c r="L761" s="115"/>
      <c r="M761" s="8"/>
      <c r="N761" s="8" t="str">
        <f t="shared" si="35"/>
        <v>-</v>
      </c>
      <c r="O761" s="126"/>
      <c r="P761" s="127"/>
      <c r="Q761" s="127"/>
      <c r="R761" s="126"/>
      <c r="S761" s="127"/>
      <c r="T761" s="8"/>
      <c r="U761" s="158"/>
      <c r="V761" s="7"/>
      <c r="W761" s="7"/>
      <c r="X761" s="146"/>
      <c r="Y761" s="7"/>
      <c r="Z761" s="7"/>
      <c r="AA761" s="7" t="str">
        <f>IFERROR((VLOOKUP(F761,#REF!,2,FALSE)),"-")</f>
        <v>-</v>
      </c>
      <c r="AB761" s="119" t="e">
        <f>CONCATENATE(F761," - ",I761," - ",#REF!,)</f>
        <v>#REF!</v>
      </c>
    </row>
    <row r="762" spans="1:28" s="116" customFormat="1" ht="15">
      <c r="A762" s="114"/>
      <c r="B762" s="120"/>
      <c r="C762" s="129" t="str">
        <f t="shared" si="33"/>
        <v>week-0</v>
      </c>
      <c r="D762" s="120" t="str">
        <f t="shared" si="34"/>
        <v>Jan</v>
      </c>
      <c r="E762" s="7"/>
      <c r="F762" s="7"/>
      <c r="G762" s="120"/>
      <c r="H762" s="120"/>
      <c r="I762" s="118"/>
      <c r="J762" s="118"/>
      <c r="K762" s="115"/>
      <c r="L762" s="115"/>
      <c r="M762" s="8"/>
      <c r="N762" s="8" t="str">
        <f t="shared" si="35"/>
        <v>-</v>
      </c>
      <c r="O762" s="127"/>
      <c r="P762" s="127"/>
      <c r="Q762" s="127"/>
      <c r="R762" s="127"/>
      <c r="S762" s="127"/>
      <c r="T762" s="139"/>
      <c r="U762" s="158"/>
      <c r="V762" s="7"/>
      <c r="W762" s="7"/>
      <c r="X762" s="146"/>
      <c r="Y762" s="7"/>
      <c r="Z762" s="7"/>
      <c r="AA762" s="7" t="str">
        <f>IFERROR((VLOOKUP(F762,#REF!,2,FALSE)),"-")</f>
        <v>-</v>
      </c>
      <c r="AB762" s="119" t="e">
        <f>CONCATENATE(F762," - ",I762," - ",#REF!,)</f>
        <v>#REF!</v>
      </c>
    </row>
    <row r="763" spans="1:28" s="116" customFormat="1" ht="15">
      <c r="A763" s="114"/>
      <c r="B763" s="120"/>
      <c r="C763" s="129" t="str">
        <f t="shared" si="33"/>
        <v>week-0</v>
      </c>
      <c r="D763" s="120" t="str">
        <f t="shared" si="34"/>
        <v>Jan</v>
      </c>
      <c r="E763" s="84"/>
      <c r="F763" s="7"/>
      <c r="G763" s="120"/>
      <c r="H763" s="120"/>
      <c r="I763" s="118"/>
      <c r="J763" s="118"/>
      <c r="K763" s="115"/>
      <c r="L763" s="115"/>
      <c r="M763" s="8"/>
      <c r="N763" s="8" t="str">
        <f t="shared" si="35"/>
        <v>-</v>
      </c>
      <c r="O763" s="126"/>
      <c r="P763" s="127"/>
      <c r="Q763" s="127"/>
      <c r="R763" s="126"/>
      <c r="S763" s="127"/>
      <c r="T763" s="8"/>
      <c r="U763" s="158"/>
      <c r="V763" s="7"/>
      <c r="W763" s="7"/>
      <c r="X763" s="146"/>
      <c r="Y763" s="7"/>
      <c r="Z763" s="7"/>
      <c r="AA763" s="7" t="str">
        <f>IFERROR((VLOOKUP(F763,#REF!,2,FALSE)),"-")</f>
        <v>-</v>
      </c>
      <c r="AB763" s="119" t="e">
        <f>CONCATENATE(F763," - ",I763," - ",#REF!,)</f>
        <v>#REF!</v>
      </c>
    </row>
    <row r="764" spans="1:28" s="116" customFormat="1" ht="15">
      <c r="A764" s="114"/>
      <c r="B764" s="120"/>
      <c r="C764" s="129" t="str">
        <f t="shared" si="33"/>
        <v>week-0</v>
      </c>
      <c r="D764" s="120" t="str">
        <f t="shared" si="34"/>
        <v>Jan</v>
      </c>
      <c r="E764" s="7"/>
      <c r="F764" s="7"/>
      <c r="G764" s="120"/>
      <c r="H764" s="120"/>
      <c r="I764" s="118"/>
      <c r="J764" s="118"/>
      <c r="K764" s="115"/>
      <c r="L764" s="115"/>
      <c r="M764" s="8"/>
      <c r="N764" s="8" t="str">
        <f t="shared" si="35"/>
        <v>-</v>
      </c>
      <c r="O764" s="126"/>
      <c r="P764" s="127"/>
      <c r="Q764" s="127"/>
      <c r="R764" s="126"/>
      <c r="S764" s="127"/>
      <c r="T764" s="8"/>
      <c r="U764" s="158"/>
      <c r="V764" s="7"/>
      <c r="W764" s="7"/>
      <c r="X764" s="146"/>
      <c r="Y764" s="7"/>
      <c r="Z764" s="7"/>
      <c r="AA764" s="7" t="str">
        <f>IFERROR((VLOOKUP(F764,#REF!,2,FALSE)),"-")</f>
        <v>-</v>
      </c>
      <c r="AB764" s="119" t="e">
        <f>CONCATENATE(F764," - ",I764," - ",#REF!,)</f>
        <v>#REF!</v>
      </c>
    </row>
    <row r="765" spans="1:28" s="116" customFormat="1" ht="15">
      <c r="A765" s="114"/>
      <c r="B765" s="120"/>
      <c r="C765" s="129" t="str">
        <f t="shared" si="33"/>
        <v>week-0</v>
      </c>
      <c r="D765" s="120" t="str">
        <f t="shared" si="34"/>
        <v>Jan</v>
      </c>
      <c r="E765" s="7"/>
      <c r="F765" s="7"/>
      <c r="G765" s="120"/>
      <c r="H765" s="120"/>
      <c r="I765" s="118"/>
      <c r="J765" s="118"/>
      <c r="K765" s="115"/>
      <c r="L765" s="115"/>
      <c r="M765" s="8"/>
      <c r="N765" s="8" t="str">
        <f t="shared" si="35"/>
        <v>-</v>
      </c>
      <c r="O765" s="126"/>
      <c r="P765" s="127"/>
      <c r="Q765" s="127"/>
      <c r="R765" s="126"/>
      <c r="S765" s="127"/>
      <c r="T765" s="8"/>
      <c r="U765" s="158"/>
      <c r="V765" s="7"/>
      <c r="W765" s="7"/>
      <c r="X765" s="146"/>
      <c r="Y765" s="7"/>
      <c r="Z765" s="7"/>
      <c r="AA765" s="7" t="str">
        <f>IFERROR((VLOOKUP(F765,#REF!,2,FALSE)),"-")</f>
        <v>-</v>
      </c>
      <c r="AB765" s="119" t="e">
        <f>CONCATENATE(F765," - ",I765," - ",#REF!,)</f>
        <v>#REF!</v>
      </c>
    </row>
    <row r="766" spans="1:28" s="116" customFormat="1" ht="15">
      <c r="A766" s="114"/>
      <c r="B766" s="120"/>
      <c r="C766" s="129" t="str">
        <f t="shared" si="33"/>
        <v>week-0</v>
      </c>
      <c r="D766" s="120" t="str">
        <f t="shared" si="34"/>
        <v>Jan</v>
      </c>
      <c r="E766" s="7"/>
      <c r="F766" s="7"/>
      <c r="G766" s="120"/>
      <c r="H766" s="120"/>
      <c r="I766" s="118"/>
      <c r="J766" s="118"/>
      <c r="K766" s="115"/>
      <c r="L766" s="115"/>
      <c r="M766" s="8"/>
      <c r="N766" s="8" t="str">
        <f t="shared" si="35"/>
        <v>-</v>
      </c>
      <c r="O766" s="126"/>
      <c r="P766" s="127"/>
      <c r="Q766" s="127"/>
      <c r="R766" s="126"/>
      <c r="S766" s="127"/>
      <c r="T766" s="8"/>
      <c r="U766" s="158"/>
      <c r="V766" s="7"/>
      <c r="W766" s="7"/>
      <c r="X766" s="146"/>
      <c r="Y766" s="7"/>
      <c r="Z766" s="7"/>
      <c r="AA766" s="7" t="str">
        <f>IFERROR((VLOOKUP(F766,#REF!,2,FALSE)),"-")</f>
        <v>-</v>
      </c>
      <c r="AB766" s="119" t="e">
        <f>CONCATENATE(F766," - ",I766," - ",#REF!,)</f>
        <v>#REF!</v>
      </c>
    </row>
    <row r="767" spans="1:28" s="116" customFormat="1" ht="15">
      <c r="A767" s="114"/>
      <c r="B767" s="120"/>
      <c r="C767" s="129" t="str">
        <f t="shared" si="33"/>
        <v>week-0</v>
      </c>
      <c r="D767" s="120" t="str">
        <f t="shared" si="34"/>
        <v>Jan</v>
      </c>
      <c r="E767" s="7"/>
      <c r="F767" s="7"/>
      <c r="G767" s="120"/>
      <c r="H767" s="120"/>
      <c r="I767" s="118"/>
      <c r="J767" s="118"/>
      <c r="K767" s="115"/>
      <c r="L767" s="115"/>
      <c r="M767" s="8"/>
      <c r="N767" s="8" t="str">
        <f t="shared" si="35"/>
        <v>-</v>
      </c>
      <c r="O767" s="126"/>
      <c r="P767" s="127"/>
      <c r="Q767" s="127"/>
      <c r="R767" s="126"/>
      <c r="S767" s="127"/>
      <c r="T767" s="8"/>
      <c r="U767" s="158"/>
      <c r="V767" s="7"/>
      <c r="W767" s="7"/>
      <c r="X767" s="146"/>
      <c r="Y767" s="7"/>
      <c r="Z767" s="7"/>
      <c r="AA767" s="7" t="str">
        <f>IFERROR((VLOOKUP(F767,#REF!,2,FALSE)),"-")</f>
        <v>-</v>
      </c>
      <c r="AB767" s="119" t="e">
        <f>CONCATENATE(F767," - ",I767," - ",#REF!,)</f>
        <v>#REF!</v>
      </c>
    </row>
    <row r="768" spans="1:28" s="116" customFormat="1" ht="15">
      <c r="A768" s="114"/>
      <c r="B768" s="120"/>
      <c r="C768" s="129" t="str">
        <f t="shared" si="33"/>
        <v>week-0</v>
      </c>
      <c r="D768" s="120" t="str">
        <f t="shared" si="34"/>
        <v>Jan</v>
      </c>
      <c r="E768" s="7"/>
      <c r="F768" s="7"/>
      <c r="G768" s="120"/>
      <c r="H768" s="120"/>
      <c r="I768" s="118"/>
      <c r="J768" s="118"/>
      <c r="K768" s="115"/>
      <c r="L768" s="115"/>
      <c r="M768" s="8"/>
      <c r="N768" s="8" t="str">
        <f t="shared" si="35"/>
        <v>-</v>
      </c>
      <c r="O768" s="126"/>
      <c r="P768" s="127"/>
      <c r="Q768" s="127"/>
      <c r="R768" s="126"/>
      <c r="S768" s="127"/>
      <c r="T768" s="8"/>
      <c r="U768" s="158"/>
      <c r="V768" s="7"/>
      <c r="W768" s="7"/>
      <c r="X768" s="146"/>
      <c r="Y768" s="7"/>
      <c r="Z768" s="7"/>
      <c r="AA768" s="7" t="str">
        <f>IFERROR((VLOOKUP(F768,#REF!,2,FALSE)),"-")</f>
        <v>-</v>
      </c>
      <c r="AB768" s="119" t="e">
        <f>CONCATENATE(F768," - ",I768," - ",#REF!,)</f>
        <v>#REF!</v>
      </c>
    </row>
    <row r="769" spans="1:28" s="116" customFormat="1" ht="15">
      <c r="A769" s="114"/>
      <c r="B769" s="120"/>
      <c r="C769" s="129" t="str">
        <f t="shared" si="33"/>
        <v>week-0</v>
      </c>
      <c r="D769" s="120" t="str">
        <f t="shared" si="34"/>
        <v>Jan</v>
      </c>
      <c r="E769" s="7"/>
      <c r="F769" s="7"/>
      <c r="G769" s="120"/>
      <c r="H769" s="120"/>
      <c r="I769" s="118"/>
      <c r="J769" s="118"/>
      <c r="K769" s="115"/>
      <c r="L769" s="115"/>
      <c r="M769" s="8"/>
      <c r="N769" s="8" t="str">
        <f t="shared" si="35"/>
        <v>-</v>
      </c>
      <c r="O769" s="126"/>
      <c r="P769" s="127"/>
      <c r="Q769" s="127"/>
      <c r="R769" s="126"/>
      <c r="S769" s="127"/>
      <c r="T769" s="8"/>
      <c r="U769" s="158"/>
      <c r="V769" s="7"/>
      <c r="W769" s="7"/>
      <c r="X769" s="146"/>
      <c r="Y769" s="7"/>
      <c r="Z769" s="7"/>
      <c r="AA769" s="7" t="str">
        <f>IFERROR((VLOOKUP(F769,#REF!,2,FALSE)),"-")</f>
        <v>-</v>
      </c>
      <c r="AB769" s="119" t="e">
        <f>CONCATENATE(F769," - ",I769," - ",#REF!,)</f>
        <v>#REF!</v>
      </c>
    </row>
    <row r="770" spans="1:28" s="116" customFormat="1" ht="15">
      <c r="A770" s="114"/>
      <c r="B770" s="120"/>
      <c r="C770" s="129" t="str">
        <f t="shared" si="33"/>
        <v>week-0</v>
      </c>
      <c r="D770" s="120" t="str">
        <f t="shared" si="34"/>
        <v>Jan</v>
      </c>
      <c r="E770" s="7"/>
      <c r="F770" s="7"/>
      <c r="G770" s="120"/>
      <c r="H770" s="120"/>
      <c r="I770" s="118"/>
      <c r="J770" s="118"/>
      <c r="K770" s="115"/>
      <c r="L770" s="115"/>
      <c r="M770" s="8"/>
      <c r="N770" s="8" t="str">
        <f t="shared" si="35"/>
        <v>-</v>
      </c>
      <c r="O770" s="126"/>
      <c r="P770" s="127"/>
      <c r="Q770" s="127"/>
      <c r="R770" s="126"/>
      <c r="S770" s="127"/>
      <c r="T770" s="8"/>
      <c r="U770" s="158"/>
      <c r="V770" s="7"/>
      <c r="W770" s="7"/>
      <c r="X770" s="146"/>
      <c r="Y770" s="7"/>
      <c r="Z770" s="7"/>
      <c r="AA770" s="7" t="str">
        <f>IFERROR((VLOOKUP(F770,#REF!,2,FALSE)),"-")</f>
        <v>-</v>
      </c>
      <c r="AB770" s="119" t="e">
        <f>CONCATENATE(F770," - ",I770," - ",#REF!,)</f>
        <v>#REF!</v>
      </c>
    </row>
    <row r="771" spans="1:28" s="116" customFormat="1" ht="15">
      <c r="A771" s="114"/>
      <c r="B771" s="120"/>
      <c r="C771" s="129" t="str">
        <f t="shared" si="33"/>
        <v>week-0</v>
      </c>
      <c r="D771" s="120" t="str">
        <f t="shared" si="34"/>
        <v>Jan</v>
      </c>
      <c r="E771" s="7"/>
      <c r="F771" s="7"/>
      <c r="G771" s="120"/>
      <c r="H771" s="120"/>
      <c r="I771" s="118"/>
      <c r="J771" s="118"/>
      <c r="K771" s="115"/>
      <c r="L771" s="115"/>
      <c r="M771" s="8"/>
      <c r="N771" s="8" t="str">
        <f t="shared" si="35"/>
        <v>-</v>
      </c>
      <c r="O771" s="126"/>
      <c r="P771" s="127"/>
      <c r="Q771" s="127"/>
      <c r="R771" s="126"/>
      <c r="S771" s="127"/>
      <c r="T771" s="8"/>
      <c r="U771" s="158"/>
      <c r="V771" s="7"/>
      <c r="W771" s="7"/>
      <c r="X771" s="146"/>
      <c r="Y771" s="7"/>
      <c r="Z771" s="7"/>
      <c r="AA771" s="7" t="str">
        <f>IFERROR((VLOOKUP(F771,#REF!,2,FALSE)),"-")</f>
        <v>-</v>
      </c>
      <c r="AB771" s="119" t="e">
        <f>CONCATENATE(F771," - ",I771," - ",#REF!,)</f>
        <v>#REF!</v>
      </c>
    </row>
    <row r="772" spans="1:28" s="116" customFormat="1" ht="15">
      <c r="A772" s="114"/>
      <c r="B772" s="120"/>
      <c r="C772" s="129" t="str">
        <f t="shared" ref="C772:C835" si="36">"week-"&amp;WEEKNUM(B772)</f>
        <v>week-0</v>
      </c>
      <c r="D772" s="120" t="str">
        <f t="shared" ref="D772:D835" si="37">TEXT(B772,"mmm")</f>
        <v>Jan</v>
      </c>
      <c r="E772" s="7"/>
      <c r="F772" s="7"/>
      <c r="G772" s="120"/>
      <c r="H772" s="120"/>
      <c r="I772" s="118"/>
      <c r="J772" s="118"/>
      <c r="K772" s="115"/>
      <c r="L772" s="115"/>
      <c r="M772" s="8"/>
      <c r="N772" s="8" t="str">
        <f t="shared" ref="N772:N835" si="38">IF(ISBLANK(M772),"-",(M772/60))</f>
        <v>-</v>
      </c>
      <c r="O772" s="126"/>
      <c r="P772" s="127"/>
      <c r="Q772" s="127"/>
      <c r="R772" s="126"/>
      <c r="S772" s="127"/>
      <c r="T772" s="8"/>
      <c r="U772" s="158"/>
      <c r="V772" s="7"/>
      <c r="W772" s="7"/>
      <c r="X772" s="146"/>
      <c r="Y772" s="7"/>
      <c r="Z772" s="7"/>
      <c r="AA772" s="7" t="str">
        <f>IFERROR((VLOOKUP(F772,#REF!,2,FALSE)),"-")</f>
        <v>-</v>
      </c>
      <c r="AB772" s="119" t="e">
        <f>CONCATENATE(F772," - ",I772," - ",#REF!,)</f>
        <v>#REF!</v>
      </c>
    </row>
    <row r="773" spans="1:28" s="116" customFormat="1" ht="15">
      <c r="A773" s="114"/>
      <c r="B773" s="120"/>
      <c r="C773" s="129" t="str">
        <f t="shared" si="36"/>
        <v>week-0</v>
      </c>
      <c r="D773" s="120" t="str">
        <f t="shared" si="37"/>
        <v>Jan</v>
      </c>
      <c r="E773" s="7"/>
      <c r="F773" s="7"/>
      <c r="G773" s="120"/>
      <c r="H773" s="120"/>
      <c r="I773" s="118"/>
      <c r="J773" s="118"/>
      <c r="K773" s="115"/>
      <c r="L773" s="115"/>
      <c r="M773" s="8"/>
      <c r="N773" s="8" t="str">
        <f t="shared" si="38"/>
        <v>-</v>
      </c>
      <c r="O773" s="126"/>
      <c r="P773" s="127"/>
      <c r="Q773" s="127"/>
      <c r="R773" s="126"/>
      <c r="S773" s="127"/>
      <c r="T773" s="8"/>
      <c r="U773" s="158"/>
      <c r="V773" s="7"/>
      <c r="W773" s="7"/>
      <c r="X773" s="146"/>
      <c r="Y773" s="7"/>
      <c r="Z773" s="7"/>
      <c r="AA773" s="7" t="str">
        <f>IFERROR((VLOOKUP(F773,#REF!,2,FALSE)),"-")</f>
        <v>-</v>
      </c>
      <c r="AB773" s="119" t="e">
        <f>CONCATENATE(F773," - ",I773," - ",#REF!,)</f>
        <v>#REF!</v>
      </c>
    </row>
    <row r="774" spans="1:28" s="116" customFormat="1" ht="15">
      <c r="A774" s="114"/>
      <c r="B774" s="120"/>
      <c r="C774" s="129" t="str">
        <f t="shared" si="36"/>
        <v>week-0</v>
      </c>
      <c r="D774" s="120" t="str">
        <f t="shared" si="37"/>
        <v>Jan</v>
      </c>
      <c r="E774" s="7"/>
      <c r="F774" s="7"/>
      <c r="G774" s="120"/>
      <c r="H774" s="120"/>
      <c r="I774" s="118"/>
      <c r="J774" s="118"/>
      <c r="K774" s="115"/>
      <c r="L774" s="115"/>
      <c r="M774" s="8"/>
      <c r="N774" s="8" t="str">
        <f t="shared" si="38"/>
        <v>-</v>
      </c>
      <c r="O774" s="126"/>
      <c r="P774" s="127"/>
      <c r="Q774" s="127"/>
      <c r="R774" s="126"/>
      <c r="S774" s="127"/>
      <c r="T774" s="8"/>
      <c r="U774" s="158"/>
      <c r="V774" s="7"/>
      <c r="W774" s="7"/>
      <c r="X774" s="146"/>
      <c r="Y774" s="7"/>
      <c r="Z774" s="7"/>
      <c r="AA774" s="7" t="str">
        <f>IFERROR((VLOOKUP(F774,#REF!,2,FALSE)),"-")</f>
        <v>-</v>
      </c>
      <c r="AB774" s="119" t="e">
        <f>CONCATENATE(F774," - ",I774," - ",#REF!,)</f>
        <v>#REF!</v>
      </c>
    </row>
    <row r="775" spans="1:28" s="116" customFormat="1" ht="15">
      <c r="A775" s="114"/>
      <c r="B775" s="120"/>
      <c r="C775" s="129" t="str">
        <f t="shared" si="36"/>
        <v>week-0</v>
      </c>
      <c r="D775" s="120" t="str">
        <f t="shared" si="37"/>
        <v>Jan</v>
      </c>
      <c r="E775" s="7"/>
      <c r="F775" s="7"/>
      <c r="G775" s="120"/>
      <c r="H775" s="120"/>
      <c r="I775" s="118"/>
      <c r="J775" s="118"/>
      <c r="K775" s="115"/>
      <c r="L775" s="115"/>
      <c r="M775" s="8"/>
      <c r="N775" s="8" t="str">
        <f t="shared" si="38"/>
        <v>-</v>
      </c>
      <c r="O775" s="126"/>
      <c r="P775" s="127"/>
      <c r="Q775" s="127"/>
      <c r="R775" s="126"/>
      <c r="S775" s="127"/>
      <c r="T775" s="8"/>
      <c r="U775" s="158"/>
      <c r="V775" s="7"/>
      <c r="W775" s="7"/>
      <c r="X775" s="146"/>
      <c r="Y775" s="7"/>
      <c r="Z775" s="7"/>
      <c r="AA775" s="7" t="str">
        <f>IFERROR((VLOOKUP(F775,#REF!,2,FALSE)),"-")</f>
        <v>-</v>
      </c>
      <c r="AB775" s="119" t="e">
        <f>CONCATENATE(F775," - ",I775," - ",#REF!,)</f>
        <v>#REF!</v>
      </c>
    </row>
    <row r="776" spans="1:28" s="116" customFormat="1" ht="15">
      <c r="A776" s="114"/>
      <c r="B776" s="120"/>
      <c r="C776" s="129" t="str">
        <f t="shared" si="36"/>
        <v>week-0</v>
      </c>
      <c r="D776" s="120" t="str">
        <f t="shared" si="37"/>
        <v>Jan</v>
      </c>
      <c r="E776" s="7"/>
      <c r="F776" s="7"/>
      <c r="G776" s="120"/>
      <c r="H776" s="120"/>
      <c r="I776" s="118"/>
      <c r="J776" s="118"/>
      <c r="K776" s="115"/>
      <c r="L776" s="115"/>
      <c r="M776" s="8"/>
      <c r="N776" s="8" t="str">
        <f t="shared" si="38"/>
        <v>-</v>
      </c>
      <c r="O776" s="126"/>
      <c r="P776" s="127"/>
      <c r="Q776" s="127"/>
      <c r="R776" s="126"/>
      <c r="S776" s="127"/>
      <c r="T776" s="8"/>
      <c r="U776" s="158"/>
      <c r="V776" s="7"/>
      <c r="W776" s="7"/>
      <c r="X776" s="146"/>
      <c r="Y776" s="7"/>
      <c r="Z776" s="7"/>
      <c r="AA776" s="7" t="str">
        <f>IFERROR((VLOOKUP(F776,#REF!,2,FALSE)),"-")</f>
        <v>-</v>
      </c>
      <c r="AB776" s="119" t="e">
        <f>CONCATENATE(F776," - ",I776," - ",#REF!,)</f>
        <v>#REF!</v>
      </c>
    </row>
    <row r="777" spans="1:28" s="116" customFormat="1" ht="15">
      <c r="A777" s="114"/>
      <c r="B777" s="120"/>
      <c r="C777" s="129" t="str">
        <f t="shared" si="36"/>
        <v>week-0</v>
      </c>
      <c r="D777" s="120" t="str">
        <f t="shared" si="37"/>
        <v>Jan</v>
      </c>
      <c r="E777" s="7"/>
      <c r="F777" s="7"/>
      <c r="G777" s="120"/>
      <c r="H777" s="120"/>
      <c r="I777" s="118"/>
      <c r="J777" s="118"/>
      <c r="K777" s="115"/>
      <c r="L777" s="115"/>
      <c r="M777" s="8"/>
      <c r="N777" s="8" t="str">
        <f t="shared" si="38"/>
        <v>-</v>
      </c>
      <c r="O777" s="126"/>
      <c r="P777" s="127"/>
      <c r="Q777" s="127"/>
      <c r="R777" s="126"/>
      <c r="S777" s="127"/>
      <c r="T777" s="8"/>
      <c r="U777" s="158"/>
      <c r="V777" s="7"/>
      <c r="W777" s="7"/>
      <c r="X777" s="146"/>
      <c r="Y777" s="7"/>
      <c r="Z777" s="7"/>
      <c r="AA777" s="7" t="str">
        <f>IFERROR((VLOOKUP(F777,#REF!,2,FALSE)),"-")</f>
        <v>-</v>
      </c>
      <c r="AB777" s="119" t="e">
        <f>CONCATENATE(F777," - ",I777," - ",#REF!,)</f>
        <v>#REF!</v>
      </c>
    </row>
    <row r="778" spans="1:28" s="116" customFormat="1" ht="15">
      <c r="A778" s="114"/>
      <c r="B778" s="120"/>
      <c r="C778" s="129" t="str">
        <f t="shared" si="36"/>
        <v>week-0</v>
      </c>
      <c r="D778" s="120" t="str">
        <f t="shared" si="37"/>
        <v>Jan</v>
      </c>
      <c r="E778" s="7"/>
      <c r="F778" s="7"/>
      <c r="G778" s="120"/>
      <c r="H778" s="120"/>
      <c r="I778" s="118"/>
      <c r="J778" s="118"/>
      <c r="K778" s="115"/>
      <c r="L778" s="115"/>
      <c r="M778" s="8"/>
      <c r="N778" s="8" t="str">
        <f t="shared" si="38"/>
        <v>-</v>
      </c>
      <c r="O778" s="126"/>
      <c r="P778" s="127"/>
      <c r="Q778" s="127"/>
      <c r="R778" s="126"/>
      <c r="S778" s="127"/>
      <c r="T778" s="8"/>
      <c r="U778" s="158"/>
      <c r="V778" s="7"/>
      <c r="W778" s="7"/>
      <c r="X778" s="146"/>
      <c r="Y778" s="7"/>
      <c r="Z778" s="7"/>
      <c r="AA778" s="7" t="str">
        <f>IFERROR((VLOOKUP(F778,#REF!,2,FALSE)),"-")</f>
        <v>-</v>
      </c>
      <c r="AB778" s="119" t="e">
        <f>CONCATENATE(F778," - ",I778," - ",#REF!,)</f>
        <v>#REF!</v>
      </c>
    </row>
    <row r="779" spans="1:28" s="116" customFormat="1" ht="15">
      <c r="A779" s="114"/>
      <c r="B779" s="120"/>
      <c r="C779" s="129" t="str">
        <f t="shared" si="36"/>
        <v>week-0</v>
      </c>
      <c r="D779" s="120" t="str">
        <f t="shared" si="37"/>
        <v>Jan</v>
      </c>
      <c r="E779" s="7"/>
      <c r="F779" s="7"/>
      <c r="G779" s="120"/>
      <c r="H779" s="120"/>
      <c r="I779" s="118"/>
      <c r="J779" s="118"/>
      <c r="K779" s="115"/>
      <c r="L779" s="115"/>
      <c r="M779" s="8"/>
      <c r="N779" s="8" t="str">
        <f t="shared" si="38"/>
        <v>-</v>
      </c>
      <c r="O779" s="126"/>
      <c r="P779" s="127"/>
      <c r="Q779" s="127"/>
      <c r="R779" s="126"/>
      <c r="S779" s="127"/>
      <c r="T779" s="8"/>
      <c r="U779" s="158"/>
      <c r="V779" s="7"/>
      <c r="W779" s="7"/>
      <c r="X779" s="146"/>
      <c r="Y779" s="7"/>
      <c r="Z779" s="7"/>
      <c r="AA779" s="7" t="str">
        <f>IFERROR((VLOOKUP(F779,#REF!,2,FALSE)),"-")</f>
        <v>-</v>
      </c>
      <c r="AB779" s="119" t="e">
        <f>CONCATENATE(F779," - ",I779," - ",#REF!,)</f>
        <v>#REF!</v>
      </c>
    </row>
    <row r="780" spans="1:28" s="116" customFormat="1" ht="15">
      <c r="A780" s="114"/>
      <c r="B780" s="120"/>
      <c r="C780" s="129" t="str">
        <f t="shared" si="36"/>
        <v>week-0</v>
      </c>
      <c r="D780" s="120" t="str">
        <f t="shared" si="37"/>
        <v>Jan</v>
      </c>
      <c r="E780" s="7"/>
      <c r="F780" s="7"/>
      <c r="G780" s="120"/>
      <c r="H780" s="120"/>
      <c r="I780" s="118"/>
      <c r="J780" s="118"/>
      <c r="K780" s="115"/>
      <c r="L780" s="115"/>
      <c r="M780" s="8"/>
      <c r="N780" s="8" t="str">
        <f t="shared" si="38"/>
        <v>-</v>
      </c>
      <c r="O780" s="126"/>
      <c r="P780" s="127"/>
      <c r="Q780" s="127"/>
      <c r="R780" s="126"/>
      <c r="S780" s="127"/>
      <c r="T780" s="8"/>
      <c r="U780" s="158"/>
      <c r="V780" s="7"/>
      <c r="W780" s="7"/>
      <c r="X780" s="146"/>
      <c r="Y780" s="7"/>
      <c r="Z780" s="7"/>
      <c r="AA780" s="7" t="str">
        <f>IFERROR((VLOOKUP(F780,#REF!,2,FALSE)),"-")</f>
        <v>-</v>
      </c>
      <c r="AB780" s="119" t="e">
        <f>CONCATENATE(F780," - ",I780," - ",#REF!,)</f>
        <v>#REF!</v>
      </c>
    </row>
    <row r="781" spans="1:28" s="116" customFormat="1" ht="15">
      <c r="A781" s="114"/>
      <c r="B781" s="120"/>
      <c r="C781" s="129" t="str">
        <f t="shared" si="36"/>
        <v>week-0</v>
      </c>
      <c r="D781" s="120" t="str">
        <f t="shared" si="37"/>
        <v>Jan</v>
      </c>
      <c r="E781" s="7"/>
      <c r="F781" s="7"/>
      <c r="G781" s="120"/>
      <c r="H781" s="120"/>
      <c r="I781" s="118"/>
      <c r="J781" s="118"/>
      <c r="K781" s="115"/>
      <c r="L781" s="115"/>
      <c r="M781" s="8"/>
      <c r="N781" s="8" t="str">
        <f t="shared" si="38"/>
        <v>-</v>
      </c>
      <c r="O781" s="126"/>
      <c r="P781" s="127"/>
      <c r="Q781" s="127"/>
      <c r="R781" s="126"/>
      <c r="S781" s="127"/>
      <c r="T781" s="8"/>
      <c r="U781" s="158"/>
      <c r="V781" s="7"/>
      <c r="W781" s="7"/>
      <c r="X781" s="146"/>
      <c r="Y781" s="7"/>
      <c r="Z781" s="7"/>
      <c r="AA781" s="7" t="str">
        <f>IFERROR((VLOOKUP(F781,#REF!,2,FALSE)),"-")</f>
        <v>-</v>
      </c>
      <c r="AB781" s="119" t="e">
        <f>CONCATENATE(F781," - ",I781," - ",#REF!,)</f>
        <v>#REF!</v>
      </c>
    </row>
    <row r="782" spans="1:28" s="116" customFormat="1" ht="15">
      <c r="A782" s="114"/>
      <c r="B782" s="120"/>
      <c r="C782" s="129" t="str">
        <f t="shared" si="36"/>
        <v>week-0</v>
      </c>
      <c r="D782" s="120" t="str">
        <f t="shared" si="37"/>
        <v>Jan</v>
      </c>
      <c r="E782" s="7"/>
      <c r="F782" s="7"/>
      <c r="G782" s="120"/>
      <c r="H782" s="120"/>
      <c r="I782" s="118"/>
      <c r="J782" s="118"/>
      <c r="K782" s="115"/>
      <c r="L782" s="115"/>
      <c r="M782" s="8"/>
      <c r="N782" s="8" t="str">
        <f t="shared" si="38"/>
        <v>-</v>
      </c>
      <c r="O782" s="126"/>
      <c r="P782" s="127"/>
      <c r="Q782" s="127"/>
      <c r="R782" s="126"/>
      <c r="S782" s="127"/>
      <c r="T782" s="8"/>
      <c r="U782" s="158"/>
      <c r="V782" s="7"/>
      <c r="W782" s="7"/>
      <c r="X782" s="146"/>
      <c r="Y782" s="7"/>
      <c r="Z782" s="7"/>
      <c r="AA782" s="7" t="str">
        <f>IFERROR((VLOOKUP(F782,#REF!,2,FALSE)),"-")</f>
        <v>-</v>
      </c>
      <c r="AB782" s="119" t="e">
        <f>CONCATENATE(F782," - ",I782," - ",#REF!,)</f>
        <v>#REF!</v>
      </c>
    </row>
    <row r="783" spans="1:28" s="116" customFormat="1" ht="15">
      <c r="A783" s="114"/>
      <c r="B783" s="120"/>
      <c r="C783" s="129" t="str">
        <f t="shared" si="36"/>
        <v>week-0</v>
      </c>
      <c r="D783" s="120" t="str">
        <f t="shared" si="37"/>
        <v>Jan</v>
      </c>
      <c r="E783" s="7"/>
      <c r="F783" s="7"/>
      <c r="G783" s="120"/>
      <c r="H783" s="120"/>
      <c r="I783" s="118"/>
      <c r="J783" s="118"/>
      <c r="K783" s="115"/>
      <c r="L783" s="115"/>
      <c r="M783" s="8"/>
      <c r="N783" s="8" t="str">
        <f t="shared" si="38"/>
        <v>-</v>
      </c>
      <c r="O783" s="126"/>
      <c r="P783" s="127"/>
      <c r="Q783" s="127"/>
      <c r="R783" s="126"/>
      <c r="S783" s="127"/>
      <c r="T783" s="8"/>
      <c r="U783" s="158"/>
      <c r="V783" s="7"/>
      <c r="W783" s="7"/>
      <c r="X783" s="146"/>
      <c r="Y783" s="7"/>
      <c r="Z783" s="7"/>
      <c r="AA783" s="7" t="str">
        <f>IFERROR((VLOOKUP(F783,#REF!,2,FALSE)),"-")</f>
        <v>-</v>
      </c>
      <c r="AB783" s="119" t="e">
        <f>CONCATENATE(F783," - ",I783," - ",#REF!,)</f>
        <v>#REF!</v>
      </c>
    </row>
    <row r="784" spans="1:28" s="116" customFormat="1" ht="15">
      <c r="A784" s="114"/>
      <c r="B784" s="120"/>
      <c r="C784" s="129" t="str">
        <f t="shared" si="36"/>
        <v>week-0</v>
      </c>
      <c r="D784" s="120" t="str">
        <f t="shared" si="37"/>
        <v>Jan</v>
      </c>
      <c r="E784" s="7"/>
      <c r="F784" s="7"/>
      <c r="G784" s="120"/>
      <c r="H784" s="120"/>
      <c r="I784" s="118"/>
      <c r="J784" s="118"/>
      <c r="K784" s="115"/>
      <c r="L784" s="115"/>
      <c r="M784" s="8"/>
      <c r="N784" s="8" t="str">
        <f t="shared" si="38"/>
        <v>-</v>
      </c>
      <c r="O784" s="126"/>
      <c r="P784" s="127"/>
      <c r="Q784" s="127"/>
      <c r="R784" s="126"/>
      <c r="S784" s="127"/>
      <c r="T784" s="8"/>
      <c r="U784" s="158"/>
      <c r="V784" s="7"/>
      <c r="W784" s="7"/>
      <c r="X784" s="146"/>
      <c r="Y784" s="7"/>
      <c r="Z784" s="7"/>
      <c r="AA784" s="7" t="str">
        <f>IFERROR((VLOOKUP(F784,#REF!,2,FALSE)),"-")</f>
        <v>-</v>
      </c>
      <c r="AB784" s="119" t="e">
        <f>CONCATENATE(F784," - ",I784," - ",#REF!,)</f>
        <v>#REF!</v>
      </c>
    </row>
    <row r="785" spans="1:28" s="116" customFormat="1" ht="15">
      <c r="A785" s="114"/>
      <c r="B785" s="120"/>
      <c r="C785" s="129" t="str">
        <f t="shared" si="36"/>
        <v>week-0</v>
      </c>
      <c r="D785" s="120" t="str">
        <f t="shared" si="37"/>
        <v>Jan</v>
      </c>
      <c r="E785" s="7"/>
      <c r="F785" s="7"/>
      <c r="G785" s="120"/>
      <c r="H785" s="120"/>
      <c r="I785" s="118"/>
      <c r="J785" s="118"/>
      <c r="K785" s="115"/>
      <c r="L785" s="115"/>
      <c r="M785" s="8"/>
      <c r="N785" s="8" t="str">
        <f t="shared" si="38"/>
        <v>-</v>
      </c>
      <c r="O785" s="126"/>
      <c r="P785" s="127"/>
      <c r="Q785" s="127"/>
      <c r="R785" s="126"/>
      <c r="S785" s="127"/>
      <c r="T785" s="8"/>
      <c r="U785" s="158"/>
      <c r="V785" s="7"/>
      <c r="W785" s="7"/>
      <c r="X785" s="146"/>
      <c r="Y785" s="7"/>
      <c r="Z785" s="7"/>
      <c r="AA785" s="7" t="str">
        <f>IFERROR((VLOOKUP(F785,#REF!,2,FALSE)),"-")</f>
        <v>-</v>
      </c>
      <c r="AB785" s="119" t="e">
        <f>CONCATENATE(F785," - ",I785," - ",#REF!,)</f>
        <v>#REF!</v>
      </c>
    </row>
    <row r="786" spans="1:28" s="116" customFormat="1" ht="15">
      <c r="A786" s="114"/>
      <c r="B786" s="120"/>
      <c r="C786" s="129" t="str">
        <f t="shared" si="36"/>
        <v>week-0</v>
      </c>
      <c r="D786" s="120" t="str">
        <f t="shared" si="37"/>
        <v>Jan</v>
      </c>
      <c r="E786" s="7"/>
      <c r="F786" s="7"/>
      <c r="G786" s="120"/>
      <c r="H786" s="120"/>
      <c r="I786" s="118"/>
      <c r="J786" s="118"/>
      <c r="K786" s="115"/>
      <c r="L786" s="115"/>
      <c r="M786" s="8"/>
      <c r="N786" s="8" t="str">
        <f t="shared" si="38"/>
        <v>-</v>
      </c>
      <c r="O786" s="126"/>
      <c r="P786" s="127"/>
      <c r="Q786" s="127"/>
      <c r="R786" s="126"/>
      <c r="S786" s="127"/>
      <c r="T786" s="8"/>
      <c r="U786" s="158"/>
      <c r="V786" s="7"/>
      <c r="W786" s="7"/>
      <c r="X786" s="146"/>
      <c r="Y786" s="7"/>
      <c r="Z786" s="7"/>
      <c r="AA786" s="7" t="str">
        <f>IFERROR((VLOOKUP(F786,#REF!,2,FALSE)),"-")</f>
        <v>-</v>
      </c>
      <c r="AB786" s="119" t="e">
        <f>CONCATENATE(F786," - ",I786," - ",#REF!,)</f>
        <v>#REF!</v>
      </c>
    </row>
    <row r="787" spans="1:28" s="116" customFormat="1" ht="15">
      <c r="A787" s="114"/>
      <c r="B787" s="120"/>
      <c r="C787" s="129" t="str">
        <f t="shared" si="36"/>
        <v>week-0</v>
      </c>
      <c r="D787" s="120" t="str">
        <f t="shared" si="37"/>
        <v>Jan</v>
      </c>
      <c r="E787" s="7"/>
      <c r="F787" s="7"/>
      <c r="G787" s="120"/>
      <c r="H787" s="120"/>
      <c r="I787" s="118"/>
      <c r="J787" s="118"/>
      <c r="K787" s="115"/>
      <c r="L787" s="115"/>
      <c r="M787" s="8"/>
      <c r="N787" s="8" t="str">
        <f t="shared" si="38"/>
        <v>-</v>
      </c>
      <c r="O787" s="126"/>
      <c r="P787" s="127"/>
      <c r="Q787" s="127"/>
      <c r="R787" s="126"/>
      <c r="S787" s="127"/>
      <c r="T787" s="8"/>
      <c r="U787" s="158"/>
      <c r="V787" s="7"/>
      <c r="W787" s="7"/>
      <c r="X787" s="146"/>
      <c r="Y787" s="7"/>
      <c r="Z787" s="7"/>
      <c r="AA787" s="7" t="str">
        <f>IFERROR((VLOOKUP(F787,#REF!,2,FALSE)),"-")</f>
        <v>-</v>
      </c>
      <c r="AB787" s="119" t="e">
        <f>CONCATENATE(F787," - ",I787," - ",#REF!,)</f>
        <v>#REF!</v>
      </c>
    </row>
    <row r="788" spans="1:28" s="116" customFormat="1" ht="15">
      <c r="A788" s="114"/>
      <c r="B788" s="120"/>
      <c r="C788" s="129" t="str">
        <f t="shared" si="36"/>
        <v>week-0</v>
      </c>
      <c r="D788" s="120" t="str">
        <f t="shared" si="37"/>
        <v>Jan</v>
      </c>
      <c r="E788" s="7"/>
      <c r="F788" s="7"/>
      <c r="G788" s="120"/>
      <c r="H788" s="120"/>
      <c r="I788" s="118"/>
      <c r="J788" s="118"/>
      <c r="K788" s="115"/>
      <c r="L788" s="115"/>
      <c r="M788" s="8"/>
      <c r="N788" s="8" t="str">
        <f t="shared" si="38"/>
        <v>-</v>
      </c>
      <c r="O788" s="126"/>
      <c r="P788" s="127"/>
      <c r="Q788" s="127"/>
      <c r="R788" s="126"/>
      <c r="S788" s="127"/>
      <c r="T788" s="8"/>
      <c r="U788" s="158"/>
      <c r="V788" s="7"/>
      <c r="W788" s="7"/>
      <c r="X788" s="146"/>
      <c r="Y788" s="7"/>
      <c r="Z788" s="7"/>
      <c r="AA788" s="7" t="str">
        <f>IFERROR((VLOOKUP(F788,#REF!,2,FALSE)),"-")</f>
        <v>-</v>
      </c>
      <c r="AB788" s="119" t="e">
        <f>CONCATENATE(F788," - ",I788," - ",#REF!,)</f>
        <v>#REF!</v>
      </c>
    </row>
    <row r="789" spans="1:28" s="116" customFormat="1" ht="15">
      <c r="A789" s="114"/>
      <c r="B789" s="120"/>
      <c r="C789" s="129" t="str">
        <f t="shared" si="36"/>
        <v>week-0</v>
      </c>
      <c r="D789" s="120" t="str">
        <f t="shared" si="37"/>
        <v>Jan</v>
      </c>
      <c r="E789" s="7"/>
      <c r="F789" s="7"/>
      <c r="G789" s="120"/>
      <c r="H789" s="120"/>
      <c r="I789" s="118"/>
      <c r="J789" s="118"/>
      <c r="K789" s="115"/>
      <c r="L789" s="115"/>
      <c r="M789" s="8"/>
      <c r="N789" s="8" t="str">
        <f t="shared" si="38"/>
        <v>-</v>
      </c>
      <c r="O789" s="126"/>
      <c r="P789" s="127"/>
      <c r="Q789" s="127"/>
      <c r="R789" s="126"/>
      <c r="S789" s="127"/>
      <c r="T789" s="8"/>
      <c r="U789" s="158"/>
      <c r="V789" s="7"/>
      <c r="W789" s="7"/>
      <c r="X789" s="146"/>
      <c r="Y789" s="7"/>
      <c r="Z789" s="7"/>
      <c r="AA789" s="7" t="str">
        <f>IFERROR((VLOOKUP(F789,#REF!,2,FALSE)),"-")</f>
        <v>-</v>
      </c>
      <c r="AB789" s="119" t="e">
        <f>CONCATENATE(F789," - ",I789," - ",#REF!,)</f>
        <v>#REF!</v>
      </c>
    </row>
    <row r="790" spans="1:28" s="116" customFormat="1" ht="15">
      <c r="A790" s="114"/>
      <c r="B790" s="120"/>
      <c r="C790" s="129" t="str">
        <f t="shared" si="36"/>
        <v>week-0</v>
      </c>
      <c r="D790" s="120" t="str">
        <f t="shared" si="37"/>
        <v>Jan</v>
      </c>
      <c r="E790" s="7"/>
      <c r="F790" s="7"/>
      <c r="G790" s="120"/>
      <c r="H790" s="120"/>
      <c r="I790" s="118"/>
      <c r="J790" s="118"/>
      <c r="K790" s="115"/>
      <c r="L790" s="115"/>
      <c r="M790" s="8"/>
      <c r="N790" s="8" t="str">
        <f t="shared" si="38"/>
        <v>-</v>
      </c>
      <c r="O790" s="127"/>
      <c r="P790" s="127"/>
      <c r="Q790" s="127"/>
      <c r="R790" s="127"/>
      <c r="S790" s="127"/>
      <c r="T790" s="139"/>
      <c r="U790" s="158"/>
      <c r="V790" s="7"/>
      <c r="W790" s="7"/>
      <c r="X790" s="146"/>
      <c r="Y790" s="7"/>
      <c r="Z790" s="7"/>
      <c r="AA790" s="7" t="str">
        <f>IFERROR((VLOOKUP(F790,#REF!,2,FALSE)),"-")</f>
        <v>-</v>
      </c>
      <c r="AB790" s="119" t="e">
        <f>CONCATENATE(F790," - ",I790," - ",#REF!,)</f>
        <v>#REF!</v>
      </c>
    </row>
    <row r="791" spans="1:28" s="116" customFormat="1" ht="15">
      <c r="A791" s="114"/>
      <c r="B791" s="120"/>
      <c r="C791" s="129" t="str">
        <f t="shared" si="36"/>
        <v>week-0</v>
      </c>
      <c r="D791" s="120" t="str">
        <f t="shared" si="37"/>
        <v>Jan</v>
      </c>
      <c r="E791" s="7"/>
      <c r="F791" s="7"/>
      <c r="G791" s="120"/>
      <c r="H791" s="120"/>
      <c r="I791" s="118"/>
      <c r="J791" s="118"/>
      <c r="K791" s="115"/>
      <c r="L791" s="115"/>
      <c r="M791" s="8"/>
      <c r="N791" s="8" t="str">
        <f t="shared" si="38"/>
        <v>-</v>
      </c>
      <c r="O791" s="126"/>
      <c r="P791" s="127"/>
      <c r="Q791" s="127"/>
      <c r="R791" s="126"/>
      <c r="S791" s="127"/>
      <c r="T791" s="8"/>
      <c r="U791" s="158"/>
      <c r="V791" s="7"/>
      <c r="W791" s="7"/>
      <c r="X791" s="146"/>
      <c r="Y791" s="7"/>
      <c r="Z791" s="7"/>
      <c r="AA791" s="7" t="str">
        <f>IFERROR((VLOOKUP(F791,#REF!,2,FALSE)),"-")</f>
        <v>-</v>
      </c>
      <c r="AB791" s="119" t="e">
        <f>CONCATENATE(F791," - ",I791," - ",#REF!,)</f>
        <v>#REF!</v>
      </c>
    </row>
    <row r="792" spans="1:28" s="116" customFormat="1" ht="15">
      <c r="A792" s="114"/>
      <c r="B792" s="120"/>
      <c r="C792" s="129" t="str">
        <f t="shared" si="36"/>
        <v>week-0</v>
      </c>
      <c r="D792" s="120" t="str">
        <f t="shared" si="37"/>
        <v>Jan</v>
      </c>
      <c r="E792" s="7"/>
      <c r="F792" s="7"/>
      <c r="G792" s="120"/>
      <c r="H792" s="120"/>
      <c r="I792" s="118"/>
      <c r="J792" s="118"/>
      <c r="K792" s="115"/>
      <c r="L792" s="115"/>
      <c r="M792" s="8"/>
      <c r="N792" s="8" t="str">
        <f t="shared" si="38"/>
        <v>-</v>
      </c>
      <c r="O792" s="127"/>
      <c r="P792" s="127"/>
      <c r="Q792" s="127"/>
      <c r="R792" s="127"/>
      <c r="S792" s="127"/>
      <c r="T792" s="139"/>
      <c r="U792" s="158"/>
      <c r="V792" s="7"/>
      <c r="W792" s="7"/>
      <c r="X792" s="146"/>
      <c r="Y792" s="7"/>
      <c r="Z792" s="7"/>
      <c r="AA792" s="7" t="str">
        <f>IFERROR((VLOOKUP(F792,#REF!,2,FALSE)),"-")</f>
        <v>-</v>
      </c>
      <c r="AB792" s="119" t="e">
        <f>CONCATENATE(F792," - ",I792," - ",#REF!,)</f>
        <v>#REF!</v>
      </c>
    </row>
    <row r="793" spans="1:28" s="116" customFormat="1" ht="15">
      <c r="A793" s="114"/>
      <c r="B793" s="120"/>
      <c r="C793" s="129" t="str">
        <f t="shared" si="36"/>
        <v>week-0</v>
      </c>
      <c r="D793" s="120" t="str">
        <f t="shared" si="37"/>
        <v>Jan</v>
      </c>
      <c r="E793" s="7"/>
      <c r="F793" s="7"/>
      <c r="G793" s="120"/>
      <c r="H793" s="120"/>
      <c r="I793" s="118"/>
      <c r="J793" s="118"/>
      <c r="K793" s="115"/>
      <c r="L793" s="115"/>
      <c r="M793" s="8"/>
      <c r="N793" s="8" t="str">
        <f t="shared" si="38"/>
        <v>-</v>
      </c>
      <c r="O793" s="126"/>
      <c r="P793" s="127"/>
      <c r="Q793" s="127"/>
      <c r="R793" s="126"/>
      <c r="S793" s="127"/>
      <c r="T793" s="8"/>
      <c r="U793" s="158"/>
      <c r="V793" s="7"/>
      <c r="W793" s="7"/>
      <c r="X793" s="146"/>
      <c r="Y793" s="7"/>
      <c r="Z793" s="7"/>
      <c r="AA793" s="7" t="str">
        <f>IFERROR((VLOOKUP(F793,#REF!,2,FALSE)),"-")</f>
        <v>-</v>
      </c>
      <c r="AB793" s="119" t="e">
        <f>CONCATENATE(F793," - ",I793," - ",#REF!,)</f>
        <v>#REF!</v>
      </c>
    </row>
    <row r="794" spans="1:28" s="116" customFormat="1" ht="15">
      <c r="A794" s="114"/>
      <c r="B794" s="120"/>
      <c r="C794" s="129" t="str">
        <f t="shared" si="36"/>
        <v>week-0</v>
      </c>
      <c r="D794" s="120" t="str">
        <f t="shared" si="37"/>
        <v>Jan</v>
      </c>
      <c r="E794" s="7"/>
      <c r="F794" s="7"/>
      <c r="G794" s="120"/>
      <c r="H794" s="120"/>
      <c r="I794" s="118"/>
      <c r="J794" s="118"/>
      <c r="K794" s="115"/>
      <c r="L794" s="115"/>
      <c r="M794" s="8"/>
      <c r="N794" s="8" t="str">
        <f t="shared" si="38"/>
        <v>-</v>
      </c>
      <c r="O794" s="126"/>
      <c r="P794" s="127"/>
      <c r="Q794" s="127"/>
      <c r="R794" s="126"/>
      <c r="S794" s="127"/>
      <c r="T794" s="8"/>
      <c r="U794" s="158"/>
      <c r="V794" s="7"/>
      <c r="W794" s="7"/>
      <c r="X794" s="146"/>
      <c r="Y794" s="7"/>
      <c r="Z794" s="7"/>
      <c r="AA794" s="7" t="str">
        <f>IFERROR((VLOOKUP(F794,#REF!,2,FALSE)),"-")</f>
        <v>-</v>
      </c>
      <c r="AB794" s="119" t="e">
        <f>CONCATENATE(F794," - ",I794," - ",#REF!,)</f>
        <v>#REF!</v>
      </c>
    </row>
    <row r="795" spans="1:28" s="116" customFormat="1" ht="15">
      <c r="A795" s="114"/>
      <c r="B795" s="120"/>
      <c r="C795" s="129" t="str">
        <f t="shared" si="36"/>
        <v>week-0</v>
      </c>
      <c r="D795" s="120" t="str">
        <f t="shared" si="37"/>
        <v>Jan</v>
      </c>
      <c r="E795" s="7"/>
      <c r="F795" s="7"/>
      <c r="G795" s="120"/>
      <c r="H795" s="120"/>
      <c r="I795" s="118"/>
      <c r="J795" s="118"/>
      <c r="K795" s="115"/>
      <c r="L795" s="115"/>
      <c r="M795" s="8"/>
      <c r="N795" s="8" t="str">
        <f t="shared" si="38"/>
        <v>-</v>
      </c>
      <c r="O795" s="126"/>
      <c r="P795" s="127"/>
      <c r="Q795" s="127"/>
      <c r="R795" s="126"/>
      <c r="S795" s="127"/>
      <c r="T795" s="8"/>
      <c r="U795" s="158"/>
      <c r="V795" s="7"/>
      <c r="W795" s="7"/>
      <c r="X795" s="146"/>
      <c r="Y795" s="7"/>
      <c r="Z795" s="7"/>
      <c r="AA795" s="7" t="str">
        <f>IFERROR((VLOOKUP(F795,#REF!,2,FALSE)),"-")</f>
        <v>-</v>
      </c>
      <c r="AB795" s="119" t="e">
        <f>CONCATENATE(F795," - ",I795," - ",#REF!,)</f>
        <v>#REF!</v>
      </c>
    </row>
    <row r="796" spans="1:28" s="116" customFormat="1" ht="15">
      <c r="A796" s="114"/>
      <c r="B796" s="120"/>
      <c r="C796" s="129" t="str">
        <f t="shared" si="36"/>
        <v>week-0</v>
      </c>
      <c r="D796" s="120" t="str">
        <f t="shared" si="37"/>
        <v>Jan</v>
      </c>
      <c r="E796" s="7"/>
      <c r="F796" s="7"/>
      <c r="G796" s="120"/>
      <c r="H796" s="120"/>
      <c r="I796" s="118"/>
      <c r="J796" s="118"/>
      <c r="K796" s="115"/>
      <c r="L796" s="115"/>
      <c r="M796" s="8"/>
      <c r="N796" s="8" t="str">
        <f t="shared" si="38"/>
        <v>-</v>
      </c>
      <c r="O796" s="126"/>
      <c r="P796" s="127"/>
      <c r="Q796" s="127"/>
      <c r="R796" s="126"/>
      <c r="S796" s="127"/>
      <c r="T796" s="8"/>
      <c r="U796" s="158"/>
      <c r="V796" s="7"/>
      <c r="W796" s="7"/>
      <c r="X796" s="146"/>
      <c r="Y796" s="7"/>
      <c r="Z796" s="7"/>
      <c r="AA796" s="7" t="str">
        <f>IFERROR((VLOOKUP(F796,#REF!,2,FALSE)),"-")</f>
        <v>-</v>
      </c>
      <c r="AB796" s="119" t="e">
        <f>CONCATENATE(F796," - ",I796," - ",#REF!,)</f>
        <v>#REF!</v>
      </c>
    </row>
    <row r="797" spans="1:28" s="116" customFormat="1" ht="15">
      <c r="A797" s="114"/>
      <c r="B797" s="120"/>
      <c r="C797" s="129" t="str">
        <f t="shared" si="36"/>
        <v>week-0</v>
      </c>
      <c r="D797" s="120" t="str">
        <f t="shared" si="37"/>
        <v>Jan</v>
      </c>
      <c r="E797" s="7"/>
      <c r="F797" s="7"/>
      <c r="G797" s="120"/>
      <c r="H797" s="120"/>
      <c r="I797" s="118"/>
      <c r="J797" s="118"/>
      <c r="K797" s="115"/>
      <c r="L797" s="115"/>
      <c r="M797" s="8"/>
      <c r="N797" s="8" t="str">
        <f t="shared" si="38"/>
        <v>-</v>
      </c>
      <c r="O797" s="126"/>
      <c r="P797" s="127"/>
      <c r="Q797" s="127"/>
      <c r="R797" s="126"/>
      <c r="S797" s="127"/>
      <c r="T797" s="8"/>
      <c r="U797" s="158"/>
      <c r="V797" s="7"/>
      <c r="W797" s="7"/>
      <c r="X797" s="146"/>
      <c r="Y797" s="7"/>
      <c r="Z797" s="7"/>
      <c r="AA797" s="7" t="str">
        <f>IFERROR((VLOOKUP(F797,#REF!,2,FALSE)),"-")</f>
        <v>-</v>
      </c>
      <c r="AB797" s="119" t="e">
        <f>CONCATENATE(F797," - ",I797," - ",#REF!,)</f>
        <v>#REF!</v>
      </c>
    </row>
    <row r="798" spans="1:28" s="116" customFormat="1" ht="15">
      <c r="A798" s="114"/>
      <c r="B798" s="120"/>
      <c r="C798" s="129" t="str">
        <f t="shared" si="36"/>
        <v>week-0</v>
      </c>
      <c r="D798" s="120" t="str">
        <f t="shared" si="37"/>
        <v>Jan</v>
      </c>
      <c r="E798" s="7"/>
      <c r="F798" s="7"/>
      <c r="G798" s="120"/>
      <c r="H798" s="120"/>
      <c r="I798" s="118"/>
      <c r="J798" s="118"/>
      <c r="K798" s="115"/>
      <c r="L798" s="115"/>
      <c r="M798" s="8"/>
      <c r="N798" s="8" t="str">
        <f t="shared" si="38"/>
        <v>-</v>
      </c>
      <c r="O798" s="126"/>
      <c r="P798" s="127"/>
      <c r="Q798" s="127"/>
      <c r="R798" s="126"/>
      <c r="S798" s="127"/>
      <c r="T798" s="8"/>
      <c r="U798" s="158"/>
      <c r="V798" s="7"/>
      <c r="W798" s="7"/>
      <c r="X798" s="146"/>
      <c r="Y798" s="7"/>
      <c r="Z798" s="7"/>
      <c r="AA798" s="7" t="str">
        <f>IFERROR((VLOOKUP(F798,#REF!,2,FALSE)),"-")</f>
        <v>-</v>
      </c>
      <c r="AB798" s="119" t="e">
        <f>CONCATENATE(F798," - ",I798," - ",#REF!,)</f>
        <v>#REF!</v>
      </c>
    </row>
    <row r="799" spans="1:28" s="116" customFormat="1" ht="15">
      <c r="A799" s="114"/>
      <c r="B799" s="120"/>
      <c r="C799" s="129" t="str">
        <f t="shared" si="36"/>
        <v>week-0</v>
      </c>
      <c r="D799" s="120" t="str">
        <f t="shared" si="37"/>
        <v>Jan</v>
      </c>
      <c r="E799" s="7"/>
      <c r="F799" s="7"/>
      <c r="G799" s="120"/>
      <c r="H799" s="120"/>
      <c r="I799" s="118"/>
      <c r="J799" s="118"/>
      <c r="K799" s="115"/>
      <c r="L799" s="115"/>
      <c r="M799" s="8"/>
      <c r="N799" s="8" t="str">
        <f t="shared" si="38"/>
        <v>-</v>
      </c>
      <c r="O799" s="126"/>
      <c r="P799" s="127"/>
      <c r="Q799" s="127"/>
      <c r="R799" s="126"/>
      <c r="S799" s="127"/>
      <c r="T799" s="8"/>
      <c r="U799" s="158"/>
      <c r="V799" s="7"/>
      <c r="W799" s="7"/>
      <c r="X799" s="146"/>
      <c r="Y799" s="7"/>
      <c r="Z799" s="7"/>
      <c r="AA799" s="7" t="str">
        <f>IFERROR((VLOOKUP(F799,#REF!,2,FALSE)),"-")</f>
        <v>-</v>
      </c>
      <c r="AB799" s="119" t="e">
        <f>CONCATENATE(F799," - ",I799," - ",#REF!,)</f>
        <v>#REF!</v>
      </c>
    </row>
    <row r="800" spans="1:28" s="116" customFormat="1" ht="15">
      <c r="A800" s="114"/>
      <c r="B800" s="120"/>
      <c r="C800" s="129" t="str">
        <f t="shared" si="36"/>
        <v>week-0</v>
      </c>
      <c r="D800" s="120" t="str">
        <f t="shared" si="37"/>
        <v>Jan</v>
      </c>
      <c r="E800" s="84"/>
      <c r="F800" s="7"/>
      <c r="G800" s="120"/>
      <c r="H800" s="120"/>
      <c r="I800" s="118"/>
      <c r="J800" s="118"/>
      <c r="K800" s="115"/>
      <c r="L800" s="115"/>
      <c r="M800" s="8"/>
      <c r="N800" s="8" t="str">
        <f t="shared" si="38"/>
        <v>-</v>
      </c>
      <c r="O800" s="126"/>
      <c r="P800" s="127"/>
      <c r="Q800" s="127"/>
      <c r="R800" s="126"/>
      <c r="S800" s="127"/>
      <c r="T800" s="8"/>
      <c r="U800" s="158"/>
      <c r="V800" s="7"/>
      <c r="W800" s="7"/>
      <c r="X800" s="146"/>
      <c r="Y800" s="7"/>
      <c r="Z800" s="7"/>
      <c r="AA800" s="7" t="str">
        <f>IFERROR((VLOOKUP(F800,#REF!,2,FALSE)),"-")</f>
        <v>-</v>
      </c>
      <c r="AB800" s="119" t="e">
        <f>CONCATENATE(F800," - ",I800," - ",#REF!,)</f>
        <v>#REF!</v>
      </c>
    </row>
    <row r="801" spans="1:28" s="116" customFormat="1" ht="15">
      <c r="A801" s="114"/>
      <c r="B801" s="120"/>
      <c r="C801" s="129" t="str">
        <f t="shared" si="36"/>
        <v>week-0</v>
      </c>
      <c r="D801" s="120" t="str">
        <f t="shared" si="37"/>
        <v>Jan</v>
      </c>
      <c r="E801" s="7"/>
      <c r="F801" s="7"/>
      <c r="G801" s="120"/>
      <c r="H801" s="120"/>
      <c r="I801" s="118"/>
      <c r="J801" s="118"/>
      <c r="K801" s="115"/>
      <c r="L801" s="115"/>
      <c r="M801" s="8"/>
      <c r="N801" s="8" t="str">
        <f t="shared" si="38"/>
        <v>-</v>
      </c>
      <c r="O801" s="126"/>
      <c r="P801" s="127"/>
      <c r="Q801" s="127"/>
      <c r="R801" s="126"/>
      <c r="S801" s="127"/>
      <c r="T801" s="8"/>
      <c r="U801" s="158"/>
      <c r="V801" s="7"/>
      <c r="W801" s="7"/>
      <c r="X801" s="146"/>
      <c r="Y801" s="7"/>
      <c r="Z801" s="7"/>
      <c r="AA801" s="7" t="str">
        <f>IFERROR((VLOOKUP(F801,#REF!,2,FALSE)),"-")</f>
        <v>-</v>
      </c>
      <c r="AB801" s="119" t="e">
        <f>CONCATENATE(F801," - ",I801," - ",#REF!,)</f>
        <v>#REF!</v>
      </c>
    </row>
    <row r="802" spans="1:28" s="116" customFormat="1" ht="15">
      <c r="A802" s="114"/>
      <c r="B802" s="120"/>
      <c r="C802" s="129" t="str">
        <f t="shared" si="36"/>
        <v>week-0</v>
      </c>
      <c r="D802" s="120" t="str">
        <f t="shared" si="37"/>
        <v>Jan</v>
      </c>
      <c r="E802" s="7"/>
      <c r="F802" s="7"/>
      <c r="G802" s="120"/>
      <c r="H802" s="120"/>
      <c r="I802" s="118"/>
      <c r="J802" s="118"/>
      <c r="K802" s="115"/>
      <c r="L802" s="115"/>
      <c r="M802" s="8"/>
      <c r="N802" s="8" t="str">
        <f t="shared" si="38"/>
        <v>-</v>
      </c>
      <c r="O802" s="127"/>
      <c r="P802" s="127"/>
      <c r="Q802" s="127"/>
      <c r="R802" s="127"/>
      <c r="S802" s="127"/>
      <c r="T802" s="139"/>
      <c r="U802" s="158"/>
      <c r="V802" s="7"/>
      <c r="W802" s="7"/>
      <c r="X802" s="146"/>
      <c r="Y802" s="7"/>
      <c r="Z802" s="7"/>
      <c r="AA802" s="7" t="str">
        <f>IFERROR((VLOOKUP(F802,#REF!,2,FALSE)),"-")</f>
        <v>-</v>
      </c>
      <c r="AB802" s="119" t="e">
        <f>CONCATENATE(F802," - ",I802," - ",#REF!,)</f>
        <v>#REF!</v>
      </c>
    </row>
    <row r="803" spans="1:28" s="116" customFormat="1" ht="15">
      <c r="A803" s="114"/>
      <c r="B803" s="120"/>
      <c r="C803" s="129" t="str">
        <f t="shared" si="36"/>
        <v>week-0</v>
      </c>
      <c r="D803" s="120" t="str">
        <f t="shared" si="37"/>
        <v>Jan</v>
      </c>
      <c r="E803" s="7"/>
      <c r="F803" s="7"/>
      <c r="G803" s="120"/>
      <c r="H803" s="120"/>
      <c r="I803" s="118"/>
      <c r="J803" s="118"/>
      <c r="K803" s="115"/>
      <c r="L803" s="115"/>
      <c r="M803" s="8"/>
      <c r="N803" s="8" t="str">
        <f t="shared" si="38"/>
        <v>-</v>
      </c>
      <c r="O803" s="126"/>
      <c r="P803" s="127"/>
      <c r="Q803" s="127"/>
      <c r="R803" s="126"/>
      <c r="S803" s="127"/>
      <c r="T803" s="8"/>
      <c r="U803" s="158"/>
      <c r="V803" s="7"/>
      <c r="W803" s="7"/>
      <c r="X803" s="146"/>
      <c r="Y803" s="7"/>
      <c r="Z803" s="7"/>
      <c r="AA803" s="7" t="str">
        <f>IFERROR((VLOOKUP(F803,#REF!,2,FALSE)),"-")</f>
        <v>-</v>
      </c>
      <c r="AB803" s="119" t="e">
        <f>CONCATENATE(F803," - ",I803," - ",#REF!,)</f>
        <v>#REF!</v>
      </c>
    </row>
    <row r="804" spans="1:28" s="116" customFormat="1" ht="15">
      <c r="A804" s="114"/>
      <c r="B804" s="120"/>
      <c r="C804" s="129" t="str">
        <f t="shared" si="36"/>
        <v>week-0</v>
      </c>
      <c r="D804" s="120" t="str">
        <f t="shared" si="37"/>
        <v>Jan</v>
      </c>
      <c r="E804" s="7"/>
      <c r="F804" s="7"/>
      <c r="G804" s="120"/>
      <c r="H804" s="120"/>
      <c r="I804" s="118"/>
      <c r="J804" s="118"/>
      <c r="K804" s="115"/>
      <c r="L804" s="115"/>
      <c r="M804" s="8"/>
      <c r="N804" s="8" t="str">
        <f t="shared" si="38"/>
        <v>-</v>
      </c>
      <c r="O804" s="126"/>
      <c r="P804" s="127"/>
      <c r="Q804" s="127"/>
      <c r="R804" s="126"/>
      <c r="S804" s="127"/>
      <c r="T804" s="8"/>
      <c r="U804" s="158"/>
      <c r="V804" s="7"/>
      <c r="W804" s="7"/>
      <c r="X804" s="146"/>
      <c r="Y804" s="7"/>
      <c r="Z804" s="7"/>
      <c r="AA804" s="7" t="str">
        <f>IFERROR((VLOOKUP(F804,#REF!,2,FALSE)),"-")</f>
        <v>-</v>
      </c>
      <c r="AB804" s="119" t="e">
        <f>CONCATENATE(F804," - ",I804," - ",#REF!,)</f>
        <v>#REF!</v>
      </c>
    </row>
    <row r="805" spans="1:28" s="116" customFormat="1" ht="15">
      <c r="A805" s="114"/>
      <c r="B805" s="120"/>
      <c r="C805" s="129" t="str">
        <f t="shared" si="36"/>
        <v>week-0</v>
      </c>
      <c r="D805" s="120" t="str">
        <f t="shared" si="37"/>
        <v>Jan</v>
      </c>
      <c r="E805" s="7"/>
      <c r="F805" s="7"/>
      <c r="G805" s="120"/>
      <c r="H805" s="120"/>
      <c r="I805" s="118"/>
      <c r="J805" s="118"/>
      <c r="K805" s="115"/>
      <c r="L805" s="115"/>
      <c r="M805" s="8"/>
      <c r="N805" s="8" t="str">
        <f t="shared" si="38"/>
        <v>-</v>
      </c>
      <c r="O805" s="126"/>
      <c r="P805" s="127"/>
      <c r="Q805" s="127"/>
      <c r="R805" s="126"/>
      <c r="S805" s="127"/>
      <c r="T805" s="8"/>
      <c r="U805" s="158"/>
      <c r="V805" s="7"/>
      <c r="W805" s="7"/>
      <c r="X805" s="146"/>
      <c r="Y805" s="7"/>
      <c r="Z805" s="7"/>
      <c r="AA805" s="7" t="str">
        <f>IFERROR((VLOOKUP(F805,#REF!,2,FALSE)),"-")</f>
        <v>-</v>
      </c>
      <c r="AB805" s="119" t="e">
        <f>CONCATENATE(F805," - ",I805," - ",#REF!,)</f>
        <v>#REF!</v>
      </c>
    </row>
    <row r="806" spans="1:28" s="116" customFormat="1" ht="15">
      <c r="A806" s="114"/>
      <c r="B806" s="120"/>
      <c r="C806" s="129" t="str">
        <f t="shared" si="36"/>
        <v>week-0</v>
      </c>
      <c r="D806" s="120" t="str">
        <f t="shared" si="37"/>
        <v>Jan</v>
      </c>
      <c r="E806" s="7"/>
      <c r="F806" s="7"/>
      <c r="G806" s="120"/>
      <c r="H806" s="120"/>
      <c r="I806" s="118"/>
      <c r="J806" s="118"/>
      <c r="K806" s="115"/>
      <c r="L806" s="115"/>
      <c r="M806" s="8"/>
      <c r="N806" s="8" t="str">
        <f t="shared" si="38"/>
        <v>-</v>
      </c>
      <c r="O806" s="126"/>
      <c r="P806" s="127"/>
      <c r="Q806" s="127"/>
      <c r="R806" s="126"/>
      <c r="S806" s="127"/>
      <c r="T806" s="8"/>
      <c r="U806" s="158"/>
      <c r="V806" s="7"/>
      <c r="W806" s="7"/>
      <c r="X806" s="146"/>
      <c r="Y806" s="7"/>
      <c r="Z806" s="7"/>
      <c r="AA806" s="7" t="str">
        <f>IFERROR((VLOOKUP(F806,#REF!,2,FALSE)),"-")</f>
        <v>-</v>
      </c>
      <c r="AB806" s="119" t="e">
        <f>CONCATENATE(F806," - ",I806," - ",#REF!,)</f>
        <v>#REF!</v>
      </c>
    </row>
    <row r="807" spans="1:28" s="116" customFormat="1" ht="15">
      <c r="A807" s="114"/>
      <c r="B807" s="120"/>
      <c r="C807" s="129" t="str">
        <f t="shared" si="36"/>
        <v>week-0</v>
      </c>
      <c r="D807" s="120" t="str">
        <f t="shared" si="37"/>
        <v>Jan</v>
      </c>
      <c r="E807" s="7"/>
      <c r="F807" s="7"/>
      <c r="G807" s="120"/>
      <c r="H807" s="120"/>
      <c r="I807" s="118"/>
      <c r="J807" s="118"/>
      <c r="K807" s="115"/>
      <c r="L807" s="115"/>
      <c r="M807" s="8"/>
      <c r="N807" s="8" t="str">
        <f t="shared" si="38"/>
        <v>-</v>
      </c>
      <c r="O807" s="126"/>
      <c r="P807" s="127"/>
      <c r="Q807" s="127"/>
      <c r="R807" s="126"/>
      <c r="S807" s="127"/>
      <c r="T807" s="8"/>
      <c r="U807" s="158"/>
      <c r="V807" s="7"/>
      <c r="W807" s="7"/>
      <c r="X807" s="146"/>
      <c r="Y807" s="7"/>
      <c r="Z807" s="7"/>
      <c r="AA807" s="7" t="str">
        <f>IFERROR((VLOOKUP(F807,#REF!,2,FALSE)),"-")</f>
        <v>-</v>
      </c>
      <c r="AB807" s="119" t="e">
        <f>CONCATENATE(F807," - ",I807," - ",#REF!,)</f>
        <v>#REF!</v>
      </c>
    </row>
    <row r="808" spans="1:28" s="116" customFormat="1" ht="15">
      <c r="A808" s="114"/>
      <c r="B808" s="120"/>
      <c r="C808" s="129" t="str">
        <f t="shared" si="36"/>
        <v>week-0</v>
      </c>
      <c r="D808" s="120" t="str">
        <f t="shared" si="37"/>
        <v>Jan</v>
      </c>
      <c r="E808" s="7"/>
      <c r="F808" s="7"/>
      <c r="G808" s="120"/>
      <c r="H808" s="120"/>
      <c r="I808" s="118"/>
      <c r="J808" s="118"/>
      <c r="K808" s="115"/>
      <c r="L808" s="115"/>
      <c r="M808" s="8"/>
      <c r="N808" s="8" t="str">
        <f t="shared" si="38"/>
        <v>-</v>
      </c>
      <c r="O808" s="126"/>
      <c r="P808" s="127"/>
      <c r="Q808" s="127"/>
      <c r="R808" s="126"/>
      <c r="S808" s="127"/>
      <c r="T808" s="8"/>
      <c r="U808" s="158"/>
      <c r="V808" s="7"/>
      <c r="W808" s="7"/>
      <c r="X808" s="146"/>
      <c r="Y808" s="7"/>
      <c r="Z808" s="7"/>
      <c r="AA808" s="7" t="str">
        <f>IFERROR((VLOOKUP(F808,#REF!,2,FALSE)),"-")</f>
        <v>-</v>
      </c>
      <c r="AB808" s="119" t="e">
        <f>CONCATENATE(F808," - ",I808," - ",#REF!,)</f>
        <v>#REF!</v>
      </c>
    </row>
    <row r="809" spans="1:28" s="116" customFormat="1" ht="15">
      <c r="A809" s="114"/>
      <c r="B809" s="120"/>
      <c r="C809" s="129" t="str">
        <f t="shared" si="36"/>
        <v>week-0</v>
      </c>
      <c r="D809" s="120" t="str">
        <f t="shared" si="37"/>
        <v>Jan</v>
      </c>
      <c r="E809" s="7"/>
      <c r="F809" s="7"/>
      <c r="G809" s="120"/>
      <c r="H809" s="120"/>
      <c r="I809" s="118"/>
      <c r="J809" s="118"/>
      <c r="K809" s="115"/>
      <c r="L809" s="115"/>
      <c r="M809" s="8"/>
      <c r="N809" s="8" t="str">
        <f t="shared" si="38"/>
        <v>-</v>
      </c>
      <c r="O809" s="126"/>
      <c r="P809" s="127"/>
      <c r="Q809" s="127"/>
      <c r="R809" s="126"/>
      <c r="S809" s="127"/>
      <c r="T809" s="8"/>
      <c r="U809" s="158"/>
      <c r="V809" s="7"/>
      <c r="W809" s="7"/>
      <c r="X809" s="146"/>
      <c r="Y809" s="7"/>
      <c r="Z809" s="7"/>
      <c r="AA809" s="7" t="str">
        <f>IFERROR((VLOOKUP(F809,#REF!,2,FALSE)),"-")</f>
        <v>-</v>
      </c>
      <c r="AB809" s="119" t="e">
        <f>CONCATENATE(F809," - ",I809," - ",#REF!,)</f>
        <v>#REF!</v>
      </c>
    </row>
    <row r="810" spans="1:28" s="116" customFormat="1" ht="15">
      <c r="A810" s="114"/>
      <c r="B810" s="120"/>
      <c r="C810" s="129" t="str">
        <f t="shared" si="36"/>
        <v>week-0</v>
      </c>
      <c r="D810" s="120" t="str">
        <f t="shared" si="37"/>
        <v>Jan</v>
      </c>
      <c r="E810" s="7"/>
      <c r="F810" s="7"/>
      <c r="G810" s="120"/>
      <c r="H810" s="120"/>
      <c r="I810" s="118"/>
      <c r="J810" s="118"/>
      <c r="K810" s="115"/>
      <c r="L810" s="115"/>
      <c r="M810" s="8"/>
      <c r="N810" s="8" t="str">
        <f t="shared" si="38"/>
        <v>-</v>
      </c>
      <c r="O810" s="126"/>
      <c r="P810" s="127"/>
      <c r="Q810" s="127"/>
      <c r="R810" s="126"/>
      <c r="S810" s="127"/>
      <c r="T810" s="8"/>
      <c r="U810" s="158"/>
      <c r="V810" s="7"/>
      <c r="W810" s="7"/>
      <c r="X810" s="146"/>
      <c r="Y810" s="7"/>
      <c r="Z810" s="7"/>
      <c r="AA810" s="7" t="str">
        <f>IFERROR((VLOOKUP(F810,#REF!,2,FALSE)),"-")</f>
        <v>-</v>
      </c>
      <c r="AB810" s="119" t="e">
        <f>CONCATENATE(F810," - ",I810," - ",#REF!,)</f>
        <v>#REF!</v>
      </c>
    </row>
    <row r="811" spans="1:28" s="116" customFormat="1" ht="15">
      <c r="A811" s="114"/>
      <c r="B811" s="120"/>
      <c r="C811" s="129" t="str">
        <f t="shared" si="36"/>
        <v>week-0</v>
      </c>
      <c r="D811" s="120" t="str">
        <f t="shared" si="37"/>
        <v>Jan</v>
      </c>
      <c r="E811" s="7"/>
      <c r="F811" s="7"/>
      <c r="G811" s="120"/>
      <c r="H811" s="120"/>
      <c r="I811" s="118"/>
      <c r="J811" s="118"/>
      <c r="K811" s="115"/>
      <c r="L811" s="115"/>
      <c r="M811" s="8"/>
      <c r="N811" s="8" t="str">
        <f t="shared" si="38"/>
        <v>-</v>
      </c>
      <c r="O811" s="126"/>
      <c r="P811" s="127"/>
      <c r="Q811" s="127"/>
      <c r="R811" s="126"/>
      <c r="S811" s="127"/>
      <c r="T811" s="8"/>
      <c r="U811" s="158"/>
      <c r="V811" s="7"/>
      <c r="W811" s="7"/>
      <c r="X811" s="146"/>
      <c r="Y811" s="7"/>
      <c r="Z811" s="7"/>
      <c r="AA811" s="7" t="str">
        <f>IFERROR((VLOOKUP(F811,#REF!,2,FALSE)),"-")</f>
        <v>-</v>
      </c>
      <c r="AB811" s="119" t="e">
        <f>CONCATENATE(F811," - ",I811," - ",#REF!,)</f>
        <v>#REF!</v>
      </c>
    </row>
    <row r="812" spans="1:28" s="116" customFormat="1" ht="15">
      <c r="A812" s="114"/>
      <c r="B812" s="120"/>
      <c r="C812" s="129" t="str">
        <f t="shared" si="36"/>
        <v>week-0</v>
      </c>
      <c r="D812" s="120" t="str">
        <f t="shared" si="37"/>
        <v>Jan</v>
      </c>
      <c r="E812" s="7"/>
      <c r="F812" s="7"/>
      <c r="G812" s="120"/>
      <c r="H812" s="120"/>
      <c r="I812" s="118"/>
      <c r="J812" s="118"/>
      <c r="K812" s="115"/>
      <c r="L812" s="115"/>
      <c r="M812" s="8"/>
      <c r="N812" s="8" t="str">
        <f t="shared" si="38"/>
        <v>-</v>
      </c>
      <c r="O812" s="126"/>
      <c r="P812" s="127"/>
      <c r="Q812" s="127"/>
      <c r="R812" s="126"/>
      <c r="S812" s="127"/>
      <c r="T812" s="8"/>
      <c r="U812" s="158"/>
      <c r="V812" s="7"/>
      <c r="W812" s="7"/>
      <c r="X812" s="146"/>
      <c r="Y812" s="7"/>
      <c r="Z812" s="7"/>
      <c r="AA812" s="7" t="str">
        <f>IFERROR((VLOOKUP(F812,#REF!,2,FALSE)),"-")</f>
        <v>-</v>
      </c>
      <c r="AB812" s="119" t="e">
        <f>CONCATENATE(F812," - ",I812," - ",#REF!,)</f>
        <v>#REF!</v>
      </c>
    </row>
    <row r="813" spans="1:28" s="116" customFormat="1" ht="15">
      <c r="A813" s="114"/>
      <c r="B813" s="120"/>
      <c r="C813" s="129" t="str">
        <f t="shared" si="36"/>
        <v>week-0</v>
      </c>
      <c r="D813" s="120" t="str">
        <f t="shared" si="37"/>
        <v>Jan</v>
      </c>
      <c r="E813" s="7"/>
      <c r="F813" s="7"/>
      <c r="G813" s="120"/>
      <c r="H813" s="120"/>
      <c r="I813" s="118"/>
      <c r="J813" s="118"/>
      <c r="K813" s="115"/>
      <c r="L813" s="115"/>
      <c r="M813" s="8"/>
      <c r="N813" s="8" t="str">
        <f t="shared" si="38"/>
        <v>-</v>
      </c>
      <c r="O813" s="126"/>
      <c r="P813" s="127"/>
      <c r="Q813" s="127"/>
      <c r="R813" s="126"/>
      <c r="S813" s="127"/>
      <c r="T813" s="8"/>
      <c r="U813" s="158"/>
      <c r="V813" s="7"/>
      <c r="W813" s="7"/>
      <c r="X813" s="146"/>
      <c r="Y813" s="7"/>
      <c r="Z813" s="7"/>
      <c r="AA813" s="7" t="str">
        <f>IFERROR((VLOOKUP(F813,#REF!,2,FALSE)),"-")</f>
        <v>-</v>
      </c>
      <c r="AB813" s="119" t="e">
        <f>CONCATENATE(F813," - ",I813," - ",#REF!,)</f>
        <v>#REF!</v>
      </c>
    </row>
    <row r="814" spans="1:28" s="116" customFormat="1" ht="15">
      <c r="A814" s="114"/>
      <c r="B814" s="120"/>
      <c r="C814" s="129" t="str">
        <f t="shared" si="36"/>
        <v>week-0</v>
      </c>
      <c r="D814" s="120" t="str">
        <f t="shared" si="37"/>
        <v>Jan</v>
      </c>
      <c r="E814" s="7"/>
      <c r="F814" s="7"/>
      <c r="G814" s="120"/>
      <c r="H814" s="120"/>
      <c r="I814" s="118"/>
      <c r="J814" s="118"/>
      <c r="K814" s="115"/>
      <c r="L814" s="115"/>
      <c r="M814" s="8"/>
      <c r="N814" s="8" t="str">
        <f t="shared" si="38"/>
        <v>-</v>
      </c>
      <c r="O814" s="126"/>
      <c r="P814" s="127"/>
      <c r="Q814" s="127"/>
      <c r="R814" s="126"/>
      <c r="S814" s="127"/>
      <c r="T814" s="8"/>
      <c r="U814" s="158"/>
      <c r="V814" s="7"/>
      <c r="W814" s="7"/>
      <c r="X814" s="146"/>
      <c r="Y814" s="7"/>
      <c r="Z814" s="7"/>
      <c r="AA814" s="7" t="str">
        <f>IFERROR((VLOOKUP(F814,#REF!,2,FALSE)),"-")</f>
        <v>-</v>
      </c>
      <c r="AB814" s="119" t="e">
        <f>CONCATENATE(F814," - ",I814," - ",#REF!,)</f>
        <v>#REF!</v>
      </c>
    </row>
    <row r="815" spans="1:28" s="116" customFormat="1" ht="15">
      <c r="A815" s="114"/>
      <c r="B815" s="120"/>
      <c r="C815" s="129" t="str">
        <f t="shared" si="36"/>
        <v>week-0</v>
      </c>
      <c r="D815" s="120" t="str">
        <f t="shared" si="37"/>
        <v>Jan</v>
      </c>
      <c r="E815" s="7"/>
      <c r="F815" s="7"/>
      <c r="G815" s="120"/>
      <c r="H815" s="120"/>
      <c r="I815" s="118"/>
      <c r="J815" s="118"/>
      <c r="K815" s="115"/>
      <c r="L815" s="115"/>
      <c r="M815" s="8"/>
      <c r="N815" s="8" t="str">
        <f t="shared" si="38"/>
        <v>-</v>
      </c>
      <c r="O815" s="126"/>
      <c r="P815" s="127"/>
      <c r="Q815" s="127"/>
      <c r="R815" s="126"/>
      <c r="S815" s="127"/>
      <c r="T815" s="8"/>
      <c r="U815" s="158"/>
      <c r="V815" s="7"/>
      <c r="W815" s="7"/>
      <c r="X815" s="146"/>
      <c r="Y815" s="7"/>
      <c r="Z815" s="7"/>
      <c r="AA815" s="7" t="str">
        <f>IFERROR((VLOOKUP(F815,#REF!,2,FALSE)),"-")</f>
        <v>-</v>
      </c>
      <c r="AB815" s="119" t="e">
        <f>CONCATENATE(F815," - ",I815," - ",#REF!,)</f>
        <v>#REF!</v>
      </c>
    </row>
    <row r="816" spans="1:28" s="116" customFormat="1" ht="15">
      <c r="A816" s="114"/>
      <c r="B816" s="120"/>
      <c r="C816" s="129" t="str">
        <f t="shared" si="36"/>
        <v>week-0</v>
      </c>
      <c r="D816" s="120" t="str">
        <f t="shared" si="37"/>
        <v>Jan</v>
      </c>
      <c r="E816" s="7"/>
      <c r="F816" s="7"/>
      <c r="G816" s="120"/>
      <c r="H816" s="120"/>
      <c r="I816" s="118"/>
      <c r="J816" s="118"/>
      <c r="K816" s="115"/>
      <c r="L816" s="115"/>
      <c r="M816" s="8"/>
      <c r="N816" s="8" t="str">
        <f t="shared" si="38"/>
        <v>-</v>
      </c>
      <c r="O816" s="126"/>
      <c r="P816" s="127"/>
      <c r="Q816" s="127"/>
      <c r="R816" s="126"/>
      <c r="S816" s="127"/>
      <c r="T816" s="8"/>
      <c r="U816" s="158"/>
      <c r="V816" s="7"/>
      <c r="W816" s="7"/>
      <c r="X816" s="146"/>
      <c r="Y816" s="7"/>
      <c r="Z816" s="7"/>
      <c r="AA816" s="7" t="str">
        <f>IFERROR((VLOOKUP(F816,#REF!,2,FALSE)),"-")</f>
        <v>-</v>
      </c>
      <c r="AB816" s="119" t="e">
        <f>CONCATENATE(F816," - ",I816," - ",#REF!,)</f>
        <v>#REF!</v>
      </c>
    </row>
    <row r="817" spans="1:28" s="116" customFormat="1" ht="15">
      <c r="A817" s="114"/>
      <c r="B817" s="120"/>
      <c r="C817" s="129" t="str">
        <f t="shared" si="36"/>
        <v>week-0</v>
      </c>
      <c r="D817" s="120" t="str">
        <f t="shared" si="37"/>
        <v>Jan</v>
      </c>
      <c r="E817" s="7"/>
      <c r="F817" s="7"/>
      <c r="G817" s="120"/>
      <c r="H817" s="120"/>
      <c r="I817" s="118"/>
      <c r="J817" s="118"/>
      <c r="K817" s="115"/>
      <c r="L817" s="115"/>
      <c r="M817" s="8"/>
      <c r="N817" s="8" t="str">
        <f t="shared" si="38"/>
        <v>-</v>
      </c>
      <c r="O817" s="126"/>
      <c r="P817" s="127"/>
      <c r="Q817" s="127"/>
      <c r="R817" s="126"/>
      <c r="S817" s="127"/>
      <c r="T817" s="8"/>
      <c r="U817" s="158"/>
      <c r="V817" s="7"/>
      <c r="W817" s="7"/>
      <c r="X817" s="146"/>
      <c r="Y817" s="7"/>
      <c r="Z817" s="7"/>
      <c r="AA817" s="7" t="str">
        <f>IFERROR((VLOOKUP(F817,#REF!,2,FALSE)),"-")</f>
        <v>-</v>
      </c>
      <c r="AB817" s="119" t="e">
        <f>CONCATENATE(F817," - ",I817," - ",#REF!,)</f>
        <v>#REF!</v>
      </c>
    </row>
    <row r="818" spans="1:28" s="116" customFormat="1" ht="15">
      <c r="A818" s="114"/>
      <c r="B818" s="120"/>
      <c r="C818" s="129" t="str">
        <f t="shared" si="36"/>
        <v>week-0</v>
      </c>
      <c r="D818" s="120" t="str">
        <f t="shared" si="37"/>
        <v>Jan</v>
      </c>
      <c r="E818" s="7"/>
      <c r="F818" s="7"/>
      <c r="G818" s="120"/>
      <c r="H818" s="120"/>
      <c r="I818" s="118"/>
      <c r="J818" s="118"/>
      <c r="K818" s="115"/>
      <c r="L818" s="115"/>
      <c r="M818" s="8"/>
      <c r="N818" s="8" t="str">
        <f t="shared" si="38"/>
        <v>-</v>
      </c>
      <c r="O818" s="126"/>
      <c r="P818" s="127"/>
      <c r="Q818" s="127"/>
      <c r="R818" s="126"/>
      <c r="S818" s="127"/>
      <c r="T818" s="8"/>
      <c r="U818" s="158"/>
      <c r="V818" s="7"/>
      <c r="W818" s="7"/>
      <c r="X818" s="146"/>
      <c r="Y818" s="7"/>
      <c r="Z818" s="7"/>
      <c r="AA818" s="7" t="str">
        <f>IFERROR((VLOOKUP(F818,#REF!,2,FALSE)),"-")</f>
        <v>-</v>
      </c>
      <c r="AB818" s="119" t="e">
        <f>CONCATENATE(F818," - ",I818," - ",#REF!,)</f>
        <v>#REF!</v>
      </c>
    </row>
    <row r="819" spans="1:28" s="116" customFormat="1" ht="15">
      <c r="A819" s="114"/>
      <c r="B819" s="120"/>
      <c r="C819" s="129" t="str">
        <f t="shared" si="36"/>
        <v>week-0</v>
      </c>
      <c r="D819" s="120" t="str">
        <f t="shared" si="37"/>
        <v>Jan</v>
      </c>
      <c r="E819" s="7"/>
      <c r="F819" s="7"/>
      <c r="G819" s="120"/>
      <c r="H819" s="120"/>
      <c r="I819" s="118"/>
      <c r="J819" s="118"/>
      <c r="K819" s="115"/>
      <c r="L819" s="115"/>
      <c r="M819" s="8"/>
      <c r="N819" s="8" t="str">
        <f t="shared" si="38"/>
        <v>-</v>
      </c>
      <c r="O819" s="126"/>
      <c r="P819" s="127"/>
      <c r="Q819" s="127"/>
      <c r="R819" s="126"/>
      <c r="S819" s="127"/>
      <c r="T819" s="8"/>
      <c r="U819" s="158"/>
      <c r="V819" s="7"/>
      <c r="W819" s="7"/>
      <c r="X819" s="146"/>
      <c r="Y819" s="7"/>
      <c r="Z819" s="7"/>
      <c r="AA819" s="7" t="str">
        <f>IFERROR((VLOOKUP(F819,#REF!,2,FALSE)),"-")</f>
        <v>-</v>
      </c>
      <c r="AB819" s="119" t="e">
        <f>CONCATENATE(F819," - ",I819," - ",#REF!,)</f>
        <v>#REF!</v>
      </c>
    </row>
    <row r="820" spans="1:28" s="116" customFormat="1" ht="15">
      <c r="A820" s="114"/>
      <c r="B820" s="120"/>
      <c r="C820" s="129" t="str">
        <f t="shared" si="36"/>
        <v>week-0</v>
      </c>
      <c r="D820" s="120" t="str">
        <f t="shared" si="37"/>
        <v>Jan</v>
      </c>
      <c r="E820" s="7"/>
      <c r="F820" s="7"/>
      <c r="G820" s="120"/>
      <c r="H820" s="120"/>
      <c r="I820" s="118"/>
      <c r="J820" s="118"/>
      <c r="K820" s="115"/>
      <c r="L820" s="115"/>
      <c r="M820" s="8"/>
      <c r="N820" s="8" t="str">
        <f t="shared" si="38"/>
        <v>-</v>
      </c>
      <c r="O820" s="126"/>
      <c r="P820" s="127"/>
      <c r="Q820" s="127"/>
      <c r="R820" s="126"/>
      <c r="S820" s="127"/>
      <c r="T820" s="8"/>
      <c r="U820" s="158"/>
      <c r="V820" s="7"/>
      <c r="W820" s="7"/>
      <c r="X820" s="146"/>
      <c r="Y820" s="7"/>
      <c r="Z820" s="7"/>
      <c r="AA820" s="7" t="str">
        <f>IFERROR((VLOOKUP(F820,#REF!,2,FALSE)),"-")</f>
        <v>-</v>
      </c>
      <c r="AB820" s="119" t="e">
        <f>CONCATENATE(F820," - ",I820," - ",#REF!,)</f>
        <v>#REF!</v>
      </c>
    </row>
    <row r="821" spans="1:28" s="116" customFormat="1" ht="15">
      <c r="A821" s="114"/>
      <c r="B821" s="120"/>
      <c r="C821" s="129" t="str">
        <f t="shared" si="36"/>
        <v>week-0</v>
      </c>
      <c r="D821" s="120" t="str">
        <f t="shared" si="37"/>
        <v>Jan</v>
      </c>
      <c r="E821" s="7"/>
      <c r="F821" s="7"/>
      <c r="G821" s="120"/>
      <c r="H821" s="120"/>
      <c r="I821" s="118"/>
      <c r="J821" s="118"/>
      <c r="K821" s="115"/>
      <c r="L821" s="115"/>
      <c r="M821" s="8"/>
      <c r="N821" s="8" t="str">
        <f t="shared" si="38"/>
        <v>-</v>
      </c>
      <c r="O821" s="126"/>
      <c r="P821" s="127"/>
      <c r="Q821" s="127"/>
      <c r="R821" s="126"/>
      <c r="S821" s="127"/>
      <c r="T821" s="8"/>
      <c r="U821" s="158"/>
      <c r="V821" s="7"/>
      <c r="W821" s="7"/>
      <c r="X821" s="146"/>
      <c r="Y821" s="7"/>
      <c r="Z821" s="7"/>
      <c r="AA821" s="7" t="str">
        <f>IFERROR((VLOOKUP(F821,#REF!,2,FALSE)),"-")</f>
        <v>-</v>
      </c>
      <c r="AB821" s="119" t="e">
        <f>CONCATENATE(F821," - ",I821," - ",#REF!,)</f>
        <v>#REF!</v>
      </c>
    </row>
    <row r="822" spans="1:28" s="116" customFormat="1" ht="15">
      <c r="A822" s="114"/>
      <c r="B822" s="120"/>
      <c r="C822" s="129" t="str">
        <f t="shared" si="36"/>
        <v>week-0</v>
      </c>
      <c r="D822" s="120" t="str">
        <f t="shared" si="37"/>
        <v>Jan</v>
      </c>
      <c r="E822" s="7"/>
      <c r="F822" s="7"/>
      <c r="G822" s="120"/>
      <c r="H822" s="120"/>
      <c r="I822" s="118"/>
      <c r="J822" s="118"/>
      <c r="K822" s="115"/>
      <c r="L822" s="115"/>
      <c r="M822" s="8"/>
      <c r="N822" s="8" t="str">
        <f t="shared" si="38"/>
        <v>-</v>
      </c>
      <c r="O822" s="126"/>
      <c r="P822" s="127"/>
      <c r="Q822" s="127"/>
      <c r="R822" s="126"/>
      <c r="S822" s="127"/>
      <c r="T822" s="8"/>
      <c r="U822" s="158"/>
      <c r="V822" s="7"/>
      <c r="W822" s="7"/>
      <c r="X822" s="146"/>
      <c r="Y822" s="7"/>
      <c r="Z822" s="7"/>
      <c r="AA822" s="7" t="str">
        <f>IFERROR((VLOOKUP(F822,#REF!,2,FALSE)),"-")</f>
        <v>-</v>
      </c>
      <c r="AB822" s="119" t="e">
        <f>CONCATENATE(F822," - ",I822," - ",#REF!,)</f>
        <v>#REF!</v>
      </c>
    </row>
    <row r="823" spans="1:28" s="116" customFormat="1" ht="15">
      <c r="A823" s="114"/>
      <c r="B823" s="120"/>
      <c r="C823" s="129" t="str">
        <f t="shared" si="36"/>
        <v>week-0</v>
      </c>
      <c r="D823" s="120" t="str">
        <f t="shared" si="37"/>
        <v>Jan</v>
      </c>
      <c r="E823" s="7"/>
      <c r="F823" s="7"/>
      <c r="G823" s="120"/>
      <c r="H823" s="120"/>
      <c r="I823" s="118"/>
      <c r="J823" s="118"/>
      <c r="K823" s="115"/>
      <c r="L823" s="115"/>
      <c r="M823" s="8"/>
      <c r="N823" s="8" t="str">
        <f t="shared" si="38"/>
        <v>-</v>
      </c>
      <c r="O823" s="126"/>
      <c r="P823" s="127"/>
      <c r="Q823" s="127"/>
      <c r="R823" s="126"/>
      <c r="S823" s="127"/>
      <c r="T823" s="8"/>
      <c r="U823" s="158"/>
      <c r="V823" s="7"/>
      <c r="W823" s="7"/>
      <c r="X823" s="146"/>
      <c r="Y823" s="7"/>
      <c r="Z823" s="7"/>
      <c r="AA823" s="7" t="str">
        <f>IFERROR((VLOOKUP(F823,#REF!,2,FALSE)),"-")</f>
        <v>-</v>
      </c>
      <c r="AB823" s="119" t="e">
        <f>CONCATENATE(F823," - ",I823," - ",#REF!,)</f>
        <v>#REF!</v>
      </c>
    </row>
    <row r="824" spans="1:28" s="116" customFormat="1" ht="15">
      <c r="A824" s="114"/>
      <c r="B824" s="120"/>
      <c r="C824" s="129" t="str">
        <f t="shared" si="36"/>
        <v>week-0</v>
      </c>
      <c r="D824" s="120" t="str">
        <f t="shared" si="37"/>
        <v>Jan</v>
      </c>
      <c r="E824" s="7"/>
      <c r="F824" s="7"/>
      <c r="G824" s="120"/>
      <c r="H824" s="120"/>
      <c r="I824" s="118"/>
      <c r="J824" s="118"/>
      <c r="K824" s="115"/>
      <c r="L824" s="115"/>
      <c r="M824" s="8"/>
      <c r="N824" s="8" t="str">
        <f t="shared" si="38"/>
        <v>-</v>
      </c>
      <c r="O824" s="126"/>
      <c r="P824" s="127"/>
      <c r="Q824" s="127"/>
      <c r="R824" s="126"/>
      <c r="S824" s="127"/>
      <c r="T824" s="8"/>
      <c r="U824" s="158"/>
      <c r="V824" s="7"/>
      <c r="W824" s="7"/>
      <c r="X824" s="146"/>
      <c r="Y824" s="7"/>
      <c r="Z824" s="7"/>
      <c r="AA824" s="7" t="str">
        <f>IFERROR((VLOOKUP(F824,#REF!,2,FALSE)),"-")</f>
        <v>-</v>
      </c>
      <c r="AB824" s="119" t="e">
        <f>CONCATENATE(F824," - ",I824," - ",#REF!,)</f>
        <v>#REF!</v>
      </c>
    </row>
    <row r="825" spans="1:28" s="116" customFormat="1" ht="15">
      <c r="A825" s="114"/>
      <c r="B825" s="120"/>
      <c r="C825" s="129" t="str">
        <f t="shared" si="36"/>
        <v>week-0</v>
      </c>
      <c r="D825" s="120" t="str">
        <f t="shared" si="37"/>
        <v>Jan</v>
      </c>
      <c r="E825" s="7"/>
      <c r="F825" s="7"/>
      <c r="G825" s="120"/>
      <c r="H825" s="120"/>
      <c r="I825" s="118"/>
      <c r="J825" s="118"/>
      <c r="K825" s="115"/>
      <c r="L825" s="115"/>
      <c r="M825" s="8"/>
      <c r="N825" s="8" t="str">
        <f t="shared" si="38"/>
        <v>-</v>
      </c>
      <c r="O825" s="126"/>
      <c r="P825" s="127"/>
      <c r="Q825" s="127"/>
      <c r="R825" s="126"/>
      <c r="S825" s="127"/>
      <c r="T825" s="8"/>
      <c r="U825" s="158"/>
      <c r="V825" s="7"/>
      <c r="W825" s="7"/>
      <c r="X825" s="146"/>
      <c r="Y825" s="7"/>
      <c r="Z825" s="7"/>
      <c r="AA825" s="7" t="str">
        <f>IFERROR((VLOOKUP(F825,#REF!,2,FALSE)),"-")</f>
        <v>-</v>
      </c>
      <c r="AB825" s="119" t="e">
        <f>CONCATENATE(F825," - ",I825," - ",#REF!,)</f>
        <v>#REF!</v>
      </c>
    </row>
    <row r="826" spans="1:28" s="116" customFormat="1" ht="15">
      <c r="A826" s="114"/>
      <c r="B826" s="120"/>
      <c r="C826" s="129" t="str">
        <f t="shared" si="36"/>
        <v>week-0</v>
      </c>
      <c r="D826" s="120" t="str">
        <f t="shared" si="37"/>
        <v>Jan</v>
      </c>
      <c r="E826" s="7"/>
      <c r="F826" s="7"/>
      <c r="G826" s="120"/>
      <c r="H826" s="120"/>
      <c r="I826" s="118"/>
      <c r="J826" s="118"/>
      <c r="K826" s="115"/>
      <c r="L826" s="115"/>
      <c r="M826" s="8"/>
      <c r="N826" s="8" t="str">
        <f t="shared" si="38"/>
        <v>-</v>
      </c>
      <c r="O826" s="126"/>
      <c r="P826" s="127"/>
      <c r="Q826" s="127"/>
      <c r="R826" s="126"/>
      <c r="S826" s="127"/>
      <c r="T826" s="8"/>
      <c r="U826" s="158"/>
      <c r="V826" s="7"/>
      <c r="W826" s="7"/>
      <c r="X826" s="146"/>
      <c r="Y826" s="7"/>
      <c r="Z826" s="7"/>
      <c r="AA826" s="7" t="str">
        <f>IFERROR((VLOOKUP(F826,#REF!,2,FALSE)),"-")</f>
        <v>-</v>
      </c>
      <c r="AB826" s="119" t="e">
        <f>CONCATENATE(F826," - ",I826," - ",#REF!,)</f>
        <v>#REF!</v>
      </c>
    </row>
    <row r="827" spans="1:28" s="116" customFormat="1" ht="15">
      <c r="A827" s="114"/>
      <c r="B827" s="120"/>
      <c r="C827" s="129" t="str">
        <f t="shared" si="36"/>
        <v>week-0</v>
      </c>
      <c r="D827" s="120" t="str">
        <f t="shared" si="37"/>
        <v>Jan</v>
      </c>
      <c r="E827" s="7"/>
      <c r="F827" s="7"/>
      <c r="G827" s="120"/>
      <c r="H827" s="120"/>
      <c r="I827" s="118"/>
      <c r="J827" s="118"/>
      <c r="K827" s="115"/>
      <c r="L827" s="115"/>
      <c r="M827" s="8"/>
      <c r="N827" s="8" t="str">
        <f t="shared" si="38"/>
        <v>-</v>
      </c>
      <c r="O827" s="126"/>
      <c r="P827" s="127"/>
      <c r="Q827" s="127"/>
      <c r="R827" s="126"/>
      <c r="S827" s="127"/>
      <c r="T827" s="8"/>
      <c r="U827" s="158"/>
      <c r="V827" s="7"/>
      <c r="W827" s="7"/>
      <c r="X827" s="146"/>
      <c r="Y827" s="7"/>
      <c r="Z827" s="7"/>
      <c r="AA827" s="7" t="str">
        <f>IFERROR((VLOOKUP(F827,#REF!,2,FALSE)),"-")</f>
        <v>-</v>
      </c>
      <c r="AB827" s="119" t="e">
        <f>CONCATENATE(F827," - ",I827," - ",#REF!,)</f>
        <v>#REF!</v>
      </c>
    </row>
    <row r="828" spans="1:28" s="116" customFormat="1" ht="15">
      <c r="A828" s="114"/>
      <c r="B828" s="120"/>
      <c r="C828" s="129" t="str">
        <f t="shared" si="36"/>
        <v>week-0</v>
      </c>
      <c r="D828" s="120" t="str">
        <f t="shared" si="37"/>
        <v>Jan</v>
      </c>
      <c r="E828" s="7"/>
      <c r="F828" s="7"/>
      <c r="G828" s="120"/>
      <c r="H828" s="120"/>
      <c r="I828" s="118"/>
      <c r="J828" s="118"/>
      <c r="K828" s="115"/>
      <c r="L828" s="115"/>
      <c r="M828" s="8"/>
      <c r="N828" s="8" t="str">
        <f t="shared" si="38"/>
        <v>-</v>
      </c>
      <c r="O828" s="126"/>
      <c r="P828" s="127"/>
      <c r="Q828" s="127"/>
      <c r="R828" s="126"/>
      <c r="S828" s="127"/>
      <c r="T828" s="8"/>
      <c r="U828" s="158"/>
      <c r="V828" s="7"/>
      <c r="W828" s="7"/>
      <c r="X828" s="146"/>
      <c r="Y828" s="7"/>
      <c r="Z828" s="7"/>
      <c r="AA828" s="7" t="str">
        <f>IFERROR((VLOOKUP(F828,#REF!,2,FALSE)),"-")</f>
        <v>-</v>
      </c>
      <c r="AB828" s="119" t="e">
        <f>CONCATENATE(F828," - ",I828," - ",#REF!,)</f>
        <v>#REF!</v>
      </c>
    </row>
    <row r="829" spans="1:28" s="116" customFormat="1" ht="15">
      <c r="A829" s="114"/>
      <c r="B829" s="120"/>
      <c r="C829" s="129" t="str">
        <f t="shared" si="36"/>
        <v>week-0</v>
      </c>
      <c r="D829" s="120" t="str">
        <f t="shared" si="37"/>
        <v>Jan</v>
      </c>
      <c r="E829" s="7"/>
      <c r="F829" s="7"/>
      <c r="G829" s="120"/>
      <c r="H829" s="120"/>
      <c r="I829" s="118"/>
      <c r="J829" s="118"/>
      <c r="K829" s="115"/>
      <c r="L829" s="115"/>
      <c r="M829" s="8"/>
      <c r="N829" s="8" t="str">
        <f t="shared" si="38"/>
        <v>-</v>
      </c>
      <c r="O829" s="126"/>
      <c r="P829" s="127"/>
      <c r="Q829" s="127"/>
      <c r="R829" s="126"/>
      <c r="S829" s="127"/>
      <c r="T829" s="8"/>
      <c r="U829" s="158"/>
      <c r="V829" s="7"/>
      <c r="W829" s="7"/>
      <c r="X829" s="146"/>
      <c r="Y829" s="7"/>
      <c r="Z829" s="7"/>
      <c r="AA829" s="7" t="str">
        <f>IFERROR((VLOOKUP(F829,#REF!,2,FALSE)),"-")</f>
        <v>-</v>
      </c>
      <c r="AB829" s="119" t="e">
        <f>CONCATENATE(F829," - ",I829," - ",#REF!,)</f>
        <v>#REF!</v>
      </c>
    </row>
    <row r="830" spans="1:28" s="116" customFormat="1" ht="15">
      <c r="A830" s="114"/>
      <c r="B830" s="120"/>
      <c r="C830" s="129" t="str">
        <f t="shared" si="36"/>
        <v>week-0</v>
      </c>
      <c r="D830" s="120" t="str">
        <f t="shared" si="37"/>
        <v>Jan</v>
      </c>
      <c r="E830" s="7"/>
      <c r="F830" s="7"/>
      <c r="G830" s="120"/>
      <c r="H830" s="120"/>
      <c r="I830" s="118"/>
      <c r="J830" s="118"/>
      <c r="K830" s="115"/>
      <c r="L830" s="115"/>
      <c r="M830" s="8"/>
      <c r="N830" s="8" t="str">
        <f t="shared" si="38"/>
        <v>-</v>
      </c>
      <c r="O830" s="126"/>
      <c r="P830" s="127"/>
      <c r="Q830" s="127"/>
      <c r="R830" s="126"/>
      <c r="S830" s="127"/>
      <c r="T830" s="8"/>
      <c r="U830" s="158"/>
      <c r="V830" s="7"/>
      <c r="W830" s="7"/>
      <c r="X830" s="146"/>
      <c r="Y830" s="7"/>
      <c r="Z830" s="7"/>
      <c r="AA830" s="7" t="str">
        <f>IFERROR((VLOOKUP(F830,#REF!,2,FALSE)),"-")</f>
        <v>-</v>
      </c>
      <c r="AB830" s="119" t="e">
        <f>CONCATENATE(F830," - ",I830," - ",#REF!,)</f>
        <v>#REF!</v>
      </c>
    </row>
    <row r="831" spans="1:28" s="116" customFormat="1" ht="15">
      <c r="A831" s="114"/>
      <c r="B831" s="120"/>
      <c r="C831" s="129" t="str">
        <f t="shared" si="36"/>
        <v>week-0</v>
      </c>
      <c r="D831" s="120" t="str">
        <f t="shared" si="37"/>
        <v>Jan</v>
      </c>
      <c r="E831" s="7"/>
      <c r="F831" s="7"/>
      <c r="G831" s="120"/>
      <c r="H831" s="120"/>
      <c r="I831" s="118"/>
      <c r="J831" s="118"/>
      <c r="K831" s="115"/>
      <c r="L831" s="115"/>
      <c r="M831" s="8"/>
      <c r="N831" s="8" t="str">
        <f t="shared" si="38"/>
        <v>-</v>
      </c>
      <c r="O831" s="126"/>
      <c r="P831" s="127"/>
      <c r="Q831" s="127"/>
      <c r="R831" s="126"/>
      <c r="S831" s="127"/>
      <c r="T831" s="8"/>
      <c r="U831" s="158"/>
      <c r="V831" s="7"/>
      <c r="W831" s="7"/>
      <c r="X831" s="146"/>
      <c r="Y831" s="7"/>
      <c r="Z831" s="7"/>
      <c r="AA831" s="7" t="str">
        <f>IFERROR((VLOOKUP(F831,#REF!,2,FALSE)),"-")</f>
        <v>-</v>
      </c>
      <c r="AB831" s="119" t="e">
        <f>CONCATENATE(F831," - ",I831," - ",#REF!,)</f>
        <v>#REF!</v>
      </c>
    </row>
    <row r="832" spans="1:28" s="116" customFormat="1" ht="15">
      <c r="A832" s="114"/>
      <c r="B832" s="120"/>
      <c r="C832" s="129" t="str">
        <f t="shared" si="36"/>
        <v>week-0</v>
      </c>
      <c r="D832" s="120" t="str">
        <f t="shared" si="37"/>
        <v>Jan</v>
      </c>
      <c r="E832" s="7"/>
      <c r="F832" s="7"/>
      <c r="G832" s="120"/>
      <c r="H832" s="120"/>
      <c r="I832" s="118"/>
      <c r="J832" s="118"/>
      <c r="K832" s="115"/>
      <c r="L832" s="115"/>
      <c r="M832" s="8"/>
      <c r="N832" s="8" t="str">
        <f t="shared" si="38"/>
        <v>-</v>
      </c>
      <c r="O832" s="126"/>
      <c r="P832" s="127"/>
      <c r="Q832" s="127"/>
      <c r="R832" s="126"/>
      <c r="S832" s="127"/>
      <c r="T832" s="8"/>
      <c r="U832" s="158"/>
      <c r="V832" s="7"/>
      <c r="W832" s="7"/>
      <c r="X832" s="146"/>
      <c r="Y832" s="7"/>
      <c r="Z832" s="7"/>
      <c r="AA832" s="7" t="str">
        <f>IFERROR((VLOOKUP(F832,#REF!,2,FALSE)),"-")</f>
        <v>-</v>
      </c>
      <c r="AB832" s="119" t="e">
        <f>CONCATENATE(F832," - ",I832," - ",#REF!,)</f>
        <v>#REF!</v>
      </c>
    </row>
    <row r="833" spans="1:28" s="116" customFormat="1" ht="15">
      <c r="A833" s="114"/>
      <c r="B833" s="120"/>
      <c r="C833" s="129" t="str">
        <f t="shared" si="36"/>
        <v>week-0</v>
      </c>
      <c r="D833" s="120" t="str">
        <f t="shared" si="37"/>
        <v>Jan</v>
      </c>
      <c r="E833" s="7"/>
      <c r="F833" s="7"/>
      <c r="G833" s="120"/>
      <c r="H833" s="120"/>
      <c r="I833" s="118"/>
      <c r="J833" s="118"/>
      <c r="K833" s="115"/>
      <c r="L833" s="115"/>
      <c r="M833" s="8"/>
      <c r="N833" s="8" t="str">
        <f t="shared" si="38"/>
        <v>-</v>
      </c>
      <c r="O833" s="126"/>
      <c r="P833" s="127"/>
      <c r="Q833" s="127"/>
      <c r="R833" s="126"/>
      <c r="S833" s="127"/>
      <c r="T833" s="8"/>
      <c r="U833" s="158"/>
      <c r="V833" s="7"/>
      <c r="W833" s="7"/>
      <c r="X833" s="146"/>
      <c r="Y833" s="7"/>
      <c r="Z833" s="7"/>
      <c r="AA833" s="7" t="str">
        <f>IFERROR((VLOOKUP(F833,#REF!,2,FALSE)),"-")</f>
        <v>-</v>
      </c>
      <c r="AB833" s="119" t="e">
        <f>CONCATENATE(F833," - ",I833," - ",#REF!,)</f>
        <v>#REF!</v>
      </c>
    </row>
    <row r="834" spans="1:28" s="116" customFormat="1" ht="15">
      <c r="A834" s="114"/>
      <c r="B834" s="120"/>
      <c r="C834" s="129" t="str">
        <f t="shared" si="36"/>
        <v>week-0</v>
      </c>
      <c r="D834" s="120" t="str">
        <f t="shared" si="37"/>
        <v>Jan</v>
      </c>
      <c r="E834" s="7"/>
      <c r="F834" s="7"/>
      <c r="G834" s="120"/>
      <c r="H834" s="120"/>
      <c r="I834" s="118"/>
      <c r="J834" s="118"/>
      <c r="K834" s="115"/>
      <c r="L834" s="115"/>
      <c r="M834" s="8"/>
      <c r="N834" s="8" t="str">
        <f t="shared" si="38"/>
        <v>-</v>
      </c>
      <c r="O834" s="126"/>
      <c r="P834" s="127"/>
      <c r="Q834" s="127"/>
      <c r="R834" s="126"/>
      <c r="S834" s="127"/>
      <c r="T834" s="8"/>
      <c r="U834" s="158"/>
      <c r="V834" s="7"/>
      <c r="W834" s="7"/>
      <c r="X834" s="146"/>
      <c r="Y834" s="7"/>
      <c r="Z834" s="7"/>
      <c r="AA834" s="7" t="str">
        <f>IFERROR((VLOOKUP(F834,#REF!,2,FALSE)),"-")</f>
        <v>-</v>
      </c>
      <c r="AB834" s="119" t="e">
        <f>CONCATENATE(F834," - ",I834," - ",#REF!,)</f>
        <v>#REF!</v>
      </c>
    </row>
    <row r="835" spans="1:28" s="116" customFormat="1" ht="15">
      <c r="A835" s="114"/>
      <c r="B835" s="120"/>
      <c r="C835" s="129" t="str">
        <f t="shared" si="36"/>
        <v>week-0</v>
      </c>
      <c r="D835" s="120" t="str">
        <f t="shared" si="37"/>
        <v>Jan</v>
      </c>
      <c r="E835" s="7"/>
      <c r="F835" s="7"/>
      <c r="G835" s="120"/>
      <c r="H835" s="120"/>
      <c r="I835" s="118"/>
      <c r="J835" s="118"/>
      <c r="K835" s="115"/>
      <c r="L835" s="115"/>
      <c r="M835" s="8"/>
      <c r="N835" s="8" t="str">
        <f t="shared" si="38"/>
        <v>-</v>
      </c>
      <c r="O835" s="126"/>
      <c r="P835" s="127"/>
      <c r="Q835" s="127"/>
      <c r="R835" s="126"/>
      <c r="S835" s="127"/>
      <c r="T835" s="8"/>
      <c r="U835" s="158"/>
      <c r="V835" s="7"/>
      <c r="W835" s="7"/>
      <c r="X835" s="146"/>
      <c r="Y835" s="7"/>
      <c r="Z835" s="7"/>
      <c r="AA835" s="7" t="str">
        <f>IFERROR((VLOOKUP(F835,#REF!,2,FALSE)),"-")</f>
        <v>-</v>
      </c>
      <c r="AB835" s="119" t="e">
        <f>CONCATENATE(F835," - ",I835," - ",#REF!,)</f>
        <v>#REF!</v>
      </c>
    </row>
    <row r="836" spans="1:28" s="116" customFormat="1" ht="15">
      <c r="A836" s="114"/>
      <c r="B836" s="120"/>
      <c r="C836" s="129" t="str">
        <f t="shared" ref="C836:C899" si="39">"week-"&amp;WEEKNUM(B836)</f>
        <v>week-0</v>
      </c>
      <c r="D836" s="120" t="str">
        <f t="shared" ref="D836:D899" si="40">TEXT(B836,"mmm")</f>
        <v>Jan</v>
      </c>
      <c r="E836" s="7"/>
      <c r="F836" s="7"/>
      <c r="G836" s="120"/>
      <c r="H836" s="120"/>
      <c r="I836" s="118"/>
      <c r="J836" s="118"/>
      <c r="K836" s="115"/>
      <c r="L836" s="115"/>
      <c r="M836" s="8"/>
      <c r="N836" s="8" t="str">
        <f t="shared" ref="N836:N899" si="41">IF(ISBLANK(M836),"-",(M836/60))</f>
        <v>-</v>
      </c>
      <c r="O836" s="126"/>
      <c r="P836" s="127"/>
      <c r="Q836" s="127"/>
      <c r="R836" s="126"/>
      <c r="S836" s="127"/>
      <c r="T836" s="8"/>
      <c r="U836" s="158"/>
      <c r="V836" s="7"/>
      <c r="W836" s="7"/>
      <c r="X836" s="146"/>
      <c r="Y836" s="7"/>
      <c r="Z836" s="7"/>
      <c r="AA836" s="7" t="str">
        <f>IFERROR((VLOOKUP(F836,#REF!,2,FALSE)),"-")</f>
        <v>-</v>
      </c>
      <c r="AB836" s="119" t="e">
        <f>CONCATENATE(F836," - ",I836," - ",#REF!,)</f>
        <v>#REF!</v>
      </c>
    </row>
    <row r="837" spans="1:28" s="116" customFormat="1" ht="15">
      <c r="A837" s="114"/>
      <c r="B837" s="120"/>
      <c r="C837" s="129" t="str">
        <f t="shared" si="39"/>
        <v>week-0</v>
      </c>
      <c r="D837" s="120" t="str">
        <f t="shared" si="40"/>
        <v>Jan</v>
      </c>
      <c r="E837" s="7"/>
      <c r="F837" s="7"/>
      <c r="G837" s="120"/>
      <c r="H837" s="120"/>
      <c r="I837" s="118"/>
      <c r="J837" s="118"/>
      <c r="K837" s="115"/>
      <c r="L837" s="115"/>
      <c r="M837" s="8"/>
      <c r="N837" s="8" t="str">
        <f t="shared" si="41"/>
        <v>-</v>
      </c>
      <c r="O837" s="126"/>
      <c r="P837" s="127"/>
      <c r="Q837" s="127"/>
      <c r="R837" s="126"/>
      <c r="S837" s="127"/>
      <c r="T837" s="8"/>
      <c r="U837" s="158"/>
      <c r="V837" s="7"/>
      <c r="W837" s="7"/>
      <c r="X837" s="146"/>
      <c r="Y837" s="7"/>
      <c r="Z837" s="7"/>
      <c r="AA837" s="7" t="str">
        <f>IFERROR((VLOOKUP(F837,#REF!,2,FALSE)),"-")</f>
        <v>-</v>
      </c>
      <c r="AB837" s="119" t="e">
        <f>CONCATENATE(F837," - ",I837," - ",#REF!,)</f>
        <v>#REF!</v>
      </c>
    </row>
    <row r="838" spans="1:28" s="116" customFormat="1" ht="15">
      <c r="A838" s="114"/>
      <c r="B838" s="120"/>
      <c r="C838" s="129" t="str">
        <f t="shared" si="39"/>
        <v>week-0</v>
      </c>
      <c r="D838" s="120" t="str">
        <f t="shared" si="40"/>
        <v>Jan</v>
      </c>
      <c r="E838" s="7"/>
      <c r="F838" s="7"/>
      <c r="G838" s="120"/>
      <c r="H838" s="120"/>
      <c r="I838" s="118"/>
      <c r="J838" s="118"/>
      <c r="K838" s="115"/>
      <c r="L838" s="115"/>
      <c r="M838" s="8"/>
      <c r="N838" s="8" t="str">
        <f t="shared" si="41"/>
        <v>-</v>
      </c>
      <c r="O838" s="126"/>
      <c r="P838" s="127"/>
      <c r="Q838" s="127"/>
      <c r="R838" s="126"/>
      <c r="S838" s="127"/>
      <c r="T838" s="8"/>
      <c r="U838" s="158"/>
      <c r="V838" s="7"/>
      <c r="W838" s="7"/>
      <c r="X838" s="146"/>
      <c r="Y838" s="7"/>
      <c r="Z838" s="7"/>
      <c r="AA838" s="7" t="str">
        <f>IFERROR((VLOOKUP(F838,#REF!,2,FALSE)),"-")</f>
        <v>-</v>
      </c>
      <c r="AB838" s="119" t="e">
        <f>CONCATENATE(F838," - ",I838," - ",#REF!,)</f>
        <v>#REF!</v>
      </c>
    </row>
    <row r="839" spans="1:28" s="116" customFormat="1" ht="15">
      <c r="A839" s="114"/>
      <c r="B839" s="120"/>
      <c r="C839" s="129" t="str">
        <f t="shared" si="39"/>
        <v>week-0</v>
      </c>
      <c r="D839" s="120" t="str">
        <f t="shared" si="40"/>
        <v>Jan</v>
      </c>
      <c r="E839" s="7"/>
      <c r="F839" s="7"/>
      <c r="G839" s="120"/>
      <c r="H839" s="120"/>
      <c r="I839" s="118"/>
      <c r="J839" s="118"/>
      <c r="K839" s="115"/>
      <c r="L839" s="115"/>
      <c r="M839" s="8"/>
      <c r="N839" s="8" t="str">
        <f t="shared" si="41"/>
        <v>-</v>
      </c>
      <c r="O839" s="126"/>
      <c r="P839" s="127"/>
      <c r="Q839" s="127"/>
      <c r="R839" s="126"/>
      <c r="S839" s="127"/>
      <c r="T839" s="8"/>
      <c r="U839" s="158"/>
      <c r="V839" s="7"/>
      <c r="W839" s="7"/>
      <c r="X839" s="146"/>
      <c r="Y839" s="7"/>
      <c r="Z839" s="7"/>
      <c r="AA839" s="7" t="str">
        <f>IFERROR((VLOOKUP(F839,#REF!,2,FALSE)),"-")</f>
        <v>-</v>
      </c>
      <c r="AB839" s="119" t="e">
        <f>CONCATENATE(F839," - ",I839," - ",#REF!,)</f>
        <v>#REF!</v>
      </c>
    </row>
    <row r="840" spans="1:28" s="116" customFormat="1" ht="15">
      <c r="A840" s="114"/>
      <c r="B840" s="120"/>
      <c r="C840" s="129" t="str">
        <f t="shared" si="39"/>
        <v>week-0</v>
      </c>
      <c r="D840" s="120" t="str">
        <f t="shared" si="40"/>
        <v>Jan</v>
      </c>
      <c r="E840" s="7"/>
      <c r="F840" s="7"/>
      <c r="G840" s="120"/>
      <c r="H840" s="120"/>
      <c r="I840" s="118"/>
      <c r="J840" s="118"/>
      <c r="K840" s="115"/>
      <c r="L840" s="115"/>
      <c r="M840" s="8"/>
      <c r="N840" s="8" t="str">
        <f t="shared" si="41"/>
        <v>-</v>
      </c>
      <c r="O840" s="126"/>
      <c r="P840" s="127"/>
      <c r="Q840" s="127"/>
      <c r="R840" s="126"/>
      <c r="S840" s="127"/>
      <c r="T840" s="8"/>
      <c r="U840" s="158"/>
      <c r="V840" s="7"/>
      <c r="W840" s="7"/>
      <c r="X840" s="146"/>
      <c r="Y840" s="7"/>
      <c r="Z840" s="7"/>
      <c r="AA840" s="7" t="str">
        <f>IFERROR((VLOOKUP(F840,#REF!,2,FALSE)),"-")</f>
        <v>-</v>
      </c>
      <c r="AB840" s="119" t="e">
        <f>CONCATENATE(F840," - ",I840," - ",#REF!,)</f>
        <v>#REF!</v>
      </c>
    </row>
    <row r="841" spans="1:28" s="116" customFormat="1" ht="15">
      <c r="A841" s="114"/>
      <c r="B841" s="120"/>
      <c r="C841" s="129" t="str">
        <f t="shared" si="39"/>
        <v>week-0</v>
      </c>
      <c r="D841" s="120" t="str">
        <f t="shared" si="40"/>
        <v>Jan</v>
      </c>
      <c r="E841" s="7"/>
      <c r="F841" s="7"/>
      <c r="G841" s="120"/>
      <c r="H841" s="120"/>
      <c r="I841" s="118"/>
      <c r="J841" s="118"/>
      <c r="K841" s="115"/>
      <c r="L841" s="115"/>
      <c r="M841" s="8"/>
      <c r="N841" s="8" t="str">
        <f t="shared" si="41"/>
        <v>-</v>
      </c>
      <c r="O841" s="126"/>
      <c r="P841" s="127"/>
      <c r="Q841" s="127"/>
      <c r="R841" s="126"/>
      <c r="S841" s="127"/>
      <c r="T841" s="8"/>
      <c r="U841" s="158"/>
      <c r="V841" s="7"/>
      <c r="W841" s="7"/>
      <c r="X841" s="146"/>
      <c r="Y841" s="7"/>
      <c r="Z841" s="7"/>
      <c r="AA841" s="7" t="str">
        <f>IFERROR((VLOOKUP(F841,#REF!,2,FALSE)),"-")</f>
        <v>-</v>
      </c>
      <c r="AB841" s="119" t="e">
        <f>CONCATENATE(F841," - ",I841," - ",#REF!,)</f>
        <v>#REF!</v>
      </c>
    </row>
    <row r="842" spans="1:28" s="116" customFormat="1" ht="15">
      <c r="A842" s="114"/>
      <c r="B842" s="120"/>
      <c r="C842" s="129" t="str">
        <f t="shared" si="39"/>
        <v>week-0</v>
      </c>
      <c r="D842" s="120" t="str">
        <f t="shared" si="40"/>
        <v>Jan</v>
      </c>
      <c r="E842" s="7"/>
      <c r="F842" s="7"/>
      <c r="G842" s="120"/>
      <c r="H842" s="120"/>
      <c r="I842" s="118"/>
      <c r="J842" s="118"/>
      <c r="K842" s="115"/>
      <c r="L842" s="115"/>
      <c r="M842" s="8"/>
      <c r="N842" s="8" t="str">
        <f t="shared" si="41"/>
        <v>-</v>
      </c>
      <c r="O842" s="127"/>
      <c r="P842" s="127"/>
      <c r="Q842" s="127"/>
      <c r="R842" s="127"/>
      <c r="S842" s="127"/>
      <c r="T842" s="139"/>
      <c r="U842" s="158"/>
      <c r="V842" s="7"/>
      <c r="W842" s="7"/>
      <c r="X842" s="146"/>
      <c r="Y842" s="7"/>
      <c r="Z842" s="7"/>
      <c r="AA842" s="7" t="str">
        <f>IFERROR((VLOOKUP(F842,#REF!,2,FALSE)),"-")</f>
        <v>-</v>
      </c>
      <c r="AB842" s="119" t="e">
        <f>CONCATENATE(F842," - ",I842," - ",#REF!,)</f>
        <v>#REF!</v>
      </c>
    </row>
    <row r="843" spans="1:28" s="116" customFormat="1" ht="15">
      <c r="A843" s="114"/>
      <c r="B843" s="120"/>
      <c r="C843" s="129" t="str">
        <f t="shared" si="39"/>
        <v>week-0</v>
      </c>
      <c r="D843" s="120" t="str">
        <f t="shared" si="40"/>
        <v>Jan</v>
      </c>
      <c r="E843" s="7"/>
      <c r="F843" s="7"/>
      <c r="G843" s="120"/>
      <c r="H843" s="120"/>
      <c r="I843" s="118"/>
      <c r="J843" s="118"/>
      <c r="K843" s="115"/>
      <c r="L843" s="115"/>
      <c r="M843" s="8"/>
      <c r="N843" s="8" t="str">
        <f t="shared" si="41"/>
        <v>-</v>
      </c>
      <c r="O843" s="126"/>
      <c r="P843" s="127"/>
      <c r="Q843" s="127"/>
      <c r="R843" s="126"/>
      <c r="S843" s="127"/>
      <c r="T843" s="8"/>
      <c r="U843" s="158"/>
      <c r="V843" s="7"/>
      <c r="W843" s="7"/>
      <c r="X843" s="146"/>
      <c r="Y843" s="7"/>
      <c r="Z843" s="7"/>
      <c r="AA843" s="7" t="str">
        <f>IFERROR((VLOOKUP(F843,#REF!,2,FALSE)),"-")</f>
        <v>-</v>
      </c>
      <c r="AB843" s="119" t="e">
        <f>CONCATENATE(F843," - ",I843," - ",#REF!,)</f>
        <v>#REF!</v>
      </c>
    </row>
    <row r="844" spans="1:28" s="116" customFormat="1" ht="15">
      <c r="A844" s="114"/>
      <c r="B844" s="120"/>
      <c r="C844" s="129" t="str">
        <f t="shared" si="39"/>
        <v>week-0</v>
      </c>
      <c r="D844" s="120" t="str">
        <f t="shared" si="40"/>
        <v>Jan</v>
      </c>
      <c r="E844" s="7"/>
      <c r="F844" s="7"/>
      <c r="G844" s="120"/>
      <c r="H844" s="120"/>
      <c r="I844" s="118"/>
      <c r="J844" s="118"/>
      <c r="K844" s="115"/>
      <c r="L844" s="115"/>
      <c r="M844" s="8"/>
      <c r="N844" s="8" t="str">
        <f t="shared" si="41"/>
        <v>-</v>
      </c>
      <c r="O844" s="126"/>
      <c r="P844" s="127"/>
      <c r="Q844" s="127"/>
      <c r="R844" s="126"/>
      <c r="S844" s="127"/>
      <c r="T844" s="8"/>
      <c r="U844" s="158"/>
      <c r="V844" s="7"/>
      <c r="W844" s="7"/>
      <c r="X844" s="146"/>
      <c r="Y844" s="7"/>
      <c r="Z844" s="7"/>
      <c r="AA844" s="7" t="str">
        <f>IFERROR((VLOOKUP(F844,#REF!,2,FALSE)),"-")</f>
        <v>-</v>
      </c>
      <c r="AB844" s="119" t="e">
        <f>CONCATENATE(F844," - ",I844," - ",#REF!,)</f>
        <v>#REF!</v>
      </c>
    </row>
    <row r="845" spans="1:28" s="116" customFormat="1" ht="15">
      <c r="A845" s="114"/>
      <c r="B845" s="120"/>
      <c r="C845" s="129" t="str">
        <f t="shared" si="39"/>
        <v>week-0</v>
      </c>
      <c r="D845" s="120" t="str">
        <f t="shared" si="40"/>
        <v>Jan</v>
      </c>
      <c r="E845" s="7"/>
      <c r="F845" s="7"/>
      <c r="G845" s="120"/>
      <c r="H845" s="120"/>
      <c r="I845" s="118"/>
      <c r="J845" s="118"/>
      <c r="K845" s="115"/>
      <c r="L845" s="115"/>
      <c r="M845" s="8"/>
      <c r="N845" s="8" t="str">
        <f t="shared" si="41"/>
        <v>-</v>
      </c>
      <c r="O845" s="126"/>
      <c r="P845" s="127"/>
      <c r="Q845" s="127"/>
      <c r="R845" s="126"/>
      <c r="S845" s="127"/>
      <c r="T845" s="8"/>
      <c r="U845" s="158"/>
      <c r="V845" s="7"/>
      <c r="W845" s="7"/>
      <c r="X845" s="146"/>
      <c r="Y845" s="7"/>
      <c r="Z845" s="7"/>
      <c r="AA845" s="7" t="str">
        <f>IFERROR((VLOOKUP(F845,#REF!,2,FALSE)),"-")</f>
        <v>-</v>
      </c>
      <c r="AB845" s="119" t="e">
        <f>CONCATENATE(F845," - ",I845," - ",#REF!,)</f>
        <v>#REF!</v>
      </c>
    </row>
    <row r="846" spans="1:28" s="116" customFormat="1" ht="15">
      <c r="A846" s="114"/>
      <c r="B846" s="120"/>
      <c r="C846" s="129" t="str">
        <f t="shared" si="39"/>
        <v>week-0</v>
      </c>
      <c r="D846" s="120" t="str">
        <f t="shared" si="40"/>
        <v>Jan</v>
      </c>
      <c r="E846" s="7"/>
      <c r="F846" s="7"/>
      <c r="G846" s="120"/>
      <c r="H846" s="120"/>
      <c r="I846" s="118"/>
      <c r="J846" s="118"/>
      <c r="K846" s="115"/>
      <c r="L846" s="115"/>
      <c r="M846" s="8"/>
      <c r="N846" s="8" t="str">
        <f t="shared" si="41"/>
        <v>-</v>
      </c>
      <c r="O846" s="126"/>
      <c r="P846" s="127"/>
      <c r="Q846" s="127"/>
      <c r="R846" s="126"/>
      <c r="S846" s="127"/>
      <c r="T846" s="8"/>
      <c r="U846" s="158"/>
      <c r="V846" s="7"/>
      <c r="W846" s="7"/>
      <c r="X846" s="146"/>
      <c r="Y846" s="7"/>
      <c r="Z846" s="7"/>
      <c r="AA846" s="7" t="str">
        <f>IFERROR((VLOOKUP(F846,#REF!,2,FALSE)),"-")</f>
        <v>-</v>
      </c>
      <c r="AB846" s="119" t="e">
        <f>CONCATENATE(F846," - ",I846," - ",#REF!,)</f>
        <v>#REF!</v>
      </c>
    </row>
    <row r="847" spans="1:28" s="116" customFormat="1" ht="15">
      <c r="A847" s="114"/>
      <c r="B847" s="120"/>
      <c r="C847" s="129" t="str">
        <f t="shared" si="39"/>
        <v>week-0</v>
      </c>
      <c r="D847" s="120" t="str">
        <f t="shared" si="40"/>
        <v>Jan</v>
      </c>
      <c r="E847" s="7"/>
      <c r="F847" s="7"/>
      <c r="G847" s="120"/>
      <c r="H847" s="120"/>
      <c r="I847" s="118"/>
      <c r="J847" s="118"/>
      <c r="K847" s="115"/>
      <c r="L847" s="115"/>
      <c r="M847" s="8"/>
      <c r="N847" s="8" t="str">
        <f t="shared" si="41"/>
        <v>-</v>
      </c>
      <c r="O847" s="126"/>
      <c r="P847" s="127"/>
      <c r="Q847" s="127"/>
      <c r="R847" s="126"/>
      <c r="S847" s="127"/>
      <c r="T847" s="8"/>
      <c r="U847" s="158"/>
      <c r="V847" s="7"/>
      <c r="W847" s="7"/>
      <c r="X847" s="146"/>
      <c r="Y847" s="7"/>
      <c r="Z847" s="7"/>
      <c r="AA847" s="7" t="str">
        <f>IFERROR((VLOOKUP(F847,#REF!,2,FALSE)),"-")</f>
        <v>-</v>
      </c>
      <c r="AB847" s="119" t="e">
        <f>CONCATENATE(F847," - ",I847," - ",#REF!,)</f>
        <v>#REF!</v>
      </c>
    </row>
    <row r="848" spans="1:28" s="116" customFormat="1" ht="15">
      <c r="A848" s="114"/>
      <c r="B848" s="120"/>
      <c r="C848" s="129" t="str">
        <f t="shared" si="39"/>
        <v>week-0</v>
      </c>
      <c r="D848" s="120" t="str">
        <f t="shared" si="40"/>
        <v>Jan</v>
      </c>
      <c r="E848" s="7"/>
      <c r="F848" s="7"/>
      <c r="G848" s="120"/>
      <c r="H848" s="120"/>
      <c r="I848" s="118"/>
      <c r="J848" s="118"/>
      <c r="K848" s="115"/>
      <c r="L848" s="115"/>
      <c r="M848" s="8"/>
      <c r="N848" s="8" t="str">
        <f t="shared" si="41"/>
        <v>-</v>
      </c>
      <c r="O848" s="126"/>
      <c r="P848" s="127"/>
      <c r="Q848" s="127"/>
      <c r="R848" s="126"/>
      <c r="S848" s="127"/>
      <c r="T848" s="8"/>
      <c r="U848" s="158"/>
      <c r="V848" s="7"/>
      <c r="W848" s="7"/>
      <c r="X848" s="146"/>
      <c r="Y848" s="7"/>
      <c r="Z848" s="7"/>
      <c r="AA848" s="7" t="str">
        <f>IFERROR((VLOOKUP(F848,#REF!,2,FALSE)),"-")</f>
        <v>-</v>
      </c>
      <c r="AB848" s="119" t="e">
        <f>CONCATENATE(F848," - ",I848," - ",#REF!,)</f>
        <v>#REF!</v>
      </c>
    </row>
    <row r="849" spans="1:28" s="116" customFormat="1" ht="15">
      <c r="A849" s="114"/>
      <c r="B849" s="120"/>
      <c r="C849" s="129" t="str">
        <f t="shared" si="39"/>
        <v>week-0</v>
      </c>
      <c r="D849" s="120" t="str">
        <f t="shared" si="40"/>
        <v>Jan</v>
      </c>
      <c r="E849" s="7"/>
      <c r="F849" s="7"/>
      <c r="G849" s="120"/>
      <c r="H849" s="120"/>
      <c r="I849" s="118"/>
      <c r="J849" s="118"/>
      <c r="K849" s="115"/>
      <c r="L849" s="115"/>
      <c r="M849" s="8"/>
      <c r="N849" s="8" t="str">
        <f t="shared" si="41"/>
        <v>-</v>
      </c>
      <c r="O849" s="126"/>
      <c r="P849" s="127"/>
      <c r="Q849" s="127"/>
      <c r="R849" s="126"/>
      <c r="S849" s="127"/>
      <c r="T849" s="8"/>
      <c r="U849" s="158"/>
      <c r="V849" s="7"/>
      <c r="W849" s="7"/>
      <c r="X849" s="146"/>
      <c r="Y849" s="7"/>
      <c r="Z849" s="7"/>
      <c r="AA849" s="7" t="str">
        <f>IFERROR((VLOOKUP(F849,#REF!,2,FALSE)),"-")</f>
        <v>-</v>
      </c>
      <c r="AB849" s="119" t="e">
        <f>CONCATENATE(F849," - ",I849," - ",#REF!,)</f>
        <v>#REF!</v>
      </c>
    </row>
    <row r="850" spans="1:28" s="116" customFormat="1" ht="15">
      <c r="A850" s="114"/>
      <c r="B850" s="120"/>
      <c r="C850" s="129" t="str">
        <f t="shared" si="39"/>
        <v>week-0</v>
      </c>
      <c r="D850" s="120" t="str">
        <f t="shared" si="40"/>
        <v>Jan</v>
      </c>
      <c r="E850" s="7"/>
      <c r="F850" s="7"/>
      <c r="G850" s="120"/>
      <c r="H850" s="120"/>
      <c r="I850" s="118"/>
      <c r="J850" s="118"/>
      <c r="K850" s="115"/>
      <c r="L850" s="115"/>
      <c r="M850" s="8"/>
      <c r="N850" s="8" t="str">
        <f t="shared" si="41"/>
        <v>-</v>
      </c>
      <c r="O850" s="127"/>
      <c r="P850" s="127"/>
      <c r="Q850" s="127"/>
      <c r="R850" s="127"/>
      <c r="S850" s="127"/>
      <c r="T850" s="139"/>
      <c r="U850" s="158"/>
      <c r="V850" s="7"/>
      <c r="W850" s="7"/>
      <c r="X850" s="146"/>
      <c r="Y850" s="7"/>
      <c r="Z850" s="7"/>
      <c r="AA850" s="7" t="str">
        <f>IFERROR((VLOOKUP(F850,#REF!,2,FALSE)),"-")</f>
        <v>-</v>
      </c>
      <c r="AB850" s="119" t="e">
        <f>CONCATENATE(F850," - ",I850," - ",#REF!,)</f>
        <v>#REF!</v>
      </c>
    </row>
    <row r="851" spans="1:28" s="116" customFormat="1" ht="15">
      <c r="A851" s="114"/>
      <c r="B851" s="120"/>
      <c r="C851" s="129" t="str">
        <f t="shared" si="39"/>
        <v>week-0</v>
      </c>
      <c r="D851" s="120" t="str">
        <f t="shared" si="40"/>
        <v>Jan</v>
      </c>
      <c r="E851" s="7"/>
      <c r="F851" s="7"/>
      <c r="G851" s="120"/>
      <c r="H851" s="120"/>
      <c r="I851" s="118"/>
      <c r="J851" s="118"/>
      <c r="K851" s="115"/>
      <c r="L851" s="115"/>
      <c r="M851" s="8"/>
      <c r="N851" s="8" t="str">
        <f t="shared" si="41"/>
        <v>-</v>
      </c>
      <c r="O851" s="126"/>
      <c r="P851" s="127"/>
      <c r="Q851" s="127"/>
      <c r="R851" s="126"/>
      <c r="S851" s="127"/>
      <c r="T851" s="8"/>
      <c r="U851" s="158"/>
      <c r="V851" s="7"/>
      <c r="W851" s="7"/>
      <c r="X851" s="146"/>
      <c r="Y851" s="7"/>
      <c r="Z851" s="7"/>
      <c r="AA851" s="7" t="str">
        <f>IFERROR((VLOOKUP(F851,#REF!,2,FALSE)),"-")</f>
        <v>-</v>
      </c>
      <c r="AB851" s="119" t="e">
        <f>CONCATENATE(F851," - ",I851," - ",#REF!,)</f>
        <v>#REF!</v>
      </c>
    </row>
    <row r="852" spans="1:28" s="116" customFormat="1" ht="15">
      <c r="A852" s="114"/>
      <c r="B852" s="120"/>
      <c r="C852" s="129" t="str">
        <f t="shared" si="39"/>
        <v>week-0</v>
      </c>
      <c r="D852" s="120" t="str">
        <f t="shared" si="40"/>
        <v>Jan</v>
      </c>
      <c r="E852" s="7"/>
      <c r="F852" s="7"/>
      <c r="G852" s="120"/>
      <c r="H852" s="120"/>
      <c r="I852" s="118"/>
      <c r="J852" s="118"/>
      <c r="K852" s="115"/>
      <c r="L852" s="115"/>
      <c r="M852" s="8"/>
      <c r="N852" s="8" t="str">
        <f t="shared" si="41"/>
        <v>-</v>
      </c>
      <c r="O852" s="126"/>
      <c r="P852" s="127"/>
      <c r="Q852" s="127"/>
      <c r="R852" s="126"/>
      <c r="S852" s="127"/>
      <c r="T852" s="8"/>
      <c r="U852" s="158"/>
      <c r="V852" s="7"/>
      <c r="W852" s="7"/>
      <c r="X852" s="146"/>
      <c r="Y852" s="7"/>
      <c r="Z852" s="7"/>
      <c r="AA852" s="7" t="str">
        <f>IFERROR((VLOOKUP(F852,#REF!,2,FALSE)),"-")</f>
        <v>-</v>
      </c>
      <c r="AB852" s="119" t="e">
        <f>CONCATENATE(F852," - ",I852," - ",#REF!,)</f>
        <v>#REF!</v>
      </c>
    </row>
    <row r="853" spans="1:28" s="116" customFormat="1" ht="15">
      <c r="A853" s="114"/>
      <c r="B853" s="120"/>
      <c r="C853" s="129" t="str">
        <f t="shared" si="39"/>
        <v>week-0</v>
      </c>
      <c r="D853" s="120" t="str">
        <f t="shared" si="40"/>
        <v>Jan</v>
      </c>
      <c r="E853" s="7"/>
      <c r="F853" s="7"/>
      <c r="G853" s="120"/>
      <c r="H853" s="120"/>
      <c r="I853" s="118"/>
      <c r="J853" s="118"/>
      <c r="K853" s="115"/>
      <c r="L853" s="115"/>
      <c r="M853" s="8"/>
      <c r="N853" s="8" t="str">
        <f t="shared" si="41"/>
        <v>-</v>
      </c>
      <c r="O853" s="126"/>
      <c r="P853" s="127"/>
      <c r="Q853" s="127"/>
      <c r="R853" s="126"/>
      <c r="S853" s="127"/>
      <c r="T853" s="8"/>
      <c r="U853" s="158"/>
      <c r="V853" s="7"/>
      <c r="W853" s="7"/>
      <c r="X853" s="146"/>
      <c r="Y853" s="7"/>
      <c r="Z853" s="7"/>
      <c r="AA853" s="7" t="str">
        <f>IFERROR((VLOOKUP(F853,#REF!,2,FALSE)),"-")</f>
        <v>-</v>
      </c>
      <c r="AB853" s="119" t="e">
        <f>CONCATENATE(F853," - ",I853," - ",#REF!,)</f>
        <v>#REF!</v>
      </c>
    </row>
    <row r="854" spans="1:28" s="116" customFormat="1" ht="15">
      <c r="A854" s="114"/>
      <c r="B854" s="120"/>
      <c r="C854" s="129" t="str">
        <f t="shared" si="39"/>
        <v>week-0</v>
      </c>
      <c r="D854" s="120" t="str">
        <f t="shared" si="40"/>
        <v>Jan</v>
      </c>
      <c r="E854" s="7"/>
      <c r="F854" s="7"/>
      <c r="G854" s="120"/>
      <c r="H854" s="120"/>
      <c r="I854" s="118"/>
      <c r="J854" s="118"/>
      <c r="K854" s="115"/>
      <c r="L854" s="115"/>
      <c r="M854" s="8"/>
      <c r="N854" s="8" t="str">
        <f t="shared" si="41"/>
        <v>-</v>
      </c>
      <c r="O854" s="126"/>
      <c r="P854" s="127"/>
      <c r="Q854" s="127"/>
      <c r="R854" s="126"/>
      <c r="S854" s="127"/>
      <c r="T854" s="8"/>
      <c r="U854" s="158"/>
      <c r="V854" s="7"/>
      <c r="W854" s="7"/>
      <c r="X854" s="146"/>
      <c r="Y854" s="7"/>
      <c r="Z854" s="7"/>
      <c r="AA854" s="7" t="str">
        <f>IFERROR((VLOOKUP(F854,#REF!,2,FALSE)),"-")</f>
        <v>-</v>
      </c>
      <c r="AB854" s="119" t="e">
        <f>CONCATENATE(F854," - ",I854," - ",#REF!,)</f>
        <v>#REF!</v>
      </c>
    </row>
    <row r="855" spans="1:28" s="116" customFormat="1" ht="15">
      <c r="A855" s="114"/>
      <c r="B855" s="120"/>
      <c r="C855" s="129" t="str">
        <f t="shared" si="39"/>
        <v>week-0</v>
      </c>
      <c r="D855" s="120" t="str">
        <f t="shared" si="40"/>
        <v>Jan</v>
      </c>
      <c r="E855" s="7"/>
      <c r="F855" s="7"/>
      <c r="G855" s="120"/>
      <c r="H855" s="120"/>
      <c r="I855" s="118"/>
      <c r="J855" s="118"/>
      <c r="K855" s="115"/>
      <c r="L855" s="115"/>
      <c r="M855" s="8"/>
      <c r="N855" s="8" t="str">
        <f t="shared" si="41"/>
        <v>-</v>
      </c>
      <c r="O855" s="126"/>
      <c r="P855" s="127"/>
      <c r="Q855" s="127"/>
      <c r="R855" s="126"/>
      <c r="S855" s="127"/>
      <c r="T855" s="8"/>
      <c r="U855" s="158"/>
      <c r="V855" s="7"/>
      <c r="W855" s="7"/>
      <c r="X855" s="146"/>
      <c r="Y855" s="7"/>
      <c r="Z855" s="7"/>
      <c r="AA855" s="7" t="str">
        <f>IFERROR((VLOOKUP(F855,#REF!,2,FALSE)),"-")</f>
        <v>-</v>
      </c>
      <c r="AB855" s="119" t="e">
        <f>CONCATENATE(F855," - ",I855," - ",#REF!,)</f>
        <v>#REF!</v>
      </c>
    </row>
    <row r="856" spans="1:28" s="116" customFormat="1" ht="15">
      <c r="A856" s="114"/>
      <c r="B856" s="120"/>
      <c r="C856" s="129" t="str">
        <f t="shared" si="39"/>
        <v>week-0</v>
      </c>
      <c r="D856" s="120" t="str">
        <f t="shared" si="40"/>
        <v>Jan</v>
      </c>
      <c r="E856" s="7"/>
      <c r="F856" s="7"/>
      <c r="G856" s="120"/>
      <c r="H856" s="120"/>
      <c r="I856" s="118"/>
      <c r="J856" s="118"/>
      <c r="K856" s="115"/>
      <c r="L856" s="115"/>
      <c r="M856" s="8"/>
      <c r="N856" s="8" t="str">
        <f t="shared" si="41"/>
        <v>-</v>
      </c>
      <c r="O856" s="126"/>
      <c r="P856" s="127"/>
      <c r="Q856" s="127"/>
      <c r="R856" s="126"/>
      <c r="S856" s="127"/>
      <c r="T856" s="8"/>
      <c r="U856" s="158"/>
      <c r="V856" s="7"/>
      <c r="W856" s="7"/>
      <c r="X856" s="146"/>
      <c r="Y856" s="7"/>
      <c r="Z856" s="7"/>
      <c r="AA856" s="7" t="str">
        <f>IFERROR((VLOOKUP(F856,#REF!,2,FALSE)),"-")</f>
        <v>-</v>
      </c>
      <c r="AB856" s="119" t="e">
        <f>CONCATENATE(F856," - ",I856," - ",#REF!,)</f>
        <v>#REF!</v>
      </c>
    </row>
    <row r="857" spans="1:28" s="116" customFormat="1" ht="15">
      <c r="A857" s="114"/>
      <c r="B857" s="120"/>
      <c r="C857" s="129" t="str">
        <f t="shared" si="39"/>
        <v>week-0</v>
      </c>
      <c r="D857" s="120" t="str">
        <f t="shared" si="40"/>
        <v>Jan</v>
      </c>
      <c r="E857" s="7"/>
      <c r="F857" s="7"/>
      <c r="G857" s="120"/>
      <c r="H857" s="120"/>
      <c r="I857" s="118"/>
      <c r="J857" s="118"/>
      <c r="K857" s="115"/>
      <c r="L857" s="115"/>
      <c r="M857" s="8"/>
      <c r="N857" s="8" t="str">
        <f t="shared" si="41"/>
        <v>-</v>
      </c>
      <c r="O857" s="126"/>
      <c r="P857" s="127"/>
      <c r="Q857" s="127"/>
      <c r="R857" s="126"/>
      <c r="S857" s="127"/>
      <c r="T857" s="8"/>
      <c r="U857" s="158"/>
      <c r="V857" s="7"/>
      <c r="W857" s="7"/>
      <c r="X857" s="146"/>
      <c r="Y857" s="7"/>
      <c r="Z857" s="7"/>
      <c r="AA857" s="7" t="str">
        <f>IFERROR((VLOOKUP(F857,#REF!,2,FALSE)),"-")</f>
        <v>-</v>
      </c>
      <c r="AB857" s="119" t="e">
        <f>CONCATENATE(F857," - ",I857," - ",#REF!,)</f>
        <v>#REF!</v>
      </c>
    </row>
    <row r="858" spans="1:28" s="116" customFormat="1" ht="15">
      <c r="A858" s="114"/>
      <c r="B858" s="120"/>
      <c r="C858" s="129" t="str">
        <f t="shared" si="39"/>
        <v>week-0</v>
      </c>
      <c r="D858" s="120" t="str">
        <f t="shared" si="40"/>
        <v>Jan</v>
      </c>
      <c r="E858" s="7"/>
      <c r="F858" s="7"/>
      <c r="G858" s="120"/>
      <c r="H858" s="120"/>
      <c r="I858" s="118"/>
      <c r="J858" s="118"/>
      <c r="K858" s="115"/>
      <c r="L858" s="115"/>
      <c r="M858" s="8"/>
      <c r="N858" s="8" t="str">
        <f t="shared" si="41"/>
        <v>-</v>
      </c>
      <c r="O858" s="126"/>
      <c r="P858" s="127"/>
      <c r="Q858" s="127"/>
      <c r="R858" s="126"/>
      <c r="S858" s="127"/>
      <c r="T858" s="8"/>
      <c r="U858" s="158"/>
      <c r="V858" s="7"/>
      <c r="W858" s="7"/>
      <c r="X858" s="146"/>
      <c r="Y858" s="7"/>
      <c r="Z858" s="7"/>
      <c r="AA858" s="7" t="str">
        <f>IFERROR((VLOOKUP(F858,#REF!,2,FALSE)),"-")</f>
        <v>-</v>
      </c>
      <c r="AB858" s="119" t="e">
        <f>CONCATENATE(F858," - ",I858," - ",#REF!,)</f>
        <v>#REF!</v>
      </c>
    </row>
    <row r="859" spans="1:28" s="116" customFormat="1" ht="15">
      <c r="A859" s="114"/>
      <c r="B859" s="120"/>
      <c r="C859" s="129" t="str">
        <f t="shared" si="39"/>
        <v>week-0</v>
      </c>
      <c r="D859" s="120" t="str">
        <f t="shared" si="40"/>
        <v>Jan</v>
      </c>
      <c r="E859" s="7"/>
      <c r="F859" s="7"/>
      <c r="G859" s="120"/>
      <c r="H859" s="120"/>
      <c r="I859" s="118"/>
      <c r="J859" s="118"/>
      <c r="K859" s="115"/>
      <c r="L859" s="115"/>
      <c r="M859" s="8"/>
      <c r="N859" s="8" t="str">
        <f t="shared" si="41"/>
        <v>-</v>
      </c>
      <c r="O859" s="126"/>
      <c r="P859" s="127"/>
      <c r="Q859" s="127"/>
      <c r="R859" s="126"/>
      <c r="S859" s="127"/>
      <c r="T859" s="8"/>
      <c r="U859" s="158"/>
      <c r="V859" s="7"/>
      <c r="W859" s="7"/>
      <c r="X859" s="146"/>
      <c r="Y859" s="7"/>
      <c r="Z859" s="7"/>
      <c r="AA859" s="7" t="str">
        <f>IFERROR((VLOOKUP(F859,#REF!,2,FALSE)),"-")</f>
        <v>-</v>
      </c>
      <c r="AB859" s="119" t="e">
        <f>CONCATENATE(F859," - ",I859," - ",#REF!,)</f>
        <v>#REF!</v>
      </c>
    </row>
    <row r="860" spans="1:28" s="116" customFormat="1" ht="15">
      <c r="A860" s="114"/>
      <c r="B860" s="120"/>
      <c r="C860" s="129" t="str">
        <f t="shared" si="39"/>
        <v>week-0</v>
      </c>
      <c r="D860" s="120" t="str">
        <f t="shared" si="40"/>
        <v>Jan</v>
      </c>
      <c r="E860" s="7"/>
      <c r="F860" s="7"/>
      <c r="G860" s="120"/>
      <c r="H860" s="120"/>
      <c r="I860" s="118"/>
      <c r="J860" s="118"/>
      <c r="K860" s="115"/>
      <c r="L860" s="115"/>
      <c r="M860" s="8"/>
      <c r="N860" s="8" t="str">
        <f t="shared" si="41"/>
        <v>-</v>
      </c>
      <c r="O860" s="126"/>
      <c r="P860" s="127"/>
      <c r="Q860" s="127"/>
      <c r="R860" s="126"/>
      <c r="S860" s="127"/>
      <c r="T860" s="8"/>
      <c r="U860" s="158"/>
      <c r="V860" s="7"/>
      <c r="W860" s="7"/>
      <c r="X860" s="146"/>
      <c r="Y860" s="7"/>
      <c r="Z860" s="7"/>
      <c r="AA860" s="7" t="str">
        <f>IFERROR((VLOOKUP(F860,#REF!,2,FALSE)),"-")</f>
        <v>-</v>
      </c>
      <c r="AB860" s="119" t="e">
        <f>CONCATENATE(F860," - ",I860," - ",#REF!,)</f>
        <v>#REF!</v>
      </c>
    </row>
    <row r="861" spans="1:28" s="116" customFormat="1" ht="15">
      <c r="A861" s="114"/>
      <c r="B861" s="120"/>
      <c r="C861" s="129" t="str">
        <f t="shared" si="39"/>
        <v>week-0</v>
      </c>
      <c r="D861" s="120" t="str">
        <f t="shared" si="40"/>
        <v>Jan</v>
      </c>
      <c r="E861" s="7"/>
      <c r="F861" s="7"/>
      <c r="G861" s="120"/>
      <c r="H861" s="120"/>
      <c r="I861" s="118"/>
      <c r="J861" s="118"/>
      <c r="K861" s="115"/>
      <c r="L861" s="115"/>
      <c r="M861" s="8"/>
      <c r="N861" s="8" t="str">
        <f t="shared" si="41"/>
        <v>-</v>
      </c>
      <c r="O861" s="126"/>
      <c r="P861" s="127"/>
      <c r="Q861" s="127"/>
      <c r="R861" s="126"/>
      <c r="S861" s="127"/>
      <c r="T861" s="8"/>
      <c r="U861" s="158"/>
      <c r="V861" s="7"/>
      <c r="W861" s="7"/>
      <c r="X861" s="146"/>
      <c r="Y861" s="7"/>
      <c r="Z861" s="7"/>
      <c r="AA861" s="7" t="str">
        <f>IFERROR((VLOOKUP(F861,#REF!,2,FALSE)),"-")</f>
        <v>-</v>
      </c>
      <c r="AB861" s="119" t="e">
        <f>CONCATENATE(F861," - ",I861," - ",#REF!,)</f>
        <v>#REF!</v>
      </c>
    </row>
    <row r="862" spans="1:28" s="116" customFormat="1" ht="15">
      <c r="A862" s="114"/>
      <c r="B862" s="120"/>
      <c r="C862" s="129" t="str">
        <f t="shared" si="39"/>
        <v>week-0</v>
      </c>
      <c r="D862" s="120" t="str">
        <f t="shared" si="40"/>
        <v>Jan</v>
      </c>
      <c r="E862" s="7"/>
      <c r="F862" s="7"/>
      <c r="G862" s="120"/>
      <c r="H862" s="120"/>
      <c r="I862" s="118"/>
      <c r="J862" s="118"/>
      <c r="K862" s="115"/>
      <c r="L862" s="115"/>
      <c r="M862" s="8"/>
      <c r="N862" s="8" t="str">
        <f t="shared" si="41"/>
        <v>-</v>
      </c>
      <c r="O862" s="126"/>
      <c r="P862" s="127"/>
      <c r="Q862" s="127"/>
      <c r="R862" s="126"/>
      <c r="S862" s="127"/>
      <c r="T862" s="8"/>
      <c r="U862" s="158"/>
      <c r="V862" s="7"/>
      <c r="W862" s="7"/>
      <c r="X862" s="146"/>
      <c r="Y862" s="7"/>
      <c r="Z862" s="7"/>
      <c r="AA862" s="7" t="str">
        <f>IFERROR((VLOOKUP(F862,#REF!,2,FALSE)),"-")</f>
        <v>-</v>
      </c>
      <c r="AB862" s="119" t="e">
        <f>CONCATENATE(F862," - ",I862," - ",#REF!,)</f>
        <v>#REF!</v>
      </c>
    </row>
    <row r="863" spans="1:28" s="116" customFormat="1" ht="15">
      <c r="A863" s="114"/>
      <c r="B863" s="120"/>
      <c r="C863" s="129" t="str">
        <f t="shared" si="39"/>
        <v>week-0</v>
      </c>
      <c r="D863" s="120" t="str">
        <f t="shared" si="40"/>
        <v>Jan</v>
      </c>
      <c r="E863" s="7"/>
      <c r="F863" s="7"/>
      <c r="G863" s="120"/>
      <c r="H863" s="120"/>
      <c r="I863" s="118"/>
      <c r="J863" s="118"/>
      <c r="K863" s="115"/>
      <c r="L863" s="115"/>
      <c r="M863" s="8"/>
      <c r="N863" s="8" t="str">
        <f t="shared" si="41"/>
        <v>-</v>
      </c>
      <c r="O863" s="126"/>
      <c r="P863" s="127"/>
      <c r="Q863" s="127"/>
      <c r="R863" s="126"/>
      <c r="S863" s="127"/>
      <c r="T863" s="8"/>
      <c r="U863" s="158"/>
      <c r="V863" s="7"/>
      <c r="W863" s="7"/>
      <c r="X863" s="146"/>
      <c r="Y863" s="7"/>
      <c r="Z863" s="7"/>
      <c r="AA863" s="7" t="str">
        <f>IFERROR((VLOOKUP(F863,#REF!,2,FALSE)),"-")</f>
        <v>-</v>
      </c>
      <c r="AB863" s="119" t="e">
        <f>CONCATENATE(F863," - ",I863," - ",#REF!,)</f>
        <v>#REF!</v>
      </c>
    </row>
    <row r="864" spans="1:28" s="116" customFormat="1" ht="15">
      <c r="A864" s="114"/>
      <c r="B864" s="120"/>
      <c r="C864" s="129" t="str">
        <f t="shared" si="39"/>
        <v>week-0</v>
      </c>
      <c r="D864" s="120" t="str">
        <f t="shared" si="40"/>
        <v>Jan</v>
      </c>
      <c r="E864" s="7"/>
      <c r="F864" s="7"/>
      <c r="G864" s="120"/>
      <c r="H864" s="120"/>
      <c r="I864" s="118"/>
      <c r="J864" s="118"/>
      <c r="K864" s="115"/>
      <c r="L864" s="115"/>
      <c r="M864" s="8"/>
      <c r="N864" s="8" t="str">
        <f t="shared" si="41"/>
        <v>-</v>
      </c>
      <c r="O864" s="126"/>
      <c r="P864" s="127"/>
      <c r="Q864" s="127"/>
      <c r="R864" s="126"/>
      <c r="S864" s="127"/>
      <c r="T864" s="8"/>
      <c r="U864" s="158"/>
      <c r="V864" s="7"/>
      <c r="W864" s="7"/>
      <c r="X864" s="146"/>
      <c r="Y864" s="7"/>
      <c r="Z864" s="7"/>
      <c r="AA864" s="7" t="str">
        <f>IFERROR((VLOOKUP(F864,#REF!,2,FALSE)),"-")</f>
        <v>-</v>
      </c>
      <c r="AB864" s="119" t="e">
        <f>CONCATENATE(F864," - ",I864," - ",#REF!,)</f>
        <v>#REF!</v>
      </c>
    </row>
    <row r="865" spans="1:28" s="116" customFormat="1" ht="15">
      <c r="A865" s="114"/>
      <c r="B865" s="120"/>
      <c r="C865" s="129" t="str">
        <f t="shared" si="39"/>
        <v>week-0</v>
      </c>
      <c r="D865" s="120" t="str">
        <f t="shared" si="40"/>
        <v>Jan</v>
      </c>
      <c r="E865" s="7"/>
      <c r="F865" s="7"/>
      <c r="G865" s="120"/>
      <c r="H865" s="120"/>
      <c r="I865" s="118"/>
      <c r="J865" s="118"/>
      <c r="K865" s="115"/>
      <c r="L865" s="115"/>
      <c r="M865" s="8"/>
      <c r="N865" s="8" t="str">
        <f t="shared" si="41"/>
        <v>-</v>
      </c>
      <c r="O865" s="126"/>
      <c r="P865" s="127"/>
      <c r="Q865" s="127"/>
      <c r="R865" s="126"/>
      <c r="S865" s="127"/>
      <c r="T865" s="8"/>
      <c r="U865" s="158"/>
      <c r="V865" s="7"/>
      <c r="W865" s="7"/>
      <c r="X865" s="146"/>
      <c r="Y865" s="7"/>
      <c r="Z865" s="7"/>
      <c r="AA865" s="7" t="str">
        <f>IFERROR((VLOOKUP(F865,#REF!,2,FALSE)),"-")</f>
        <v>-</v>
      </c>
      <c r="AB865" s="119" t="e">
        <f>CONCATENATE(F865," - ",I865," - ",#REF!,)</f>
        <v>#REF!</v>
      </c>
    </row>
    <row r="866" spans="1:28" s="116" customFormat="1" ht="15">
      <c r="A866" s="114"/>
      <c r="B866" s="120"/>
      <c r="C866" s="129" t="str">
        <f t="shared" si="39"/>
        <v>week-0</v>
      </c>
      <c r="D866" s="120" t="str">
        <f t="shared" si="40"/>
        <v>Jan</v>
      </c>
      <c r="E866" s="7"/>
      <c r="F866" s="7"/>
      <c r="G866" s="120"/>
      <c r="H866" s="120"/>
      <c r="I866" s="118"/>
      <c r="J866" s="118"/>
      <c r="K866" s="115"/>
      <c r="L866" s="115"/>
      <c r="M866" s="8"/>
      <c r="N866" s="8" t="str">
        <f t="shared" si="41"/>
        <v>-</v>
      </c>
      <c r="O866" s="126"/>
      <c r="P866" s="127"/>
      <c r="Q866" s="127"/>
      <c r="R866" s="126"/>
      <c r="S866" s="127"/>
      <c r="T866" s="8"/>
      <c r="U866" s="158"/>
      <c r="V866" s="7"/>
      <c r="W866" s="7"/>
      <c r="X866" s="146"/>
      <c r="Y866" s="7"/>
      <c r="Z866" s="7"/>
      <c r="AA866" s="7" t="str">
        <f>IFERROR((VLOOKUP(F866,#REF!,2,FALSE)),"-")</f>
        <v>-</v>
      </c>
      <c r="AB866" s="119" t="e">
        <f>CONCATENATE(F866," - ",I866," - ",#REF!,)</f>
        <v>#REF!</v>
      </c>
    </row>
    <row r="867" spans="1:28" s="116" customFormat="1" ht="15">
      <c r="A867" s="114"/>
      <c r="B867" s="120"/>
      <c r="C867" s="129" t="str">
        <f t="shared" si="39"/>
        <v>week-0</v>
      </c>
      <c r="D867" s="120" t="str">
        <f t="shared" si="40"/>
        <v>Jan</v>
      </c>
      <c r="E867" s="7"/>
      <c r="F867" s="7"/>
      <c r="G867" s="120"/>
      <c r="H867" s="120"/>
      <c r="I867" s="118"/>
      <c r="J867" s="118"/>
      <c r="K867" s="115"/>
      <c r="L867" s="115"/>
      <c r="M867" s="8"/>
      <c r="N867" s="8" t="str">
        <f t="shared" si="41"/>
        <v>-</v>
      </c>
      <c r="O867" s="126"/>
      <c r="P867" s="127"/>
      <c r="Q867" s="127"/>
      <c r="R867" s="126"/>
      <c r="S867" s="127"/>
      <c r="T867" s="8"/>
      <c r="U867" s="158"/>
      <c r="V867" s="7"/>
      <c r="W867" s="7"/>
      <c r="X867" s="146"/>
      <c r="Y867" s="7"/>
      <c r="Z867" s="7"/>
      <c r="AA867" s="7" t="str">
        <f>IFERROR((VLOOKUP(F867,#REF!,2,FALSE)),"-")</f>
        <v>-</v>
      </c>
      <c r="AB867" s="119" t="e">
        <f>CONCATENATE(F867," - ",I867," - ",#REF!,)</f>
        <v>#REF!</v>
      </c>
    </row>
    <row r="868" spans="1:28" s="116" customFormat="1" ht="15">
      <c r="A868" s="114"/>
      <c r="B868" s="120"/>
      <c r="C868" s="129" t="str">
        <f t="shared" si="39"/>
        <v>week-0</v>
      </c>
      <c r="D868" s="120" t="str">
        <f t="shared" si="40"/>
        <v>Jan</v>
      </c>
      <c r="E868" s="7"/>
      <c r="F868" s="7"/>
      <c r="G868" s="120"/>
      <c r="H868" s="120"/>
      <c r="I868" s="118"/>
      <c r="J868" s="118"/>
      <c r="K868" s="115"/>
      <c r="L868" s="115"/>
      <c r="M868" s="8"/>
      <c r="N868" s="8" t="str">
        <f t="shared" si="41"/>
        <v>-</v>
      </c>
      <c r="O868" s="126"/>
      <c r="P868" s="127"/>
      <c r="Q868" s="127"/>
      <c r="R868" s="126"/>
      <c r="S868" s="127"/>
      <c r="T868" s="8"/>
      <c r="U868" s="158"/>
      <c r="V868" s="7"/>
      <c r="W868" s="7"/>
      <c r="X868" s="146"/>
      <c r="Y868" s="7"/>
      <c r="Z868" s="7"/>
      <c r="AA868" s="7" t="str">
        <f>IFERROR((VLOOKUP(F868,#REF!,2,FALSE)),"-")</f>
        <v>-</v>
      </c>
      <c r="AB868" s="119" t="e">
        <f>CONCATENATE(F868," - ",I868," - ",#REF!,)</f>
        <v>#REF!</v>
      </c>
    </row>
    <row r="869" spans="1:28" s="116" customFormat="1" ht="15">
      <c r="A869" s="114"/>
      <c r="B869" s="120"/>
      <c r="C869" s="129" t="str">
        <f t="shared" si="39"/>
        <v>week-0</v>
      </c>
      <c r="D869" s="120" t="str">
        <f t="shared" si="40"/>
        <v>Jan</v>
      </c>
      <c r="E869" s="7"/>
      <c r="F869" s="7"/>
      <c r="G869" s="120"/>
      <c r="H869" s="120"/>
      <c r="I869" s="118"/>
      <c r="J869" s="118"/>
      <c r="K869" s="115"/>
      <c r="L869" s="115"/>
      <c r="M869" s="8"/>
      <c r="N869" s="8" t="str">
        <f t="shared" si="41"/>
        <v>-</v>
      </c>
      <c r="O869" s="126"/>
      <c r="P869" s="127"/>
      <c r="Q869" s="127"/>
      <c r="R869" s="126"/>
      <c r="S869" s="127"/>
      <c r="T869" s="8"/>
      <c r="U869" s="158"/>
      <c r="V869" s="7"/>
      <c r="W869" s="7"/>
      <c r="X869" s="146"/>
      <c r="Y869" s="7"/>
      <c r="Z869" s="7"/>
      <c r="AA869" s="7" t="str">
        <f>IFERROR((VLOOKUP(F869,#REF!,2,FALSE)),"-")</f>
        <v>-</v>
      </c>
      <c r="AB869" s="119" t="e">
        <f>CONCATENATE(F869," - ",I869," - ",#REF!,)</f>
        <v>#REF!</v>
      </c>
    </row>
    <row r="870" spans="1:28" s="116" customFormat="1" ht="15">
      <c r="A870" s="114"/>
      <c r="B870" s="120"/>
      <c r="C870" s="129" t="str">
        <f t="shared" si="39"/>
        <v>week-0</v>
      </c>
      <c r="D870" s="120" t="str">
        <f t="shared" si="40"/>
        <v>Jan</v>
      </c>
      <c r="E870" s="84"/>
      <c r="F870" s="7"/>
      <c r="G870" s="120"/>
      <c r="H870" s="120"/>
      <c r="I870" s="118"/>
      <c r="J870" s="118"/>
      <c r="K870" s="115"/>
      <c r="L870" s="115"/>
      <c r="M870" s="8"/>
      <c r="N870" s="8" t="str">
        <f t="shared" si="41"/>
        <v>-</v>
      </c>
      <c r="O870" s="126"/>
      <c r="P870" s="127"/>
      <c r="Q870" s="127"/>
      <c r="R870" s="126"/>
      <c r="S870" s="127"/>
      <c r="T870" s="8"/>
      <c r="U870" s="158"/>
      <c r="V870" s="7"/>
      <c r="W870" s="7"/>
      <c r="X870" s="146"/>
      <c r="Y870" s="7"/>
      <c r="Z870" s="7"/>
      <c r="AA870" s="7" t="str">
        <f>IFERROR((VLOOKUP(F870,#REF!,2,FALSE)),"-")</f>
        <v>-</v>
      </c>
      <c r="AB870" s="119" t="e">
        <f>CONCATENATE(F870," - ",I870," - ",#REF!,)</f>
        <v>#REF!</v>
      </c>
    </row>
    <row r="871" spans="1:28" s="116" customFormat="1" ht="15">
      <c r="A871" s="114"/>
      <c r="B871" s="120"/>
      <c r="C871" s="129" t="str">
        <f t="shared" si="39"/>
        <v>week-0</v>
      </c>
      <c r="D871" s="120" t="str">
        <f t="shared" si="40"/>
        <v>Jan</v>
      </c>
      <c r="E871" s="7"/>
      <c r="F871" s="7"/>
      <c r="G871" s="120"/>
      <c r="H871" s="120"/>
      <c r="I871" s="118"/>
      <c r="J871" s="118"/>
      <c r="K871" s="115"/>
      <c r="L871" s="115"/>
      <c r="M871" s="8"/>
      <c r="N871" s="8" t="str">
        <f t="shared" si="41"/>
        <v>-</v>
      </c>
      <c r="O871" s="126"/>
      <c r="P871" s="127"/>
      <c r="Q871" s="127"/>
      <c r="R871" s="126"/>
      <c r="S871" s="127"/>
      <c r="T871" s="8"/>
      <c r="U871" s="158"/>
      <c r="V871" s="7"/>
      <c r="W871" s="7"/>
      <c r="X871" s="146"/>
      <c r="Y871" s="7"/>
      <c r="Z871" s="7"/>
      <c r="AA871" s="7" t="str">
        <f>IFERROR((VLOOKUP(F871,#REF!,2,FALSE)),"-")</f>
        <v>-</v>
      </c>
      <c r="AB871" s="119" t="e">
        <f>CONCATENATE(F871," - ",I871," - ",#REF!,)</f>
        <v>#REF!</v>
      </c>
    </row>
    <row r="872" spans="1:28" s="116" customFormat="1" ht="15">
      <c r="A872" s="114"/>
      <c r="B872" s="120"/>
      <c r="C872" s="129" t="str">
        <f t="shared" si="39"/>
        <v>week-0</v>
      </c>
      <c r="D872" s="120" t="str">
        <f t="shared" si="40"/>
        <v>Jan</v>
      </c>
      <c r="E872" s="7"/>
      <c r="F872" s="7"/>
      <c r="G872" s="120"/>
      <c r="H872" s="120"/>
      <c r="I872" s="118"/>
      <c r="J872" s="118"/>
      <c r="K872" s="115"/>
      <c r="L872" s="115"/>
      <c r="M872" s="8"/>
      <c r="N872" s="8" t="str">
        <f t="shared" si="41"/>
        <v>-</v>
      </c>
      <c r="O872" s="126"/>
      <c r="P872" s="127"/>
      <c r="Q872" s="127"/>
      <c r="R872" s="126"/>
      <c r="S872" s="127"/>
      <c r="T872" s="8"/>
      <c r="U872" s="158"/>
      <c r="V872" s="7"/>
      <c r="W872" s="7"/>
      <c r="X872" s="146"/>
      <c r="Y872" s="7"/>
      <c r="Z872" s="7"/>
      <c r="AA872" s="7" t="str">
        <f>IFERROR((VLOOKUP(F872,#REF!,2,FALSE)),"-")</f>
        <v>-</v>
      </c>
      <c r="AB872" s="119" t="e">
        <f>CONCATENATE(F872," - ",I872," - ",#REF!,)</f>
        <v>#REF!</v>
      </c>
    </row>
    <row r="873" spans="1:28" s="116" customFormat="1" ht="15">
      <c r="A873" s="114"/>
      <c r="B873" s="120"/>
      <c r="C873" s="129" t="str">
        <f t="shared" si="39"/>
        <v>week-0</v>
      </c>
      <c r="D873" s="120" t="str">
        <f t="shared" si="40"/>
        <v>Jan</v>
      </c>
      <c r="E873" s="7"/>
      <c r="F873" s="7"/>
      <c r="G873" s="120"/>
      <c r="H873" s="120"/>
      <c r="I873" s="118"/>
      <c r="J873" s="118"/>
      <c r="K873" s="115"/>
      <c r="L873" s="115"/>
      <c r="M873" s="8"/>
      <c r="N873" s="8" t="str">
        <f t="shared" si="41"/>
        <v>-</v>
      </c>
      <c r="O873" s="126"/>
      <c r="P873" s="127"/>
      <c r="Q873" s="127"/>
      <c r="R873" s="126"/>
      <c r="S873" s="127"/>
      <c r="T873" s="8"/>
      <c r="U873" s="158"/>
      <c r="V873" s="7"/>
      <c r="W873" s="7"/>
      <c r="X873" s="146"/>
      <c r="Y873" s="7"/>
      <c r="Z873" s="7"/>
      <c r="AA873" s="7" t="str">
        <f>IFERROR((VLOOKUP(F873,#REF!,2,FALSE)),"-")</f>
        <v>-</v>
      </c>
      <c r="AB873" s="119" t="e">
        <f>CONCATENATE(F873," - ",I873," - ",#REF!,)</f>
        <v>#REF!</v>
      </c>
    </row>
    <row r="874" spans="1:28" s="116" customFormat="1" ht="15">
      <c r="A874" s="114"/>
      <c r="B874" s="120"/>
      <c r="C874" s="129" t="str">
        <f t="shared" si="39"/>
        <v>week-0</v>
      </c>
      <c r="D874" s="120" t="str">
        <f t="shared" si="40"/>
        <v>Jan</v>
      </c>
      <c r="E874" s="7"/>
      <c r="F874" s="7"/>
      <c r="G874" s="120"/>
      <c r="H874" s="120"/>
      <c r="I874" s="118"/>
      <c r="J874" s="118"/>
      <c r="K874" s="115"/>
      <c r="L874" s="115"/>
      <c r="M874" s="8"/>
      <c r="N874" s="8" t="str">
        <f t="shared" si="41"/>
        <v>-</v>
      </c>
      <c r="O874" s="126"/>
      <c r="P874" s="127"/>
      <c r="Q874" s="127"/>
      <c r="R874" s="126"/>
      <c r="S874" s="127"/>
      <c r="T874" s="8"/>
      <c r="U874" s="158"/>
      <c r="V874" s="7"/>
      <c r="W874" s="7"/>
      <c r="X874" s="146"/>
      <c r="Y874" s="7"/>
      <c r="Z874" s="7"/>
      <c r="AA874" s="7" t="str">
        <f>IFERROR((VLOOKUP(F874,#REF!,2,FALSE)),"-")</f>
        <v>-</v>
      </c>
      <c r="AB874" s="119" t="e">
        <f>CONCATENATE(F874," - ",I874," - ",#REF!,)</f>
        <v>#REF!</v>
      </c>
    </row>
    <row r="875" spans="1:28" s="116" customFormat="1" ht="15">
      <c r="A875" s="114"/>
      <c r="B875" s="120"/>
      <c r="C875" s="129" t="str">
        <f t="shared" si="39"/>
        <v>week-0</v>
      </c>
      <c r="D875" s="120" t="str">
        <f t="shared" si="40"/>
        <v>Jan</v>
      </c>
      <c r="E875" s="7"/>
      <c r="F875" s="7"/>
      <c r="G875" s="120"/>
      <c r="H875" s="120"/>
      <c r="I875" s="118"/>
      <c r="J875" s="118"/>
      <c r="K875" s="115"/>
      <c r="L875" s="115"/>
      <c r="M875" s="8"/>
      <c r="N875" s="8" t="str">
        <f t="shared" si="41"/>
        <v>-</v>
      </c>
      <c r="O875" s="126"/>
      <c r="P875" s="127"/>
      <c r="Q875" s="127"/>
      <c r="R875" s="126"/>
      <c r="S875" s="127"/>
      <c r="T875" s="8"/>
      <c r="U875" s="158"/>
      <c r="V875" s="7"/>
      <c r="W875" s="7"/>
      <c r="X875" s="146"/>
      <c r="Y875" s="7"/>
      <c r="Z875" s="7"/>
      <c r="AA875" s="7" t="str">
        <f>IFERROR((VLOOKUP(F875,#REF!,2,FALSE)),"-")</f>
        <v>-</v>
      </c>
      <c r="AB875" s="119" t="e">
        <f>CONCATENATE(F875," - ",I875," - ",#REF!,)</f>
        <v>#REF!</v>
      </c>
    </row>
    <row r="876" spans="1:28" s="116" customFormat="1" ht="15">
      <c r="A876" s="114"/>
      <c r="B876" s="120"/>
      <c r="C876" s="129" t="str">
        <f t="shared" si="39"/>
        <v>week-0</v>
      </c>
      <c r="D876" s="120" t="str">
        <f t="shared" si="40"/>
        <v>Jan</v>
      </c>
      <c r="E876" s="7"/>
      <c r="F876" s="7"/>
      <c r="G876" s="120"/>
      <c r="H876" s="120"/>
      <c r="I876" s="118"/>
      <c r="J876" s="118"/>
      <c r="K876" s="115"/>
      <c r="L876" s="115"/>
      <c r="M876" s="8"/>
      <c r="N876" s="8" t="str">
        <f t="shared" si="41"/>
        <v>-</v>
      </c>
      <c r="O876" s="126"/>
      <c r="P876" s="127"/>
      <c r="Q876" s="127"/>
      <c r="R876" s="126"/>
      <c r="S876" s="127"/>
      <c r="T876" s="8"/>
      <c r="U876" s="158"/>
      <c r="V876" s="7"/>
      <c r="W876" s="7"/>
      <c r="X876" s="146"/>
      <c r="Y876" s="7"/>
      <c r="Z876" s="7"/>
      <c r="AA876" s="7" t="str">
        <f>IFERROR((VLOOKUP(F876,#REF!,2,FALSE)),"-")</f>
        <v>-</v>
      </c>
      <c r="AB876" s="119" t="e">
        <f>CONCATENATE(F876," - ",I876," - ",#REF!,)</f>
        <v>#REF!</v>
      </c>
    </row>
    <row r="877" spans="1:28" s="116" customFormat="1" ht="15">
      <c r="A877" s="114"/>
      <c r="B877" s="120"/>
      <c r="C877" s="129" t="str">
        <f t="shared" si="39"/>
        <v>week-0</v>
      </c>
      <c r="D877" s="120" t="str">
        <f t="shared" si="40"/>
        <v>Jan</v>
      </c>
      <c r="E877" s="7"/>
      <c r="F877" s="7"/>
      <c r="G877" s="120"/>
      <c r="H877" s="120"/>
      <c r="I877" s="118"/>
      <c r="J877" s="118"/>
      <c r="K877" s="115"/>
      <c r="L877" s="115"/>
      <c r="M877" s="8"/>
      <c r="N877" s="8" t="str">
        <f t="shared" si="41"/>
        <v>-</v>
      </c>
      <c r="O877" s="126"/>
      <c r="P877" s="127"/>
      <c r="Q877" s="127"/>
      <c r="R877" s="126"/>
      <c r="S877" s="127"/>
      <c r="T877" s="8"/>
      <c r="U877" s="158"/>
      <c r="V877" s="7"/>
      <c r="W877" s="7"/>
      <c r="X877" s="146"/>
      <c r="Y877" s="7"/>
      <c r="Z877" s="7"/>
      <c r="AA877" s="7" t="str">
        <f>IFERROR((VLOOKUP(F877,#REF!,2,FALSE)),"-")</f>
        <v>-</v>
      </c>
      <c r="AB877" s="119" t="e">
        <f>CONCATENATE(F877," - ",I877," - ",#REF!,)</f>
        <v>#REF!</v>
      </c>
    </row>
    <row r="878" spans="1:28" s="116" customFormat="1" ht="15">
      <c r="A878" s="114"/>
      <c r="B878" s="120"/>
      <c r="C878" s="129" t="str">
        <f t="shared" si="39"/>
        <v>week-0</v>
      </c>
      <c r="D878" s="120" t="str">
        <f t="shared" si="40"/>
        <v>Jan</v>
      </c>
      <c r="E878" s="7"/>
      <c r="F878" s="7"/>
      <c r="G878" s="120"/>
      <c r="H878" s="120"/>
      <c r="I878" s="118"/>
      <c r="J878" s="118"/>
      <c r="K878" s="115"/>
      <c r="L878" s="115"/>
      <c r="M878" s="8"/>
      <c r="N878" s="8" t="str">
        <f t="shared" si="41"/>
        <v>-</v>
      </c>
      <c r="O878" s="126"/>
      <c r="P878" s="127"/>
      <c r="Q878" s="127"/>
      <c r="R878" s="126"/>
      <c r="S878" s="127"/>
      <c r="T878" s="8"/>
      <c r="U878" s="158"/>
      <c r="V878" s="7"/>
      <c r="W878" s="7"/>
      <c r="X878" s="146"/>
      <c r="Y878" s="7"/>
      <c r="Z878" s="7"/>
      <c r="AA878" s="7" t="str">
        <f>IFERROR((VLOOKUP(F878,#REF!,2,FALSE)),"-")</f>
        <v>-</v>
      </c>
      <c r="AB878" s="119" t="e">
        <f>CONCATENATE(F878," - ",I878," - ",#REF!,)</f>
        <v>#REF!</v>
      </c>
    </row>
    <row r="879" spans="1:28" s="116" customFormat="1" ht="15">
      <c r="A879" s="114"/>
      <c r="B879" s="120"/>
      <c r="C879" s="129" t="str">
        <f t="shared" si="39"/>
        <v>week-0</v>
      </c>
      <c r="D879" s="120" t="str">
        <f t="shared" si="40"/>
        <v>Jan</v>
      </c>
      <c r="E879" s="7"/>
      <c r="F879" s="7"/>
      <c r="G879" s="120"/>
      <c r="H879" s="120"/>
      <c r="I879" s="118"/>
      <c r="J879" s="118"/>
      <c r="K879" s="115"/>
      <c r="L879" s="115"/>
      <c r="M879" s="8"/>
      <c r="N879" s="8" t="str">
        <f t="shared" si="41"/>
        <v>-</v>
      </c>
      <c r="O879" s="126"/>
      <c r="P879" s="127"/>
      <c r="Q879" s="127"/>
      <c r="R879" s="126"/>
      <c r="S879" s="127"/>
      <c r="T879" s="8"/>
      <c r="U879" s="158"/>
      <c r="V879" s="7"/>
      <c r="W879" s="7"/>
      <c r="X879" s="146"/>
      <c r="Y879" s="7"/>
      <c r="Z879" s="7"/>
      <c r="AA879" s="7" t="str">
        <f>IFERROR((VLOOKUP(F879,#REF!,2,FALSE)),"-")</f>
        <v>-</v>
      </c>
      <c r="AB879" s="119" t="e">
        <f>CONCATENATE(F879," - ",I879," - ",#REF!,)</f>
        <v>#REF!</v>
      </c>
    </row>
    <row r="880" spans="1:28" s="116" customFormat="1" ht="15">
      <c r="A880" s="114"/>
      <c r="B880" s="120"/>
      <c r="C880" s="129" t="str">
        <f t="shared" si="39"/>
        <v>week-0</v>
      </c>
      <c r="D880" s="120" t="str">
        <f t="shared" si="40"/>
        <v>Jan</v>
      </c>
      <c r="E880" s="7"/>
      <c r="F880" s="7"/>
      <c r="G880" s="120"/>
      <c r="H880" s="120"/>
      <c r="I880" s="118"/>
      <c r="J880" s="118"/>
      <c r="K880" s="115"/>
      <c r="L880" s="115"/>
      <c r="M880" s="8"/>
      <c r="N880" s="8" t="str">
        <f t="shared" si="41"/>
        <v>-</v>
      </c>
      <c r="O880" s="126"/>
      <c r="P880" s="127"/>
      <c r="Q880" s="127"/>
      <c r="R880" s="126"/>
      <c r="S880" s="127"/>
      <c r="T880" s="8"/>
      <c r="U880" s="158"/>
      <c r="V880" s="7"/>
      <c r="W880" s="7"/>
      <c r="X880" s="146"/>
      <c r="Y880" s="7"/>
      <c r="Z880" s="7"/>
      <c r="AA880" s="7" t="str">
        <f>IFERROR((VLOOKUP(F880,#REF!,2,FALSE)),"-")</f>
        <v>-</v>
      </c>
      <c r="AB880" s="119" t="e">
        <f>CONCATENATE(F880," - ",I880," - ",#REF!,)</f>
        <v>#REF!</v>
      </c>
    </row>
    <row r="881" spans="1:28" s="116" customFormat="1" ht="15">
      <c r="A881" s="114"/>
      <c r="B881" s="120"/>
      <c r="C881" s="129" t="str">
        <f t="shared" si="39"/>
        <v>week-0</v>
      </c>
      <c r="D881" s="120" t="str">
        <f t="shared" si="40"/>
        <v>Jan</v>
      </c>
      <c r="E881" s="7"/>
      <c r="F881" s="7"/>
      <c r="G881" s="120"/>
      <c r="H881" s="120"/>
      <c r="I881" s="118"/>
      <c r="J881" s="118"/>
      <c r="K881" s="115"/>
      <c r="L881" s="115"/>
      <c r="M881" s="8"/>
      <c r="N881" s="8" t="str">
        <f t="shared" si="41"/>
        <v>-</v>
      </c>
      <c r="O881" s="126"/>
      <c r="P881" s="127"/>
      <c r="Q881" s="127"/>
      <c r="R881" s="126"/>
      <c r="S881" s="127"/>
      <c r="T881" s="8"/>
      <c r="U881" s="158"/>
      <c r="V881" s="7"/>
      <c r="W881" s="7"/>
      <c r="X881" s="146"/>
      <c r="Y881" s="7"/>
      <c r="Z881" s="7"/>
      <c r="AA881" s="7" t="str">
        <f>IFERROR((VLOOKUP(F881,#REF!,2,FALSE)),"-")</f>
        <v>-</v>
      </c>
      <c r="AB881" s="119" t="e">
        <f>CONCATENATE(F881," - ",I881," - ",#REF!,)</f>
        <v>#REF!</v>
      </c>
    </row>
    <row r="882" spans="1:28" s="116" customFormat="1" ht="15">
      <c r="A882" s="114"/>
      <c r="B882" s="120"/>
      <c r="C882" s="129" t="str">
        <f t="shared" si="39"/>
        <v>week-0</v>
      </c>
      <c r="D882" s="120" t="str">
        <f t="shared" si="40"/>
        <v>Jan</v>
      </c>
      <c r="E882" s="7"/>
      <c r="F882" s="7"/>
      <c r="G882" s="120"/>
      <c r="H882" s="120"/>
      <c r="I882" s="118"/>
      <c r="J882" s="118"/>
      <c r="K882" s="115"/>
      <c r="L882" s="115"/>
      <c r="M882" s="8"/>
      <c r="N882" s="8" t="str">
        <f t="shared" si="41"/>
        <v>-</v>
      </c>
      <c r="O882" s="126"/>
      <c r="P882" s="127"/>
      <c r="Q882" s="127"/>
      <c r="R882" s="126"/>
      <c r="S882" s="127"/>
      <c r="T882" s="8"/>
      <c r="U882" s="158"/>
      <c r="V882" s="7"/>
      <c r="W882" s="7"/>
      <c r="X882" s="146"/>
      <c r="Y882" s="7"/>
      <c r="Z882" s="7"/>
      <c r="AA882" s="7" t="str">
        <f>IFERROR((VLOOKUP(F882,#REF!,2,FALSE)),"-")</f>
        <v>-</v>
      </c>
      <c r="AB882" s="119" t="e">
        <f>CONCATENATE(F882," - ",I882," - ",#REF!,)</f>
        <v>#REF!</v>
      </c>
    </row>
    <row r="883" spans="1:28" s="116" customFormat="1" ht="15">
      <c r="A883" s="114"/>
      <c r="B883" s="120"/>
      <c r="C883" s="129" t="str">
        <f t="shared" si="39"/>
        <v>week-0</v>
      </c>
      <c r="D883" s="120" t="str">
        <f t="shared" si="40"/>
        <v>Jan</v>
      </c>
      <c r="E883" s="7"/>
      <c r="F883" s="7"/>
      <c r="G883" s="120"/>
      <c r="H883" s="120"/>
      <c r="I883" s="118"/>
      <c r="J883" s="118"/>
      <c r="K883" s="115"/>
      <c r="L883" s="115"/>
      <c r="M883" s="8"/>
      <c r="N883" s="8" t="str">
        <f t="shared" si="41"/>
        <v>-</v>
      </c>
      <c r="O883" s="126"/>
      <c r="P883" s="127"/>
      <c r="Q883" s="127"/>
      <c r="R883" s="126"/>
      <c r="S883" s="127"/>
      <c r="T883" s="8"/>
      <c r="U883" s="158"/>
      <c r="V883" s="7"/>
      <c r="W883" s="7"/>
      <c r="X883" s="146"/>
      <c r="Y883" s="7"/>
      <c r="Z883" s="7"/>
      <c r="AA883" s="7" t="str">
        <f>IFERROR((VLOOKUP(F883,#REF!,2,FALSE)),"-")</f>
        <v>-</v>
      </c>
      <c r="AB883" s="119" t="e">
        <f>CONCATENATE(F883," - ",I883," - ",#REF!,)</f>
        <v>#REF!</v>
      </c>
    </row>
    <row r="884" spans="1:28" s="116" customFormat="1" ht="15">
      <c r="A884" s="114"/>
      <c r="B884" s="120"/>
      <c r="C884" s="129" t="str">
        <f t="shared" si="39"/>
        <v>week-0</v>
      </c>
      <c r="D884" s="120" t="str">
        <f t="shared" si="40"/>
        <v>Jan</v>
      </c>
      <c r="E884" s="7"/>
      <c r="F884" s="7"/>
      <c r="G884" s="120"/>
      <c r="H884" s="120"/>
      <c r="I884" s="118"/>
      <c r="J884" s="118"/>
      <c r="K884" s="115"/>
      <c r="L884" s="115"/>
      <c r="M884" s="8"/>
      <c r="N884" s="8" t="str">
        <f t="shared" si="41"/>
        <v>-</v>
      </c>
      <c r="O884" s="126"/>
      <c r="P884" s="127"/>
      <c r="Q884" s="127"/>
      <c r="R884" s="126"/>
      <c r="S884" s="127"/>
      <c r="T884" s="8"/>
      <c r="U884" s="158"/>
      <c r="V884" s="7"/>
      <c r="W884" s="7"/>
      <c r="X884" s="146"/>
      <c r="Y884" s="7"/>
      <c r="Z884" s="7"/>
      <c r="AA884" s="7" t="str">
        <f>IFERROR((VLOOKUP(F884,#REF!,2,FALSE)),"-")</f>
        <v>-</v>
      </c>
      <c r="AB884" s="119" t="e">
        <f>CONCATENATE(F884," - ",I884," - ",#REF!,)</f>
        <v>#REF!</v>
      </c>
    </row>
    <row r="885" spans="1:28" s="116" customFormat="1" ht="15">
      <c r="A885" s="114"/>
      <c r="B885" s="120"/>
      <c r="C885" s="129" t="str">
        <f t="shared" si="39"/>
        <v>week-0</v>
      </c>
      <c r="D885" s="120" t="str">
        <f t="shared" si="40"/>
        <v>Jan</v>
      </c>
      <c r="E885" s="7"/>
      <c r="F885" s="7"/>
      <c r="G885" s="120"/>
      <c r="H885" s="120"/>
      <c r="I885" s="118"/>
      <c r="J885" s="118"/>
      <c r="K885" s="115"/>
      <c r="L885" s="115"/>
      <c r="M885" s="8"/>
      <c r="N885" s="8" t="str">
        <f t="shared" si="41"/>
        <v>-</v>
      </c>
      <c r="O885" s="126"/>
      <c r="P885" s="127"/>
      <c r="Q885" s="127"/>
      <c r="R885" s="126"/>
      <c r="S885" s="127"/>
      <c r="T885" s="8"/>
      <c r="U885" s="158"/>
      <c r="V885" s="7"/>
      <c r="W885" s="7"/>
      <c r="X885" s="146"/>
      <c r="Y885" s="7"/>
      <c r="Z885" s="7"/>
      <c r="AA885" s="7" t="str">
        <f>IFERROR((VLOOKUP(F885,#REF!,2,FALSE)),"-")</f>
        <v>-</v>
      </c>
      <c r="AB885" s="119" t="e">
        <f>CONCATENATE(F885," - ",I885," - ",#REF!,)</f>
        <v>#REF!</v>
      </c>
    </row>
    <row r="886" spans="1:28" s="116" customFormat="1" ht="15">
      <c r="A886" s="114"/>
      <c r="B886" s="120"/>
      <c r="C886" s="129" t="str">
        <f t="shared" si="39"/>
        <v>week-0</v>
      </c>
      <c r="D886" s="120" t="str">
        <f t="shared" si="40"/>
        <v>Jan</v>
      </c>
      <c r="E886" s="7"/>
      <c r="F886" s="7"/>
      <c r="G886" s="120"/>
      <c r="H886" s="120"/>
      <c r="I886" s="118"/>
      <c r="J886" s="118"/>
      <c r="K886" s="115"/>
      <c r="L886" s="115"/>
      <c r="M886" s="8"/>
      <c r="N886" s="8" t="str">
        <f t="shared" si="41"/>
        <v>-</v>
      </c>
      <c r="O886" s="126"/>
      <c r="P886" s="127"/>
      <c r="Q886" s="127"/>
      <c r="R886" s="126"/>
      <c r="S886" s="127"/>
      <c r="T886" s="8"/>
      <c r="U886" s="158"/>
      <c r="V886" s="7"/>
      <c r="W886" s="7"/>
      <c r="X886" s="146"/>
      <c r="Y886" s="7"/>
      <c r="Z886" s="7"/>
      <c r="AA886" s="7" t="str">
        <f>IFERROR((VLOOKUP(F886,#REF!,2,FALSE)),"-")</f>
        <v>-</v>
      </c>
      <c r="AB886" s="119" t="e">
        <f>CONCATENATE(F886," - ",I886," - ",#REF!,)</f>
        <v>#REF!</v>
      </c>
    </row>
    <row r="887" spans="1:28" s="116" customFormat="1" ht="15">
      <c r="A887" s="114"/>
      <c r="B887" s="120"/>
      <c r="C887" s="129" t="str">
        <f t="shared" si="39"/>
        <v>week-0</v>
      </c>
      <c r="D887" s="120" t="str">
        <f t="shared" si="40"/>
        <v>Jan</v>
      </c>
      <c r="E887" s="7"/>
      <c r="F887" s="7"/>
      <c r="G887" s="120"/>
      <c r="H887" s="120"/>
      <c r="I887" s="118"/>
      <c r="J887" s="118"/>
      <c r="K887" s="115"/>
      <c r="L887" s="115"/>
      <c r="M887" s="8"/>
      <c r="N887" s="8" t="str">
        <f t="shared" si="41"/>
        <v>-</v>
      </c>
      <c r="O887" s="126"/>
      <c r="P887" s="127"/>
      <c r="Q887" s="127"/>
      <c r="R887" s="126"/>
      <c r="S887" s="127"/>
      <c r="T887" s="8"/>
      <c r="U887" s="158"/>
      <c r="V887" s="7"/>
      <c r="W887" s="7"/>
      <c r="X887" s="146"/>
      <c r="Y887" s="7"/>
      <c r="Z887" s="7"/>
      <c r="AA887" s="7" t="str">
        <f>IFERROR((VLOOKUP(F887,#REF!,2,FALSE)),"-")</f>
        <v>-</v>
      </c>
      <c r="AB887" s="119" t="e">
        <f>CONCATENATE(F887," - ",I887," - ",#REF!,)</f>
        <v>#REF!</v>
      </c>
    </row>
    <row r="888" spans="1:28" s="116" customFormat="1" ht="15">
      <c r="A888" s="114"/>
      <c r="B888" s="120"/>
      <c r="C888" s="129" t="str">
        <f t="shared" si="39"/>
        <v>week-0</v>
      </c>
      <c r="D888" s="120" t="str">
        <f t="shared" si="40"/>
        <v>Jan</v>
      </c>
      <c r="E888" s="7"/>
      <c r="F888" s="7"/>
      <c r="G888" s="120"/>
      <c r="H888" s="120"/>
      <c r="I888" s="118"/>
      <c r="J888" s="118"/>
      <c r="K888" s="115"/>
      <c r="L888" s="115"/>
      <c r="M888" s="8"/>
      <c r="N888" s="8" t="str">
        <f t="shared" si="41"/>
        <v>-</v>
      </c>
      <c r="O888" s="126"/>
      <c r="P888" s="127"/>
      <c r="Q888" s="127"/>
      <c r="R888" s="126"/>
      <c r="S888" s="127"/>
      <c r="T888" s="8"/>
      <c r="U888" s="158"/>
      <c r="V888" s="7"/>
      <c r="W888" s="7"/>
      <c r="X888" s="146"/>
      <c r="Y888" s="7"/>
      <c r="Z888" s="7"/>
      <c r="AA888" s="7" t="str">
        <f>IFERROR((VLOOKUP(F888,#REF!,2,FALSE)),"-")</f>
        <v>-</v>
      </c>
      <c r="AB888" s="119" t="e">
        <f>CONCATENATE(F888," - ",I888," - ",#REF!,)</f>
        <v>#REF!</v>
      </c>
    </row>
    <row r="889" spans="1:28" s="116" customFormat="1" ht="15">
      <c r="A889" s="114"/>
      <c r="B889" s="120"/>
      <c r="C889" s="129" t="str">
        <f t="shared" si="39"/>
        <v>week-0</v>
      </c>
      <c r="D889" s="120" t="str">
        <f t="shared" si="40"/>
        <v>Jan</v>
      </c>
      <c r="E889" s="7"/>
      <c r="F889" s="7"/>
      <c r="G889" s="120"/>
      <c r="H889" s="120"/>
      <c r="I889" s="118"/>
      <c r="J889" s="118"/>
      <c r="K889" s="115"/>
      <c r="L889" s="115"/>
      <c r="M889" s="8"/>
      <c r="N889" s="8" t="str">
        <f t="shared" si="41"/>
        <v>-</v>
      </c>
      <c r="O889" s="126"/>
      <c r="P889" s="127"/>
      <c r="Q889" s="127"/>
      <c r="R889" s="126"/>
      <c r="S889" s="127"/>
      <c r="T889" s="8"/>
      <c r="U889" s="158"/>
      <c r="V889" s="7"/>
      <c r="W889" s="7"/>
      <c r="X889" s="146"/>
      <c r="Y889" s="7"/>
      <c r="Z889" s="7"/>
      <c r="AA889" s="7" t="str">
        <f>IFERROR((VLOOKUP(F889,#REF!,2,FALSE)),"-")</f>
        <v>-</v>
      </c>
      <c r="AB889" s="119" t="e">
        <f>CONCATENATE(F889," - ",I889," - ",#REF!,)</f>
        <v>#REF!</v>
      </c>
    </row>
    <row r="890" spans="1:28" s="116" customFormat="1" ht="15">
      <c r="A890" s="114"/>
      <c r="B890" s="120"/>
      <c r="C890" s="129" t="str">
        <f t="shared" si="39"/>
        <v>week-0</v>
      </c>
      <c r="D890" s="120" t="str">
        <f t="shared" si="40"/>
        <v>Jan</v>
      </c>
      <c r="E890" s="7"/>
      <c r="F890" s="7"/>
      <c r="G890" s="120"/>
      <c r="H890" s="120"/>
      <c r="I890" s="118"/>
      <c r="J890" s="118"/>
      <c r="K890" s="115"/>
      <c r="L890" s="115"/>
      <c r="M890" s="8"/>
      <c r="N890" s="8" t="str">
        <f t="shared" si="41"/>
        <v>-</v>
      </c>
      <c r="O890" s="126"/>
      <c r="P890" s="127"/>
      <c r="Q890" s="127"/>
      <c r="R890" s="126"/>
      <c r="S890" s="127"/>
      <c r="T890" s="8"/>
      <c r="U890" s="158"/>
      <c r="V890" s="7"/>
      <c r="W890" s="7"/>
      <c r="X890" s="146"/>
      <c r="Y890" s="7"/>
      <c r="Z890" s="7"/>
      <c r="AA890" s="7" t="str">
        <f>IFERROR((VLOOKUP(F890,#REF!,2,FALSE)),"-")</f>
        <v>-</v>
      </c>
      <c r="AB890" s="119" t="e">
        <f>CONCATENATE(F890," - ",I890," - ",#REF!,)</f>
        <v>#REF!</v>
      </c>
    </row>
    <row r="891" spans="1:28" s="116" customFormat="1" ht="15">
      <c r="A891" s="114"/>
      <c r="B891" s="120"/>
      <c r="C891" s="129" t="str">
        <f t="shared" si="39"/>
        <v>week-0</v>
      </c>
      <c r="D891" s="120" t="str">
        <f t="shared" si="40"/>
        <v>Jan</v>
      </c>
      <c r="E891" s="7"/>
      <c r="F891" s="7"/>
      <c r="G891" s="120"/>
      <c r="H891" s="120"/>
      <c r="I891" s="118"/>
      <c r="J891" s="118"/>
      <c r="K891" s="115"/>
      <c r="L891" s="115"/>
      <c r="M891" s="8"/>
      <c r="N891" s="8" t="str">
        <f t="shared" si="41"/>
        <v>-</v>
      </c>
      <c r="O891" s="126"/>
      <c r="P891" s="127"/>
      <c r="Q891" s="127"/>
      <c r="R891" s="126"/>
      <c r="S891" s="127"/>
      <c r="T891" s="8"/>
      <c r="U891" s="158"/>
      <c r="V891" s="7"/>
      <c r="W891" s="7"/>
      <c r="X891" s="146"/>
      <c r="Y891" s="7"/>
      <c r="Z891" s="7"/>
      <c r="AA891" s="7" t="str">
        <f>IFERROR((VLOOKUP(F891,#REF!,2,FALSE)),"-")</f>
        <v>-</v>
      </c>
      <c r="AB891" s="119" t="e">
        <f>CONCATENATE(F891," - ",I891," - ",#REF!,)</f>
        <v>#REF!</v>
      </c>
    </row>
    <row r="892" spans="1:28" s="116" customFormat="1" ht="15">
      <c r="A892" s="114"/>
      <c r="B892" s="120"/>
      <c r="C892" s="129" t="str">
        <f t="shared" si="39"/>
        <v>week-0</v>
      </c>
      <c r="D892" s="120" t="str">
        <f t="shared" si="40"/>
        <v>Jan</v>
      </c>
      <c r="E892" s="7"/>
      <c r="F892" s="7"/>
      <c r="G892" s="120"/>
      <c r="H892" s="120"/>
      <c r="I892" s="118"/>
      <c r="J892" s="118"/>
      <c r="K892" s="115"/>
      <c r="L892" s="115"/>
      <c r="M892" s="8"/>
      <c r="N892" s="8" t="str">
        <f t="shared" si="41"/>
        <v>-</v>
      </c>
      <c r="O892" s="126"/>
      <c r="P892" s="127"/>
      <c r="Q892" s="127"/>
      <c r="R892" s="126"/>
      <c r="S892" s="127"/>
      <c r="T892" s="8"/>
      <c r="U892" s="158"/>
      <c r="V892" s="7"/>
      <c r="W892" s="7"/>
      <c r="X892" s="146"/>
      <c r="Y892" s="7"/>
      <c r="Z892" s="7"/>
      <c r="AA892" s="7" t="str">
        <f>IFERROR((VLOOKUP(F892,#REF!,2,FALSE)),"-")</f>
        <v>-</v>
      </c>
      <c r="AB892" s="119" t="e">
        <f>CONCATENATE(F892," - ",I892," - ",#REF!,)</f>
        <v>#REF!</v>
      </c>
    </row>
    <row r="893" spans="1:28" s="116" customFormat="1" ht="15">
      <c r="A893" s="114"/>
      <c r="B893" s="120"/>
      <c r="C893" s="129" t="str">
        <f t="shared" si="39"/>
        <v>week-0</v>
      </c>
      <c r="D893" s="120" t="str">
        <f t="shared" si="40"/>
        <v>Jan</v>
      </c>
      <c r="E893" s="7"/>
      <c r="F893" s="7"/>
      <c r="G893" s="120"/>
      <c r="H893" s="120"/>
      <c r="I893" s="118"/>
      <c r="J893" s="118"/>
      <c r="K893" s="115"/>
      <c r="L893" s="115"/>
      <c r="M893" s="8"/>
      <c r="N893" s="8" t="str">
        <f t="shared" si="41"/>
        <v>-</v>
      </c>
      <c r="O893" s="126"/>
      <c r="P893" s="127"/>
      <c r="Q893" s="127"/>
      <c r="R893" s="126"/>
      <c r="S893" s="127"/>
      <c r="T893" s="8"/>
      <c r="U893" s="158"/>
      <c r="V893" s="7"/>
      <c r="W893" s="7"/>
      <c r="X893" s="146"/>
      <c r="Y893" s="7"/>
      <c r="Z893" s="7"/>
      <c r="AA893" s="7" t="str">
        <f>IFERROR((VLOOKUP(F893,#REF!,2,FALSE)),"-")</f>
        <v>-</v>
      </c>
      <c r="AB893" s="119" t="e">
        <f>CONCATENATE(F893," - ",I893," - ",#REF!,)</f>
        <v>#REF!</v>
      </c>
    </row>
    <row r="894" spans="1:28" s="116" customFormat="1" ht="15">
      <c r="A894" s="114"/>
      <c r="B894" s="120"/>
      <c r="C894" s="129" t="str">
        <f t="shared" si="39"/>
        <v>week-0</v>
      </c>
      <c r="D894" s="120" t="str">
        <f t="shared" si="40"/>
        <v>Jan</v>
      </c>
      <c r="E894" s="7"/>
      <c r="F894" s="7"/>
      <c r="G894" s="120"/>
      <c r="H894" s="120"/>
      <c r="I894" s="118"/>
      <c r="J894" s="118"/>
      <c r="K894" s="115"/>
      <c r="L894" s="115"/>
      <c r="M894" s="8"/>
      <c r="N894" s="8" t="str">
        <f t="shared" si="41"/>
        <v>-</v>
      </c>
      <c r="O894" s="126"/>
      <c r="P894" s="127"/>
      <c r="Q894" s="127"/>
      <c r="R894" s="126"/>
      <c r="S894" s="127"/>
      <c r="T894" s="8"/>
      <c r="U894" s="158"/>
      <c r="V894" s="7"/>
      <c r="W894" s="7"/>
      <c r="X894" s="146"/>
      <c r="Y894" s="7"/>
      <c r="Z894" s="7"/>
      <c r="AA894" s="7" t="str">
        <f>IFERROR((VLOOKUP(F894,#REF!,2,FALSE)),"-")</f>
        <v>-</v>
      </c>
      <c r="AB894" s="119" t="e">
        <f>CONCATENATE(F894," - ",I894," - ",#REF!,)</f>
        <v>#REF!</v>
      </c>
    </row>
    <row r="895" spans="1:28" s="116" customFormat="1" ht="15">
      <c r="A895" s="114"/>
      <c r="B895" s="120"/>
      <c r="C895" s="129" t="str">
        <f t="shared" si="39"/>
        <v>week-0</v>
      </c>
      <c r="D895" s="120" t="str">
        <f t="shared" si="40"/>
        <v>Jan</v>
      </c>
      <c r="E895" s="7"/>
      <c r="F895" s="7"/>
      <c r="G895" s="120"/>
      <c r="H895" s="120"/>
      <c r="I895" s="118"/>
      <c r="J895" s="118"/>
      <c r="K895" s="115"/>
      <c r="L895" s="115"/>
      <c r="M895" s="8"/>
      <c r="N895" s="8" t="str">
        <f t="shared" si="41"/>
        <v>-</v>
      </c>
      <c r="O895" s="126"/>
      <c r="P895" s="127"/>
      <c r="Q895" s="127"/>
      <c r="R895" s="126"/>
      <c r="S895" s="127"/>
      <c r="T895" s="8"/>
      <c r="U895" s="158"/>
      <c r="V895" s="7"/>
      <c r="W895" s="7"/>
      <c r="X895" s="146"/>
      <c r="Y895" s="7"/>
      <c r="Z895" s="7"/>
      <c r="AA895" s="7" t="str">
        <f>IFERROR((VLOOKUP(F895,#REF!,2,FALSE)),"-")</f>
        <v>-</v>
      </c>
      <c r="AB895" s="119" t="e">
        <f>CONCATENATE(F895," - ",I895," - ",#REF!,)</f>
        <v>#REF!</v>
      </c>
    </row>
    <row r="896" spans="1:28" s="116" customFormat="1" ht="15">
      <c r="A896" s="114"/>
      <c r="B896" s="120"/>
      <c r="C896" s="129" t="str">
        <f t="shared" si="39"/>
        <v>week-0</v>
      </c>
      <c r="D896" s="120" t="str">
        <f t="shared" si="40"/>
        <v>Jan</v>
      </c>
      <c r="E896" s="7"/>
      <c r="F896" s="7"/>
      <c r="G896" s="120"/>
      <c r="H896" s="120"/>
      <c r="I896" s="118"/>
      <c r="J896" s="118"/>
      <c r="K896" s="115"/>
      <c r="L896" s="115"/>
      <c r="M896" s="8"/>
      <c r="N896" s="8" t="str">
        <f t="shared" si="41"/>
        <v>-</v>
      </c>
      <c r="O896" s="126"/>
      <c r="P896" s="127"/>
      <c r="Q896" s="127"/>
      <c r="R896" s="126"/>
      <c r="S896" s="127"/>
      <c r="T896" s="8"/>
      <c r="U896" s="158"/>
      <c r="V896" s="7"/>
      <c r="W896" s="7"/>
      <c r="X896" s="146"/>
      <c r="Y896" s="7"/>
      <c r="Z896" s="7"/>
      <c r="AA896" s="7" t="str">
        <f>IFERROR((VLOOKUP(F896,#REF!,2,FALSE)),"-")</f>
        <v>-</v>
      </c>
      <c r="AB896" s="119" t="e">
        <f>CONCATENATE(F896," - ",I896," - ",#REF!,)</f>
        <v>#REF!</v>
      </c>
    </row>
    <row r="897" spans="1:28" s="116" customFormat="1" ht="15">
      <c r="A897" s="114"/>
      <c r="B897" s="120"/>
      <c r="C897" s="129" t="str">
        <f t="shared" si="39"/>
        <v>week-0</v>
      </c>
      <c r="D897" s="120" t="str">
        <f t="shared" si="40"/>
        <v>Jan</v>
      </c>
      <c r="E897" s="7"/>
      <c r="F897" s="7"/>
      <c r="G897" s="120"/>
      <c r="H897" s="120"/>
      <c r="I897" s="118"/>
      <c r="J897" s="118"/>
      <c r="K897" s="115"/>
      <c r="L897" s="115"/>
      <c r="M897" s="8"/>
      <c r="N897" s="8" t="str">
        <f t="shared" si="41"/>
        <v>-</v>
      </c>
      <c r="O897" s="126"/>
      <c r="P897" s="127"/>
      <c r="Q897" s="127"/>
      <c r="R897" s="126"/>
      <c r="S897" s="127"/>
      <c r="T897" s="8"/>
      <c r="U897" s="158"/>
      <c r="V897" s="7"/>
      <c r="W897" s="7"/>
      <c r="X897" s="146"/>
      <c r="Y897" s="7"/>
      <c r="Z897" s="7"/>
      <c r="AA897" s="7" t="str">
        <f>IFERROR((VLOOKUP(F897,#REF!,2,FALSE)),"-")</f>
        <v>-</v>
      </c>
      <c r="AB897" s="119" t="e">
        <f>CONCATENATE(F897," - ",I897," - ",#REF!,)</f>
        <v>#REF!</v>
      </c>
    </row>
    <row r="898" spans="1:28" s="116" customFormat="1" ht="15">
      <c r="A898" s="114"/>
      <c r="B898" s="120"/>
      <c r="C898" s="129" t="str">
        <f t="shared" si="39"/>
        <v>week-0</v>
      </c>
      <c r="D898" s="120" t="str">
        <f t="shared" si="40"/>
        <v>Jan</v>
      </c>
      <c r="E898" s="7"/>
      <c r="F898" s="7"/>
      <c r="G898" s="120"/>
      <c r="H898" s="120"/>
      <c r="I898" s="118"/>
      <c r="J898" s="118"/>
      <c r="K898" s="115"/>
      <c r="L898" s="115"/>
      <c r="M898" s="8"/>
      <c r="N898" s="8" t="str">
        <f t="shared" si="41"/>
        <v>-</v>
      </c>
      <c r="O898" s="126"/>
      <c r="P898" s="127"/>
      <c r="Q898" s="127"/>
      <c r="R898" s="126"/>
      <c r="S898" s="127"/>
      <c r="T898" s="8"/>
      <c r="U898" s="158"/>
      <c r="V898" s="7"/>
      <c r="W898" s="7"/>
      <c r="X898" s="146"/>
      <c r="Y898" s="7"/>
      <c r="Z898" s="7"/>
      <c r="AA898" s="7" t="str">
        <f>IFERROR((VLOOKUP(F898,#REF!,2,FALSE)),"-")</f>
        <v>-</v>
      </c>
      <c r="AB898" s="119" t="e">
        <f>CONCATENATE(F898," - ",I898," - ",#REF!,)</f>
        <v>#REF!</v>
      </c>
    </row>
    <row r="899" spans="1:28" s="116" customFormat="1" ht="15">
      <c r="A899" s="114"/>
      <c r="B899" s="120"/>
      <c r="C899" s="129" t="str">
        <f t="shared" si="39"/>
        <v>week-0</v>
      </c>
      <c r="D899" s="120" t="str">
        <f t="shared" si="40"/>
        <v>Jan</v>
      </c>
      <c r="E899" s="7"/>
      <c r="F899" s="7"/>
      <c r="G899" s="120"/>
      <c r="H899" s="120"/>
      <c r="I899" s="118"/>
      <c r="J899" s="118"/>
      <c r="K899" s="115"/>
      <c r="L899" s="115"/>
      <c r="M899" s="8"/>
      <c r="N899" s="8" t="str">
        <f t="shared" si="41"/>
        <v>-</v>
      </c>
      <c r="O899" s="126"/>
      <c r="P899" s="127"/>
      <c r="Q899" s="127"/>
      <c r="R899" s="126"/>
      <c r="S899" s="127"/>
      <c r="T899" s="8"/>
      <c r="U899" s="158"/>
      <c r="V899" s="7"/>
      <c r="W899" s="7"/>
      <c r="X899" s="146"/>
      <c r="Y899" s="7"/>
      <c r="Z899" s="7"/>
      <c r="AA899" s="7" t="str">
        <f>IFERROR((VLOOKUP(F899,#REF!,2,FALSE)),"-")</f>
        <v>-</v>
      </c>
      <c r="AB899" s="119" t="e">
        <f>CONCATENATE(F899," - ",I899," - ",#REF!,)</f>
        <v>#REF!</v>
      </c>
    </row>
    <row r="900" spans="1:28" s="116" customFormat="1" ht="15">
      <c r="A900" s="114"/>
      <c r="B900" s="120"/>
      <c r="C900" s="129" t="str">
        <f t="shared" ref="C900:C963" si="42">"week-"&amp;WEEKNUM(B900)</f>
        <v>week-0</v>
      </c>
      <c r="D900" s="120" t="str">
        <f t="shared" ref="D900:D963" si="43">TEXT(B900,"mmm")</f>
        <v>Jan</v>
      </c>
      <c r="E900" s="7"/>
      <c r="F900" s="7"/>
      <c r="G900" s="120"/>
      <c r="H900" s="120"/>
      <c r="I900" s="118"/>
      <c r="J900" s="118"/>
      <c r="K900" s="115"/>
      <c r="L900" s="115"/>
      <c r="M900" s="8"/>
      <c r="N900" s="8" t="str">
        <f t="shared" ref="N900:N963" si="44">IF(ISBLANK(M900),"-",(M900/60))</f>
        <v>-</v>
      </c>
      <c r="O900" s="126"/>
      <c r="P900" s="127"/>
      <c r="Q900" s="127"/>
      <c r="R900" s="126"/>
      <c r="S900" s="127"/>
      <c r="T900" s="8"/>
      <c r="U900" s="158"/>
      <c r="V900" s="7"/>
      <c r="W900" s="7"/>
      <c r="X900" s="146"/>
      <c r="Y900" s="7"/>
      <c r="Z900" s="7"/>
      <c r="AA900" s="7" t="str">
        <f>IFERROR((VLOOKUP(F900,#REF!,2,FALSE)),"-")</f>
        <v>-</v>
      </c>
      <c r="AB900" s="119" t="e">
        <f>CONCATENATE(F900," - ",I900," - ",#REF!,)</f>
        <v>#REF!</v>
      </c>
    </row>
    <row r="901" spans="1:28" s="116" customFormat="1" ht="15">
      <c r="A901" s="114"/>
      <c r="B901" s="120"/>
      <c r="C901" s="129" t="str">
        <f t="shared" si="42"/>
        <v>week-0</v>
      </c>
      <c r="D901" s="120" t="str">
        <f t="shared" si="43"/>
        <v>Jan</v>
      </c>
      <c r="E901" s="7"/>
      <c r="F901" s="7"/>
      <c r="G901" s="120"/>
      <c r="H901" s="120"/>
      <c r="I901" s="118"/>
      <c r="J901" s="118"/>
      <c r="K901" s="115"/>
      <c r="L901" s="115"/>
      <c r="M901" s="8"/>
      <c r="N901" s="8" t="str">
        <f t="shared" si="44"/>
        <v>-</v>
      </c>
      <c r="O901" s="126"/>
      <c r="P901" s="127"/>
      <c r="Q901" s="127"/>
      <c r="R901" s="126"/>
      <c r="S901" s="127"/>
      <c r="T901" s="8"/>
      <c r="U901" s="158"/>
      <c r="V901" s="7"/>
      <c r="W901" s="7"/>
      <c r="X901" s="146"/>
      <c r="Y901" s="7"/>
      <c r="Z901" s="7"/>
      <c r="AA901" s="7" t="str">
        <f>IFERROR((VLOOKUP(F901,#REF!,2,FALSE)),"-")</f>
        <v>-</v>
      </c>
      <c r="AB901" s="119" t="e">
        <f>CONCATENATE(F901," - ",I901," - ",#REF!,)</f>
        <v>#REF!</v>
      </c>
    </row>
    <row r="902" spans="1:28" s="116" customFormat="1" ht="15">
      <c r="A902" s="114"/>
      <c r="B902" s="120"/>
      <c r="C902" s="129" t="str">
        <f t="shared" si="42"/>
        <v>week-0</v>
      </c>
      <c r="D902" s="120" t="str">
        <f t="shared" si="43"/>
        <v>Jan</v>
      </c>
      <c r="E902" s="7"/>
      <c r="F902" s="7"/>
      <c r="G902" s="120"/>
      <c r="H902" s="120"/>
      <c r="I902" s="118"/>
      <c r="J902" s="118"/>
      <c r="K902" s="115"/>
      <c r="L902" s="115"/>
      <c r="M902" s="8"/>
      <c r="N902" s="8" t="str">
        <f t="shared" si="44"/>
        <v>-</v>
      </c>
      <c r="O902" s="126"/>
      <c r="P902" s="127"/>
      <c r="Q902" s="127"/>
      <c r="R902" s="126"/>
      <c r="S902" s="127"/>
      <c r="T902" s="8"/>
      <c r="U902" s="158"/>
      <c r="V902" s="7"/>
      <c r="W902" s="7"/>
      <c r="X902" s="146"/>
      <c r="Y902" s="7"/>
      <c r="Z902" s="7"/>
      <c r="AA902" s="7" t="str">
        <f>IFERROR((VLOOKUP(F902,#REF!,2,FALSE)),"-")</f>
        <v>-</v>
      </c>
      <c r="AB902" s="119" t="e">
        <f>CONCATENATE(F902," - ",I902," - ",#REF!,)</f>
        <v>#REF!</v>
      </c>
    </row>
    <row r="903" spans="1:28" s="116" customFormat="1" ht="15">
      <c r="A903" s="114"/>
      <c r="B903" s="120"/>
      <c r="C903" s="129" t="str">
        <f t="shared" si="42"/>
        <v>week-0</v>
      </c>
      <c r="D903" s="120" t="str">
        <f t="shared" si="43"/>
        <v>Jan</v>
      </c>
      <c r="E903" s="7"/>
      <c r="F903" s="7"/>
      <c r="G903" s="120"/>
      <c r="H903" s="120"/>
      <c r="I903" s="118"/>
      <c r="J903" s="118"/>
      <c r="K903" s="115"/>
      <c r="L903" s="115"/>
      <c r="M903" s="8"/>
      <c r="N903" s="8" t="str">
        <f t="shared" si="44"/>
        <v>-</v>
      </c>
      <c r="O903" s="126"/>
      <c r="P903" s="127"/>
      <c r="Q903" s="127"/>
      <c r="R903" s="126"/>
      <c r="S903" s="127"/>
      <c r="T903" s="8"/>
      <c r="U903" s="158"/>
      <c r="V903" s="7"/>
      <c r="W903" s="7"/>
      <c r="X903" s="146"/>
      <c r="Y903" s="7"/>
      <c r="Z903" s="7"/>
      <c r="AA903" s="7" t="str">
        <f>IFERROR((VLOOKUP(F903,#REF!,2,FALSE)),"-")</f>
        <v>-</v>
      </c>
      <c r="AB903" s="119" t="e">
        <f>CONCATENATE(F903," - ",I903," - ",#REF!,)</f>
        <v>#REF!</v>
      </c>
    </row>
    <row r="904" spans="1:28" s="116" customFormat="1" ht="15">
      <c r="A904" s="114"/>
      <c r="B904" s="120"/>
      <c r="C904" s="129" t="str">
        <f t="shared" si="42"/>
        <v>week-0</v>
      </c>
      <c r="D904" s="120" t="str">
        <f t="shared" si="43"/>
        <v>Jan</v>
      </c>
      <c r="E904" s="7"/>
      <c r="F904" s="7"/>
      <c r="G904" s="120"/>
      <c r="H904" s="120"/>
      <c r="I904" s="118"/>
      <c r="J904" s="118"/>
      <c r="K904" s="115"/>
      <c r="L904" s="115"/>
      <c r="M904" s="8"/>
      <c r="N904" s="8" t="str">
        <f t="shared" si="44"/>
        <v>-</v>
      </c>
      <c r="O904" s="126"/>
      <c r="P904" s="127"/>
      <c r="Q904" s="127"/>
      <c r="R904" s="126"/>
      <c r="S904" s="127"/>
      <c r="T904" s="8"/>
      <c r="U904" s="158"/>
      <c r="V904" s="7"/>
      <c r="W904" s="7"/>
      <c r="X904" s="146"/>
      <c r="Y904" s="7"/>
      <c r="Z904" s="7"/>
      <c r="AA904" s="7" t="str">
        <f>IFERROR((VLOOKUP(F904,#REF!,2,FALSE)),"-")</f>
        <v>-</v>
      </c>
      <c r="AB904" s="119" t="e">
        <f>CONCATENATE(F904," - ",I904," - ",#REF!,)</f>
        <v>#REF!</v>
      </c>
    </row>
    <row r="905" spans="1:28" s="116" customFormat="1" ht="15">
      <c r="A905" s="114"/>
      <c r="B905" s="120"/>
      <c r="C905" s="129" t="str">
        <f t="shared" si="42"/>
        <v>week-0</v>
      </c>
      <c r="D905" s="120" t="str">
        <f t="shared" si="43"/>
        <v>Jan</v>
      </c>
      <c r="E905" s="7"/>
      <c r="F905" s="7"/>
      <c r="G905" s="120"/>
      <c r="H905" s="120"/>
      <c r="I905" s="118"/>
      <c r="J905" s="118"/>
      <c r="K905" s="115"/>
      <c r="L905" s="115"/>
      <c r="M905" s="8"/>
      <c r="N905" s="8" t="str">
        <f t="shared" si="44"/>
        <v>-</v>
      </c>
      <c r="O905" s="126"/>
      <c r="P905" s="127"/>
      <c r="Q905" s="127"/>
      <c r="R905" s="126"/>
      <c r="S905" s="127"/>
      <c r="T905" s="8"/>
      <c r="U905" s="158"/>
      <c r="V905" s="7"/>
      <c r="W905" s="7"/>
      <c r="X905" s="146"/>
      <c r="Y905" s="7"/>
      <c r="Z905" s="7"/>
      <c r="AA905" s="7" t="str">
        <f>IFERROR((VLOOKUP(F905,#REF!,2,FALSE)),"-")</f>
        <v>-</v>
      </c>
      <c r="AB905" s="119" t="e">
        <f>CONCATENATE(F905," - ",I905," - ",#REF!,)</f>
        <v>#REF!</v>
      </c>
    </row>
    <row r="906" spans="1:28" s="116" customFormat="1" ht="15">
      <c r="A906" s="114"/>
      <c r="B906" s="120"/>
      <c r="C906" s="129" t="str">
        <f t="shared" si="42"/>
        <v>week-0</v>
      </c>
      <c r="D906" s="120" t="str">
        <f t="shared" si="43"/>
        <v>Jan</v>
      </c>
      <c r="E906" s="7"/>
      <c r="F906" s="7"/>
      <c r="G906" s="120"/>
      <c r="H906" s="120"/>
      <c r="I906" s="118"/>
      <c r="J906" s="118"/>
      <c r="K906" s="115"/>
      <c r="L906" s="115"/>
      <c r="M906" s="8"/>
      <c r="N906" s="8" t="str">
        <f t="shared" si="44"/>
        <v>-</v>
      </c>
      <c r="O906" s="126"/>
      <c r="P906" s="127"/>
      <c r="Q906" s="127"/>
      <c r="R906" s="126"/>
      <c r="S906" s="127"/>
      <c r="T906" s="8"/>
      <c r="U906" s="158"/>
      <c r="V906" s="7"/>
      <c r="W906" s="7"/>
      <c r="X906" s="146"/>
      <c r="Y906" s="7"/>
      <c r="Z906" s="7"/>
      <c r="AA906" s="7" t="str">
        <f>IFERROR((VLOOKUP(F906,#REF!,2,FALSE)),"-")</f>
        <v>-</v>
      </c>
      <c r="AB906" s="119" t="e">
        <f>CONCATENATE(F906," - ",I906," - ",#REF!,)</f>
        <v>#REF!</v>
      </c>
    </row>
    <row r="907" spans="1:28" s="116" customFormat="1" ht="15">
      <c r="A907" s="114"/>
      <c r="B907" s="120"/>
      <c r="C907" s="129" t="str">
        <f t="shared" si="42"/>
        <v>week-0</v>
      </c>
      <c r="D907" s="120" t="str">
        <f t="shared" si="43"/>
        <v>Jan</v>
      </c>
      <c r="E907" s="7"/>
      <c r="F907" s="7"/>
      <c r="G907" s="120"/>
      <c r="H907" s="120"/>
      <c r="I907" s="118"/>
      <c r="J907" s="118"/>
      <c r="K907" s="115"/>
      <c r="L907" s="115"/>
      <c r="M907" s="8"/>
      <c r="N907" s="8" t="str">
        <f t="shared" si="44"/>
        <v>-</v>
      </c>
      <c r="O907" s="126"/>
      <c r="P907" s="127"/>
      <c r="Q907" s="127"/>
      <c r="R907" s="126"/>
      <c r="S907" s="127"/>
      <c r="T907" s="8"/>
      <c r="U907" s="158"/>
      <c r="V907" s="7"/>
      <c r="W907" s="7"/>
      <c r="X907" s="146"/>
      <c r="Y907" s="7"/>
      <c r="Z907" s="7"/>
      <c r="AA907" s="7" t="str">
        <f>IFERROR((VLOOKUP(F907,#REF!,2,FALSE)),"-")</f>
        <v>-</v>
      </c>
      <c r="AB907" s="119" t="e">
        <f>CONCATENATE(F907," - ",I907," - ",#REF!,)</f>
        <v>#REF!</v>
      </c>
    </row>
    <row r="908" spans="1:28" s="116" customFormat="1" ht="15">
      <c r="A908" s="114"/>
      <c r="B908" s="120"/>
      <c r="C908" s="129" t="str">
        <f t="shared" si="42"/>
        <v>week-0</v>
      </c>
      <c r="D908" s="120" t="str">
        <f t="shared" si="43"/>
        <v>Jan</v>
      </c>
      <c r="E908" s="7"/>
      <c r="F908" s="7"/>
      <c r="G908" s="120"/>
      <c r="H908" s="120"/>
      <c r="I908" s="118"/>
      <c r="J908" s="118"/>
      <c r="K908" s="115"/>
      <c r="L908" s="115"/>
      <c r="M908" s="8"/>
      <c r="N908" s="8" t="str">
        <f t="shared" si="44"/>
        <v>-</v>
      </c>
      <c r="O908" s="126"/>
      <c r="P908" s="127"/>
      <c r="Q908" s="127"/>
      <c r="R908" s="126"/>
      <c r="S908" s="127"/>
      <c r="T908" s="8"/>
      <c r="U908" s="158"/>
      <c r="V908" s="7"/>
      <c r="W908" s="7"/>
      <c r="X908" s="146"/>
      <c r="Y908" s="7"/>
      <c r="Z908" s="7"/>
      <c r="AA908" s="7" t="str">
        <f>IFERROR((VLOOKUP(F908,#REF!,2,FALSE)),"-")</f>
        <v>-</v>
      </c>
      <c r="AB908" s="119" t="e">
        <f>CONCATENATE(F908," - ",I908," - ",#REF!,)</f>
        <v>#REF!</v>
      </c>
    </row>
    <row r="909" spans="1:28" s="116" customFormat="1" ht="15">
      <c r="A909" s="114"/>
      <c r="B909" s="120"/>
      <c r="C909" s="129" t="str">
        <f t="shared" si="42"/>
        <v>week-0</v>
      </c>
      <c r="D909" s="120" t="str">
        <f t="shared" si="43"/>
        <v>Jan</v>
      </c>
      <c r="E909" s="7"/>
      <c r="F909" s="7"/>
      <c r="G909" s="120"/>
      <c r="H909" s="120"/>
      <c r="I909" s="118"/>
      <c r="J909" s="118"/>
      <c r="K909" s="115"/>
      <c r="L909" s="115"/>
      <c r="M909" s="8"/>
      <c r="N909" s="8" t="str">
        <f t="shared" si="44"/>
        <v>-</v>
      </c>
      <c r="O909" s="126"/>
      <c r="P909" s="127"/>
      <c r="Q909" s="127"/>
      <c r="R909" s="126"/>
      <c r="S909" s="127"/>
      <c r="T909" s="8"/>
      <c r="U909" s="158"/>
      <c r="V909" s="7"/>
      <c r="W909" s="7"/>
      <c r="X909" s="146"/>
      <c r="Y909" s="7"/>
      <c r="Z909" s="7"/>
      <c r="AA909" s="7" t="str">
        <f>IFERROR((VLOOKUP(F909,#REF!,2,FALSE)),"-")</f>
        <v>-</v>
      </c>
      <c r="AB909" s="119" t="e">
        <f>CONCATENATE(F909," - ",I909," - ",#REF!,)</f>
        <v>#REF!</v>
      </c>
    </row>
    <row r="910" spans="1:28" s="116" customFormat="1" ht="15">
      <c r="A910" s="114"/>
      <c r="B910" s="120"/>
      <c r="C910" s="129" t="str">
        <f t="shared" si="42"/>
        <v>week-0</v>
      </c>
      <c r="D910" s="120" t="str">
        <f t="shared" si="43"/>
        <v>Jan</v>
      </c>
      <c r="E910" s="7"/>
      <c r="F910" s="7"/>
      <c r="G910" s="120"/>
      <c r="H910" s="120"/>
      <c r="I910" s="118"/>
      <c r="J910" s="118"/>
      <c r="K910" s="115"/>
      <c r="L910" s="115"/>
      <c r="M910" s="8"/>
      <c r="N910" s="8" t="str">
        <f t="shared" si="44"/>
        <v>-</v>
      </c>
      <c r="O910" s="126"/>
      <c r="P910" s="127"/>
      <c r="Q910" s="127"/>
      <c r="R910" s="126"/>
      <c r="S910" s="127"/>
      <c r="T910" s="8"/>
      <c r="U910" s="158"/>
      <c r="V910" s="7"/>
      <c r="W910" s="7"/>
      <c r="X910" s="146"/>
      <c r="Y910" s="7"/>
      <c r="Z910" s="7"/>
      <c r="AA910" s="7" t="str">
        <f>IFERROR((VLOOKUP(F910,#REF!,2,FALSE)),"-")</f>
        <v>-</v>
      </c>
      <c r="AB910" s="119" t="e">
        <f>CONCATENATE(F910," - ",I910," - ",#REF!,)</f>
        <v>#REF!</v>
      </c>
    </row>
    <row r="911" spans="1:28" s="116" customFormat="1" ht="15">
      <c r="A911" s="114"/>
      <c r="B911" s="120"/>
      <c r="C911" s="129" t="str">
        <f t="shared" si="42"/>
        <v>week-0</v>
      </c>
      <c r="D911" s="120" t="str">
        <f t="shared" si="43"/>
        <v>Jan</v>
      </c>
      <c r="E911" s="7"/>
      <c r="F911" s="7"/>
      <c r="G911" s="120"/>
      <c r="H911" s="120"/>
      <c r="I911" s="118"/>
      <c r="J911" s="118"/>
      <c r="K911" s="115"/>
      <c r="L911" s="115"/>
      <c r="M911" s="8"/>
      <c r="N911" s="8" t="str">
        <f t="shared" si="44"/>
        <v>-</v>
      </c>
      <c r="O911" s="126"/>
      <c r="P911" s="127"/>
      <c r="Q911" s="127"/>
      <c r="R911" s="126"/>
      <c r="S911" s="127"/>
      <c r="T911" s="8"/>
      <c r="U911" s="158"/>
      <c r="V911" s="7"/>
      <c r="W911" s="7"/>
      <c r="X911" s="146"/>
      <c r="Y911" s="7"/>
      <c r="Z911" s="7"/>
      <c r="AA911" s="7" t="str">
        <f>IFERROR((VLOOKUP(F911,#REF!,2,FALSE)),"-")</f>
        <v>-</v>
      </c>
      <c r="AB911" s="119" t="e">
        <f>CONCATENATE(F911," - ",I911," - ",#REF!,)</f>
        <v>#REF!</v>
      </c>
    </row>
    <row r="912" spans="1:28" s="116" customFormat="1" ht="15">
      <c r="A912" s="114"/>
      <c r="B912" s="120"/>
      <c r="C912" s="129" t="str">
        <f t="shared" si="42"/>
        <v>week-0</v>
      </c>
      <c r="D912" s="120" t="str">
        <f t="shared" si="43"/>
        <v>Jan</v>
      </c>
      <c r="E912" s="7"/>
      <c r="F912" s="7"/>
      <c r="G912" s="120"/>
      <c r="H912" s="120"/>
      <c r="I912" s="118"/>
      <c r="J912" s="118"/>
      <c r="K912" s="115"/>
      <c r="L912" s="115"/>
      <c r="M912" s="8"/>
      <c r="N912" s="8" t="str">
        <f t="shared" si="44"/>
        <v>-</v>
      </c>
      <c r="O912" s="126"/>
      <c r="P912" s="127"/>
      <c r="Q912" s="127"/>
      <c r="R912" s="126"/>
      <c r="S912" s="127"/>
      <c r="T912" s="8"/>
      <c r="U912" s="158"/>
      <c r="V912" s="7"/>
      <c r="W912" s="7"/>
      <c r="X912" s="146"/>
      <c r="Y912" s="7"/>
      <c r="Z912" s="7"/>
      <c r="AA912" s="7" t="str">
        <f>IFERROR((VLOOKUP(F912,#REF!,2,FALSE)),"-")</f>
        <v>-</v>
      </c>
      <c r="AB912" s="119" t="e">
        <f>CONCATENATE(F912," - ",I912," - ",#REF!,)</f>
        <v>#REF!</v>
      </c>
    </row>
    <row r="913" spans="1:28" s="116" customFormat="1" ht="15">
      <c r="A913" s="114"/>
      <c r="B913" s="120"/>
      <c r="C913" s="129" t="str">
        <f t="shared" si="42"/>
        <v>week-0</v>
      </c>
      <c r="D913" s="120" t="str">
        <f t="shared" si="43"/>
        <v>Jan</v>
      </c>
      <c r="E913" s="7"/>
      <c r="F913" s="7"/>
      <c r="G913" s="120"/>
      <c r="H913" s="120"/>
      <c r="I913" s="118"/>
      <c r="J913" s="118"/>
      <c r="K913" s="115"/>
      <c r="L913" s="115"/>
      <c r="M913" s="8"/>
      <c r="N913" s="8" t="str">
        <f t="shared" si="44"/>
        <v>-</v>
      </c>
      <c r="O913" s="126"/>
      <c r="P913" s="127"/>
      <c r="Q913" s="127"/>
      <c r="R913" s="126"/>
      <c r="S913" s="127"/>
      <c r="T913" s="8"/>
      <c r="U913" s="158"/>
      <c r="V913" s="7"/>
      <c r="W913" s="7"/>
      <c r="X913" s="146"/>
      <c r="Y913" s="7"/>
      <c r="Z913" s="7"/>
      <c r="AA913" s="7" t="str">
        <f>IFERROR((VLOOKUP(F913,#REF!,2,FALSE)),"-")</f>
        <v>-</v>
      </c>
      <c r="AB913" s="119" t="e">
        <f>CONCATENATE(F913," - ",I913," - ",#REF!,)</f>
        <v>#REF!</v>
      </c>
    </row>
    <row r="914" spans="1:28" s="116" customFormat="1" ht="15">
      <c r="A914" s="114"/>
      <c r="B914" s="120"/>
      <c r="C914" s="129" t="str">
        <f t="shared" si="42"/>
        <v>week-0</v>
      </c>
      <c r="D914" s="120" t="str">
        <f t="shared" si="43"/>
        <v>Jan</v>
      </c>
      <c r="E914" s="7"/>
      <c r="F914" s="7"/>
      <c r="G914" s="120"/>
      <c r="H914" s="120"/>
      <c r="I914" s="118"/>
      <c r="J914" s="118"/>
      <c r="K914" s="115"/>
      <c r="L914" s="115"/>
      <c r="M914" s="8"/>
      <c r="N914" s="8" t="str">
        <f t="shared" si="44"/>
        <v>-</v>
      </c>
      <c r="O914" s="126"/>
      <c r="P914" s="127"/>
      <c r="Q914" s="127"/>
      <c r="R914" s="126"/>
      <c r="S914" s="127"/>
      <c r="T914" s="8"/>
      <c r="U914" s="158"/>
      <c r="V914" s="7"/>
      <c r="W914" s="7"/>
      <c r="X914" s="146"/>
      <c r="Y914" s="7"/>
      <c r="Z914" s="7"/>
      <c r="AA914" s="7" t="str">
        <f>IFERROR((VLOOKUP(F914,#REF!,2,FALSE)),"-")</f>
        <v>-</v>
      </c>
      <c r="AB914" s="119" t="e">
        <f>CONCATENATE(F914," - ",I914," - ",#REF!,)</f>
        <v>#REF!</v>
      </c>
    </row>
    <row r="915" spans="1:28" s="116" customFormat="1" ht="15">
      <c r="A915" s="114"/>
      <c r="B915" s="120"/>
      <c r="C915" s="129" t="str">
        <f t="shared" si="42"/>
        <v>week-0</v>
      </c>
      <c r="D915" s="120" t="str">
        <f t="shared" si="43"/>
        <v>Jan</v>
      </c>
      <c r="E915" s="7"/>
      <c r="F915" s="7"/>
      <c r="G915" s="120"/>
      <c r="H915" s="120"/>
      <c r="I915" s="118"/>
      <c r="J915" s="118"/>
      <c r="K915" s="115"/>
      <c r="L915" s="115"/>
      <c r="M915" s="8"/>
      <c r="N915" s="8" t="str">
        <f t="shared" si="44"/>
        <v>-</v>
      </c>
      <c r="O915" s="126"/>
      <c r="P915" s="127"/>
      <c r="Q915" s="127"/>
      <c r="R915" s="126"/>
      <c r="S915" s="127"/>
      <c r="T915" s="8"/>
      <c r="U915" s="158"/>
      <c r="V915" s="7"/>
      <c r="W915" s="7"/>
      <c r="X915" s="146"/>
      <c r="Y915" s="7"/>
      <c r="Z915" s="7"/>
      <c r="AA915" s="7" t="str">
        <f>IFERROR((VLOOKUP(F915,#REF!,2,FALSE)),"-")</f>
        <v>-</v>
      </c>
      <c r="AB915" s="119" t="e">
        <f>CONCATENATE(F915," - ",I915," - ",#REF!,)</f>
        <v>#REF!</v>
      </c>
    </row>
    <row r="916" spans="1:28" s="116" customFormat="1" ht="15">
      <c r="A916" s="114"/>
      <c r="B916" s="120"/>
      <c r="C916" s="129" t="str">
        <f t="shared" si="42"/>
        <v>week-0</v>
      </c>
      <c r="D916" s="120" t="str">
        <f t="shared" si="43"/>
        <v>Jan</v>
      </c>
      <c r="E916" s="7"/>
      <c r="F916" s="7"/>
      <c r="G916" s="120"/>
      <c r="H916" s="120"/>
      <c r="I916" s="118"/>
      <c r="J916" s="118"/>
      <c r="K916" s="115"/>
      <c r="L916" s="115"/>
      <c r="M916" s="8"/>
      <c r="N916" s="8" t="str">
        <f t="shared" si="44"/>
        <v>-</v>
      </c>
      <c r="O916" s="126"/>
      <c r="P916" s="127"/>
      <c r="Q916" s="127"/>
      <c r="R916" s="126"/>
      <c r="S916" s="127"/>
      <c r="T916" s="8"/>
      <c r="U916" s="158"/>
      <c r="V916" s="7"/>
      <c r="W916" s="7"/>
      <c r="X916" s="146"/>
      <c r="Y916" s="7"/>
      <c r="Z916" s="7"/>
      <c r="AA916" s="7" t="str">
        <f>IFERROR((VLOOKUP(F916,#REF!,2,FALSE)),"-")</f>
        <v>-</v>
      </c>
      <c r="AB916" s="119" t="e">
        <f>CONCATENATE(F916," - ",I916," - ",#REF!,)</f>
        <v>#REF!</v>
      </c>
    </row>
    <row r="917" spans="1:28" s="116" customFormat="1" ht="15">
      <c r="A917" s="114"/>
      <c r="B917" s="120"/>
      <c r="C917" s="129" t="str">
        <f t="shared" si="42"/>
        <v>week-0</v>
      </c>
      <c r="D917" s="120" t="str">
        <f t="shared" si="43"/>
        <v>Jan</v>
      </c>
      <c r="E917" s="7"/>
      <c r="F917" s="7"/>
      <c r="G917" s="120"/>
      <c r="H917" s="120"/>
      <c r="I917" s="118"/>
      <c r="J917" s="118"/>
      <c r="K917" s="115"/>
      <c r="L917" s="115"/>
      <c r="M917" s="8"/>
      <c r="N917" s="8" t="str">
        <f t="shared" si="44"/>
        <v>-</v>
      </c>
      <c r="O917" s="126"/>
      <c r="P917" s="127"/>
      <c r="Q917" s="127"/>
      <c r="R917" s="126"/>
      <c r="S917" s="127"/>
      <c r="T917" s="8"/>
      <c r="U917" s="158"/>
      <c r="V917" s="7"/>
      <c r="W917" s="7"/>
      <c r="X917" s="146"/>
      <c r="Y917" s="7"/>
      <c r="Z917" s="7"/>
      <c r="AA917" s="7" t="str">
        <f>IFERROR((VLOOKUP(F917,#REF!,2,FALSE)),"-")</f>
        <v>-</v>
      </c>
      <c r="AB917" s="119" t="e">
        <f>CONCATENATE(F917," - ",I917," - ",#REF!,)</f>
        <v>#REF!</v>
      </c>
    </row>
    <row r="918" spans="1:28" s="116" customFormat="1" ht="15">
      <c r="A918" s="114"/>
      <c r="B918" s="120"/>
      <c r="C918" s="129" t="str">
        <f t="shared" si="42"/>
        <v>week-0</v>
      </c>
      <c r="D918" s="120" t="str">
        <f t="shared" si="43"/>
        <v>Jan</v>
      </c>
      <c r="E918" s="7"/>
      <c r="F918" s="7"/>
      <c r="G918" s="120"/>
      <c r="H918" s="120"/>
      <c r="I918" s="118"/>
      <c r="J918" s="118"/>
      <c r="K918" s="115"/>
      <c r="L918" s="115"/>
      <c r="M918" s="8"/>
      <c r="N918" s="8" t="str">
        <f t="shared" si="44"/>
        <v>-</v>
      </c>
      <c r="O918" s="127"/>
      <c r="P918" s="127"/>
      <c r="Q918" s="127"/>
      <c r="R918" s="127"/>
      <c r="S918" s="127"/>
      <c r="T918" s="139"/>
      <c r="U918" s="158"/>
      <c r="V918" s="7"/>
      <c r="W918" s="7"/>
      <c r="X918" s="146"/>
      <c r="Y918" s="7"/>
      <c r="Z918" s="7"/>
      <c r="AA918" s="7" t="str">
        <f>IFERROR((VLOOKUP(F918,#REF!,2,FALSE)),"-")</f>
        <v>-</v>
      </c>
      <c r="AB918" s="119" t="e">
        <f>CONCATENATE(F918," - ",I918," - ",#REF!,)</f>
        <v>#REF!</v>
      </c>
    </row>
    <row r="919" spans="1:28" s="116" customFormat="1" ht="15">
      <c r="A919" s="114"/>
      <c r="B919" s="120"/>
      <c r="C919" s="129" t="str">
        <f t="shared" si="42"/>
        <v>week-0</v>
      </c>
      <c r="D919" s="120" t="str">
        <f t="shared" si="43"/>
        <v>Jan</v>
      </c>
      <c r="E919" s="7"/>
      <c r="F919" s="7"/>
      <c r="G919" s="120"/>
      <c r="H919" s="120"/>
      <c r="I919" s="118"/>
      <c r="J919" s="118"/>
      <c r="K919" s="115"/>
      <c r="L919" s="115"/>
      <c r="M919" s="8"/>
      <c r="N919" s="8" t="str">
        <f t="shared" si="44"/>
        <v>-</v>
      </c>
      <c r="O919" s="126"/>
      <c r="P919" s="127"/>
      <c r="Q919" s="127"/>
      <c r="R919" s="126"/>
      <c r="S919" s="127"/>
      <c r="T919" s="8"/>
      <c r="U919" s="158"/>
      <c r="V919" s="7"/>
      <c r="W919" s="7"/>
      <c r="X919" s="146"/>
      <c r="Y919" s="7"/>
      <c r="Z919" s="7"/>
      <c r="AA919" s="7" t="str">
        <f>IFERROR((VLOOKUP(F919,#REF!,2,FALSE)),"-")</f>
        <v>-</v>
      </c>
      <c r="AB919" s="119" t="e">
        <f>CONCATENATE(F919," - ",I919," - ",#REF!,)</f>
        <v>#REF!</v>
      </c>
    </row>
    <row r="920" spans="1:28" s="116" customFormat="1" ht="15">
      <c r="A920" s="114"/>
      <c r="B920" s="120"/>
      <c r="C920" s="129" t="str">
        <f t="shared" si="42"/>
        <v>week-0</v>
      </c>
      <c r="D920" s="120" t="str">
        <f t="shared" si="43"/>
        <v>Jan</v>
      </c>
      <c r="E920" s="7"/>
      <c r="F920" s="7"/>
      <c r="G920" s="120"/>
      <c r="H920" s="120"/>
      <c r="I920" s="118"/>
      <c r="J920" s="118"/>
      <c r="K920" s="115"/>
      <c r="L920" s="115"/>
      <c r="M920" s="8"/>
      <c r="N920" s="8" t="str">
        <f t="shared" si="44"/>
        <v>-</v>
      </c>
      <c r="O920" s="126"/>
      <c r="P920" s="127"/>
      <c r="Q920" s="127"/>
      <c r="R920" s="126"/>
      <c r="S920" s="127"/>
      <c r="T920" s="8"/>
      <c r="U920" s="158"/>
      <c r="V920" s="7"/>
      <c r="W920" s="7"/>
      <c r="X920" s="146"/>
      <c r="Y920" s="7"/>
      <c r="Z920" s="7"/>
      <c r="AA920" s="7" t="str">
        <f>IFERROR((VLOOKUP(F920,#REF!,2,FALSE)),"-")</f>
        <v>-</v>
      </c>
      <c r="AB920" s="119" t="e">
        <f>CONCATENATE(F920," - ",I920," - ",#REF!,)</f>
        <v>#REF!</v>
      </c>
    </row>
    <row r="921" spans="1:28" s="116" customFormat="1" ht="15">
      <c r="A921" s="114"/>
      <c r="B921" s="120"/>
      <c r="C921" s="129" t="str">
        <f t="shared" si="42"/>
        <v>week-0</v>
      </c>
      <c r="D921" s="120" t="str">
        <f t="shared" si="43"/>
        <v>Jan</v>
      </c>
      <c r="E921" s="7"/>
      <c r="F921" s="7"/>
      <c r="G921" s="120"/>
      <c r="H921" s="120"/>
      <c r="I921" s="118"/>
      <c r="J921" s="118"/>
      <c r="K921" s="115"/>
      <c r="L921" s="115"/>
      <c r="M921" s="8"/>
      <c r="N921" s="8" t="str">
        <f t="shared" si="44"/>
        <v>-</v>
      </c>
      <c r="O921" s="126"/>
      <c r="P921" s="127"/>
      <c r="Q921" s="127"/>
      <c r="R921" s="126"/>
      <c r="S921" s="127"/>
      <c r="T921" s="8"/>
      <c r="U921" s="158"/>
      <c r="V921" s="7"/>
      <c r="W921" s="7"/>
      <c r="X921" s="146"/>
      <c r="Y921" s="7"/>
      <c r="Z921" s="7"/>
      <c r="AA921" s="7" t="str">
        <f>IFERROR((VLOOKUP(F921,#REF!,2,FALSE)),"-")</f>
        <v>-</v>
      </c>
      <c r="AB921" s="119" t="e">
        <f>CONCATENATE(F921," - ",I921," - ",#REF!,)</f>
        <v>#REF!</v>
      </c>
    </row>
    <row r="922" spans="1:28" s="116" customFormat="1" ht="15">
      <c r="A922" s="114"/>
      <c r="B922" s="120"/>
      <c r="C922" s="129" t="str">
        <f t="shared" si="42"/>
        <v>week-0</v>
      </c>
      <c r="D922" s="120" t="str">
        <f t="shared" si="43"/>
        <v>Jan</v>
      </c>
      <c r="E922" s="7"/>
      <c r="F922" s="7"/>
      <c r="G922" s="120"/>
      <c r="H922" s="120"/>
      <c r="I922" s="118"/>
      <c r="J922" s="118"/>
      <c r="K922" s="115"/>
      <c r="L922" s="115"/>
      <c r="M922" s="8"/>
      <c r="N922" s="8" t="str">
        <f t="shared" si="44"/>
        <v>-</v>
      </c>
      <c r="O922" s="126"/>
      <c r="P922" s="127"/>
      <c r="Q922" s="127"/>
      <c r="R922" s="126"/>
      <c r="S922" s="127"/>
      <c r="T922" s="8"/>
      <c r="U922" s="158"/>
      <c r="V922" s="7"/>
      <c r="W922" s="7"/>
      <c r="X922" s="146"/>
      <c r="Y922" s="7"/>
      <c r="Z922" s="7"/>
      <c r="AA922" s="7" t="str">
        <f>IFERROR((VLOOKUP(F922,#REF!,2,FALSE)),"-")</f>
        <v>-</v>
      </c>
      <c r="AB922" s="119" t="e">
        <f>CONCATENATE(F922," - ",I922," - ",#REF!,)</f>
        <v>#REF!</v>
      </c>
    </row>
    <row r="923" spans="1:28" s="116" customFormat="1" ht="15">
      <c r="A923" s="114"/>
      <c r="B923" s="120"/>
      <c r="C923" s="129" t="str">
        <f t="shared" si="42"/>
        <v>week-0</v>
      </c>
      <c r="D923" s="120" t="str">
        <f t="shared" si="43"/>
        <v>Jan</v>
      </c>
      <c r="E923" s="7"/>
      <c r="F923" s="7"/>
      <c r="G923" s="120"/>
      <c r="H923" s="120"/>
      <c r="I923" s="118"/>
      <c r="J923" s="118"/>
      <c r="K923" s="115"/>
      <c r="L923" s="115"/>
      <c r="M923" s="8"/>
      <c r="N923" s="8" t="str">
        <f t="shared" si="44"/>
        <v>-</v>
      </c>
      <c r="O923" s="126"/>
      <c r="P923" s="127"/>
      <c r="Q923" s="127"/>
      <c r="R923" s="126"/>
      <c r="S923" s="127"/>
      <c r="T923" s="8"/>
      <c r="U923" s="158"/>
      <c r="V923" s="7"/>
      <c r="W923" s="7"/>
      <c r="X923" s="146"/>
      <c r="Y923" s="7"/>
      <c r="Z923" s="7"/>
      <c r="AA923" s="7" t="str">
        <f>IFERROR((VLOOKUP(F923,#REF!,2,FALSE)),"-")</f>
        <v>-</v>
      </c>
      <c r="AB923" s="119" t="e">
        <f>CONCATENATE(F923," - ",I923," - ",#REF!,)</f>
        <v>#REF!</v>
      </c>
    </row>
    <row r="924" spans="1:28" s="116" customFormat="1" ht="15">
      <c r="A924" s="114"/>
      <c r="B924" s="120"/>
      <c r="C924" s="129" t="str">
        <f t="shared" si="42"/>
        <v>week-0</v>
      </c>
      <c r="D924" s="120" t="str">
        <f t="shared" si="43"/>
        <v>Jan</v>
      </c>
      <c r="E924" s="7"/>
      <c r="F924" s="7"/>
      <c r="G924" s="120"/>
      <c r="H924" s="120"/>
      <c r="I924" s="118"/>
      <c r="J924" s="118"/>
      <c r="K924" s="115"/>
      <c r="L924" s="115"/>
      <c r="M924" s="8"/>
      <c r="N924" s="8" t="str">
        <f t="shared" si="44"/>
        <v>-</v>
      </c>
      <c r="O924" s="126"/>
      <c r="P924" s="127"/>
      <c r="Q924" s="127"/>
      <c r="R924" s="126"/>
      <c r="S924" s="127"/>
      <c r="T924" s="8"/>
      <c r="U924" s="158"/>
      <c r="V924" s="7"/>
      <c r="W924" s="7"/>
      <c r="X924" s="146"/>
      <c r="Y924" s="7"/>
      <c r="Z924" s="7"/>
      <c r="AA924" s="7" t="str">
        <f>IFERROR((VLOOKUP(F924,#REF!,2,FALSE)),"-")</f>
        <v>-</v>
      </c>
      <c r="AB924" s="119" t="e">
        <f>CONCATENATE(F924," - ",I924," - ",#REF!,)</f>
        <v>#REF!</v>
      </c>
    </row>
    <row r="925" spans="1:28" s="116" customFormat="1" ht="15">
      <c r="A925" s="114"/>
      <c r="B925" s="120"/>
      <c r="C925" s="129" t="str">
        <f t="shared" si="42"/>
        <v>week-0</v>
      </c>
      <c r="D925" s="120" t="str">
        <f t="shared" si="43"/>
        <v>Jan</v>
      </c>
      <c r="E925" s="7"/>
      <c r="F925" s="7"/>
      <c r="G925" s="120"/>
      <c r="H925" s="120"/>
      <c r="I925" s="118"/>
      <c r="J925" s="118"/>
      <c r="K925" s="115"/>
      <c r="L925" s="115"/>
      <c r="M925" s="8"/>
      <c r="N925" s="8" t="str">
        <f t="shared" si="44"/>
        <v>-</v>
      </c>
      <c r="O925" s="126"/>
      <c r="P925" s="127"/>
      <c r="Q925" s="127"/>
      <c r="R925" s="126"/>
      <c r="S925" s="127"/>
      <c r="T925" s="8"/>
      <c r="U925" s="158"/>
      <c r="V925" s="7"/>
      <c r="W925" s="7"/>
      <c r="X925" s="146"/>
      <c r="Y925" s="7"/>
      <c r="Z925" s="7"/>
      <c r="AA925" s="7" t="str">
        <f>IFERROR((VLOOKUP(F925,#REF!,2,FALSE)),"-")</f>
        <v>-</v>
      </c>
      <c r="AB925" s="119" t="e">
        <f>CONCATENATE(F925," - ",I925," - ",#REF!,)</f>
        <v>#REF!</v>
      </c>
    </row>
    <row r="926" spans="1:28" s="116" customFormat="1" ht="15">
      <c r="A926" s="114"/>
      <c r="B926" s="120"/>
      <c r="C926" s="129" t="str">
        <f t="shared" si="42"/>
        <v>week-0</v>
      </c>
      <c r="D926" s="120" t="str">
        <f t="shared" si="43"/>
        <v>Jan</v>
      </c>
      <c r="E926" s="7"/>
      <c r="F926" s="7"/>
      <c r="G926" s="120"/>
      <c r="H926" s="120"/>
      <c r="I926" s="118"/>
      <c r="J926" s="118"/>
      <c r="K926" s="115"/>
      <c r="L926" s="115"/>
      <c r="M926" s="8"/>
      <c r="N926" s="8" t="str">
        <f t="shared" si="44"/>
        <v>-</v>
      </c>
      <c r="O926" s="126"/>
      <c r="P926" s="127"/>
      <c r="Q926" s="127"/>
      <c r="R926" s="126"/>
      <c r="S926" s="127"/>
      <c r="T926" s="8"/>
      <c r="U926" s="158"/>
      <c r="V926" s="7"/>
      <c r="W926" s="7"/>
      <c r="X926" s="146"/>
      <c r="Y926" s="7"/>
      <c r="Z926" s="7"/>
      <c r="AA926" s="7" t="str">
        <f>IFERROR((VLOOKUP(F926,#REF!,2,FALSE)),"-")</f>
        <v>-</v>
      </c>
      <c r="AB926" s="119" t="e">
        <f>CONCATENATE(F926," - ",I926," - ",#REF!,)</f>
        <v>#REF!</v>
      </c>
    </row>
    <row r="927" spans="1:28" s="116" customFormat="1" ht="15">
      <c r="A927" s="114"/>
      <c r="B927" s="120"/>
      <c r="C927" s="129" t="str">
        <f t="shared" si="42"/>
        <v>week-0</v>
      </c>
      <c r="D927" s="120" t="str">
        <f t="shared" si="43"/>
        <v>Jan</v>
      </c>
      <c r="E927" s="7"/>
      <c r="F927" s="7"/>
      <c r="G927" s="120"/>
      <c r="H927" s="120"/>
      <c r="I927" s="118"/>
      <c r="J927" s="118"/>
      <c r="K927" s="115"/>
      <c r="L927" s="115"/>
      <c r="M927" s="8"/>
      <c r="N927" s="8" t="str">
        <f t="shared" si="44"/>
        <v>-</v>
      </c>
      <c r="O927" s="126"/>
      <c r="P927" s="127"/>
      <c r="Q927" s="127"/>
      <c r="R927" s="126"/>
      <c r="S927" s="127"/>
      <c r="T927" s="8"/>
      <c r="U927" s="158"/>
      <c r="V927" s="7"/>
      <c r="W927" s="7"/>
      <c r="X927" s="146"/>
      <c r="Y927" s="7"/>
      <c r="Z927" s="7"/>
      <c r="AA927" s="7" t="str">
        <f>IFERROR((VLOOKUP(F927,#REF!,2,FALSE)),"-")</f>
        <v>-</v>
      </c>
      <c r="AB927" s="119" t="e">
        <f>CONCATENATE(F927," - ",I927," - ",#REF!,)</f>
        <v>#REF!</v>
      </c>
    </row>
    <row r="928" spans="1:28" s="116" customFormat="1" ht="15">
      <c r="A928" s="114"/>
      <c r="B928" s="120"/>
      <c r="C928" s="129" t="str">
        <f t="shared" si="42"/>
        <v>week-0</v>
      </c>
      <c r="D928" s="120" t="str">
        <f t="shared" si="43"/>
        <v>Jan</v>
      </c>
      <c r="E928" s="7"/>
      <c r="F928" s="7"/>
      <c r="G928" s="120"/>
      <c r="H928" s="120"/>
      <c r="I928" s="118"/>
      <c r="J928" s="118"/>
      <c r="K928" s="115"/>
      <c r="L928" s="115"/>
      <c r="M928" s="8"/>
      <c r="N928" s="8" t="str">
        <f t="shared" si="44"/>
        <v>-</v>
      </c>
      <c r="O928" s="126"/>
      <c r="P928" s="127"/>
      <c r="Q928" s="127"/>
      <c r="R928" s="126"/>
      <c r="S928" s="127"/>
      <c r="T928" s="8"/>
      <c r="U928" s="158"/>
      <c r="V928" s="7"/>
      <c r="W928" s="7"/>
      <c r="X928" s="146"/>
      <c r="Y928" s="7"/>
      <c r="Z928" s="7"/>
      <c r="AA928" s="7" t="str">
        <f>IFERROR((VLOOKUP(F928,#REF!,2,FALSE)),"-")</f>
        <v>-</v>
      </c>
      <c r="AB928" s="119" t="e">
        <f>CONCATENATE(F928," - ",I928," - ",#REF!,)</f>
        <v>#REF!</v>
      </c>
    </row>
    <row r="929" spans="1:28" s="116" customFormat="1" ht="15">
      <c r="A929" s="114"/>
      <c r="B929" s="120"/>
      <c r="C929" s="129" t="str">
        <f t="shared" si="42"/>
        <v>week-0</v>
      </c>
      <c r="D929" s="120" t="str">
        <f t="shared" si="43"/>
        <v>Jan</v>
      </c>
      <c r="E929" s="7"/>
      <c r="F929" s="7"/>
      <c r="G929" s="120"/>
      <c r="H929" s="120"/>
      <c r="I929" s="118"/>
      <c r="J929" s="118"/>
      <c r="K929" s="115"/>
      <c r="L929" s="115"/>
      <c r="M929" s="8"/>
      <c r="N929" s="8" t="str">
        <f t="shared" si="44"/>
        <v>-</v>
      </c>
      <c r="O929" s="126"/>
      <c r="P929" s="127"/>
      <c r="Q929" s="127"/>
      <c r="R929" s="126"/>
      <c r="S929" s="127"/>
      <c r="T929" s="8"/>
      <c r="U929" s="158"/>
      <c r="V929" s="7"/>
      <c r="W929" s="7"/>
      <c r="X929" s="146"/>
      <c r="Y929" s="7"/>
      <c r="Z929" s="7"/>
      <c r="AA929" s="7" t="str">
        <f>IFERROR((VLOOKUP(F929,#REF!,2,FALSE)),"-")</f>
        <v>-</v>
      </c>
      <c r="AB929" s="119" t="e">
        <f>CONCATENATE(F929," - ",I929," - ",#REF!,)</f>
        <v>#REF!</v>
      </c>
    </row>
    <row r="930" spans="1:28" s="116" customFormat="1" ht="15">
      <c r="A930" s="114"/>
      <c r="B930" s="120"/>
      <c r="C930" s="129" t="str">
        <f t="shared" si="42"/>
        <v>week-0</v>
      </c>
      <c r="D930" s="120" t="str">
        <f t="shared" si="43"/>
        <v>Jan</v>
      </c>
      <c r="E930" s="7"/>
      <c r="F930" s="7"/>
      <c r="G930" s="120"/>
      <c r="H930" s="120"/>
      <c r="I930" s="118"/>
      <c r="J930" s="118"/>
      <c r="K930" s="115"/>
      <c r="L930" s="115"/>
      <c r="M930" s="8"/>
      <c r="N930" s="8" t="str">
        <f t="shared" si="44"/>
        <v>-</v>
      </c>
      <c r="O930" s="126"/>
      <c r="P930" s="127"/>
      <c r="Q930" s="127"/>
      <c r="R930" s="126"/>
      <c r="S930" s="127"/>
      <c r="T930" s="8"/>
      <c r="U930" s="158"/>
      <c r="V930" s="7"/>
      <c r="W930" s="7"/>
      <c r="X930" s="146"/>
      <c r="Y930" s="7"/>
      <c r="Z930" s="7"/>
      <c r="AA930" s="7" t="str">
        <f>IFERROR((VLOOKUP(F930,#REF!,2,FALSE)),"-")</f>
        <v>-</v>
      </c>
      <c r="AB930" s="119" t="e">
        <f>CONCATENATE(F930," - ",I930," - ",#REF!,)</f>
        <v>#REF!</v>
      </c>
    </row>
    <row r="931" spans="1:28" s="116" customFormat="1" ht="15">
      <c r="A931" s="114"/>
      <c r="B931" s="120"/>
      <c r="C931" s="129" t="str">
        <f t="shared" si="42"/>
        <v>week-0</v>
      </c>
      <c r="D931" s="120" t="str">
        <f t="shared" si="43"/>
        <v>Jan</v>
      </c>
      <c r="E931" s="7"/>
      <c r="F931" s="7"/>
      <c r="G931" s="120"/>
      <c r="H931" s="120"/>
      <c r="I931" s="118"/>
      <c r="J931" s="118"/>
      <c r="K931" s="115"/>
      <c r="L931" s="115"/>
      <c r="M931" s="8"/>
      <c r="N931" s="8" t="str">
        <f t="shared" si="44"/>
        <v>-</v>
      </c>
      <c r="O931" s="126"/>
      <c r="P931" s="127"/>
      <c r="Q931" s="127"/>
      <c r="R931" s="126"/>
      <c r="S931" s="127"/>
      <c r="T931" s="8"/>
      <c r="U931" s="158"/>
      <c r="V931" s="7"/>
      <c r="W931" s="7"/>
      <c r="X931" s="146"/>
      <c r="Y931" s="7"/>
      <c r="Z931" s="7"/>
      <c r="AA931" s="7" t="str">
        <f>IFERROR((VLOOKUP(F931,#REF!,2,FALSE)),"-")</f>
        <v>-</v>
      </c>
      <c r="AB931" s="119" t="e">
        <f>CONCATENATE(F931," - ",I931," - ",#REF!,)</f>
        <v>#REF!</v>
      </c>
    </row>
    <row r="932" spans="1:28" s="116" customFormat="1" ht="15">
      <c r="A932" s="114"/>
      <c r="B932" s="120"/>
      <c r="C932" s="129" t="str">
        <f t="shared" si="42"/>
        <v>week-0</v>
      </c>
      <c r="D932" s="120" t="str">
        <f t="shared" si="43"/>
        <v>Jan</v>
      </c>
      <c r="E932" s="7"/>
      <c r="F932" s="7"/>
      <c r="G932" s="120"/>
      <c r="H932" s="120"/>
      <c r="I932" s="118"/>
      <c r="J932" s="118"/>
      <c r="K932" s="115"/>
      <c r="L932" s="115"/>
      <c r="M932" s="8"/>
      <c r="N932" s="8" t="str">
        <f t="shared" si="44"/>
        <v>-</v>
      </c>
      <c r="O932" s="126"/>
      <c r="P932" s="127"/>
      <c r="Q932" s="127"/>
      <c r="R932" s="126"/>
      <c r="S932" s="127"/>
      <c r="T932" s="8"/>
      <c r="U932" s="158"/>
      <c r="V932" s="7"/>
      <c r="W932" s="7"/>
      <c r="X932" s="146"/>
      <c r="Y932" s="7"/>
      <c r="Z932" s="7"/>
      <c r="AA932" s="7" t="str">
        <f>IFERROR((VLOOKUP(F932,#REF!,2,FALSE)),"-")</f>
        <v>-</v>
      </c>
      <c r="AB932" s="119" t="e">
        <f>CONCATENATE(F932," - ",I932," - ",#REF!,)</f>
        <v>#REF!</v>
      </c>
    </row>
    <row r="933" spans="1:28" s="116" customFormat="1" ht="15">
      <c r="A933" s="114"/>
      <c r="B933" s="120"/>
      <c r="C933" s="129" t="str">
        <f t="shared" si="42"/>
        <v>week-0</v>
      </c>
      <c r="D933" s="120" t="str">
        <f t="shared" si="43"/>
        <v>Jan</v>
      </c>
      <c r="E933" s="7"/>
      <c r="F933" s="7"/>
      <c r="G933" s="120"/>
      <c r="H933" s="120"/>
      <c r="I933" s="118"/>
      <c r="J933" s="118"/>
      <c r="K933" s="115"/>
      <c r="L933" s="115"/>
      <c r="M933" s="8"/>
      <c r="N933" s="8" t="str">
        <f t="shared" si="44"/>
        <v>-</v>
      </c>
      <c r="O933" s="126"/>
      <c r="P933" s="127"/>
      <c r="Q933" s="127"/>
      <c r="R933" s="126"/>
      <c r="S933" s="127"/>
      <c r="T933" s="8"/>
      <c r="U933" s="158"/>
      <c r="V933" s="7"/>
      <c r="W933" s="7"/>
      <c r="X933" s="146"/>
      <c r="Y933" s="7"/>
      <c r="Z933" s="7"/>
      <c r="AA933" s="7" t="str">
        <f>IFERROR((VLOOKUP(F933,#REF!,2,FALSE)),"-")</f>
        <v>-</v>
      </c>
      <c r="AB933" s="119" t="e">
        <f>CONCATENATE(F933," - ",I933," - ",#REF!,)</f>
        <v>#REF!</v>
      </c>
    </row>
    <row r="934" spans="1:28" s="116" customFormat="1" ht="15">
      <c r="A934" s="114"/>
      <c r="B934" s="120"/>
      <c r="C934" s="129" t="str">
        <f t="shared" si="42"/>
        <v>week-0</v>
      </c>
      <c r="D934" s="120" t="str">
        <f t="shared" si="43"/>
        <v>Jan</v>
      </c>
      <c r="E934" s="7"/>
      <c r="F934" s="7"/>
      <c r="G934" s="120"/>
      <c r="H934" s="120"/>
      <c r="I934" s="118"/>
      <c r="J934" s="118"/>
      <c r="K934" s="115"/>
      <c r="L934" s="115"/>
      <c r="M934" s="8"/>
      <c r="N934" s="8" t="str">
        <f t="shared" si="44"/>
        <v>-</v>
      </c>
      <c r="O934" s="126"/>
      <c r="P934" s="127"/>
      <c r="Q934" s="127"/>
      <c r="R934" s="126"/>
      <c r="S934" s="127"/>
      <c r="T934" s="8"/>
      <c r="U934" s="158"/>
      <c r="V934" s="7"/>
      <c r="W934" s="7"/>
      <c r="X934" s="146"/>
      <c r="Y934" s="7"/>
      <c r="Z934" s="7"/>
      <c r="AA934" s="7" t="str">
        <f>IFERROR((VLOOKUP(F934,#REF!,2,FALSE)),"-")</f>
        <v>-</v>
      </c>
      <c r="AB934" s="119" t="e">
        <f>CONCATENATE(F934," - ",I934," - ",#REF!,)</f>
        <v>#REF!</v>
      </c>
    </row>
    <row r="935" spans="1:28" s="116" customFormat="1" ht="15">
      <c r="A935" s="114"/>
      <c r="B935" s="120"/>
      <c r="C935" s="129" t="str">
        <f t="shared" si="42"/>
        <v>week-0</v>
      </c>
      <c r="D935" s="120" t="str">
        <f t="shared" si="43"/>
        <v>Jan</v>
      </c>
      <c r="E935" s="125"/>
      <c r="F935" s="7"/>
      <c r="G935" s="120"/>
      <c r="H935" s="120"/>
      <c r="I935" s="118"/>
      <c r="J935" s="118"/>
      <c r="K935" s="115"/>
      <c r="L935" s="115"/>
      <c r="M935" s="8"/>
      <c r="N935" s="8" t="str">
        <f t="shared" si="44"/>
        <v>-</v>
      </c>
      <c r="O935" s="126"/>
      <c r="P935" s="127"/>
      <c r="Q935" s="127"/>
      <c r="R935" s="126"/>
      <c r="S935" s="127"/>
      <c r="T935" s="8"/>
      <c r="U935" s="158"/>
      <c r="V935" s="7"/>
      <c r="W935" s="7"/>
      <c r="X935" s="146"/>
      <c r="Y935" s="7"/>
      <c r="Z935" s="7"/>
      <c r="AA935" s="7" t="str">
        <f>IFERROR((VLOOKUP(F935,#REF!,2,FALSE)),"-")</f>
        <v>-</v>
      </c>
      <c r="AB935" s="119" t="e">
        <f>CONCATENATE(F935," - ",I935," - ",#REF!,)</f>
        <v>#REF!</v>
      </c>
    </row>
    <row r="936" spans="1:28" s="116" customFormat="1" ht="15">
      <c r="A936" s="114"/>
      <c r="B936" s="120"/>
      <c r="C936" s="129" t="str">
        <f t="shared" si="42"/>
        <v>week-0</v>
      </c>
      <c r="D936" s="120" t="str">
        <f t="shared" si="43"/>
        <v>Jan</v>
      </c>
      <c r="E936" s="125"/>
      <c r="F936" s="7"/>
      <c r="G936" s="120"/>
      <c r="H936" s="120"/>
      <c r="I936" s="118"/>
      <c r="J936" s="118"/>
      <c r="K936" s="115"/>
      <c r="L936" s="115"/>
      <c r="M936" s="8"/>
      <c r="N936" s="8" t="str">
        <f t="shared" si="44"/>
        <v>-</v>
      </c>
      <c r="O936" s="126"/>
      <c r="P936" s="127"/>
      <c r="Q936" s="127"/>
      <c r="R936" s="126"/>
      <c r="S936" s="127"/>
      <c r="T936" s="8"/>
      <c r="U936" s="158"/>
      <c r="V936" s="7"/>
      <c r="W936" s="7"/>
      <c r="X936" s="146"/>
      <c r="Y936" s="7"/>
      <c r="Z936" s="7"/>
      <c r="AA936" s="7" t="str">
        <f>IFERROR((VLOOKUP(F936,#REF!,2,FALSE)),"-")</f>
        <v>-</v>
      </c>
      <c r="AB936" s="119" t="e">
        <f>CONCATENATE(F936," - ",I936," - ",#REF!,)</f>
        <v>#REF!</v>
      </c>
    </row>
    <row r="937" spans="1:28" s="116" customFormat="1" ht="15">
      <c r="A937" s="114"/>
      <c r="B937" s="120"/>
      <c r="C937" s="129" t="str">
        <f t="shared" si="42"/>
        <v>week-0</v>
      </c>
      <c r="D937" s="120" t="str">
        <f t="shared" si="43"/>
        <v>Jan</v>
      </c>
      <c r="E937" s="7"/>
      <c r="F937" s="7"/>
      <c r="G937" s="120"/>
      <c r="H937" s="120"/>
      <c r="I937" s="118"/>
      <c r="J937" s="118"/>
      <c r="K937" s="115"/>
      <c r="L937" s="115"/>
      <c r="M937" s="8"/>
      <c r="N937" s="8" t="str">
        <f t="shared" si="44"/>
        <v>-</v>
      </c>
      <c r="O937" s="126"/>
      <c r="P937" s="127"/>
      <c r="Q937" s="127"/>
      <c r="R937" s="126"/>
      <c r="S937" s="127"/>
      <c r="T937" s="8"/>
      <c r="U937" s="158"/>
      <c r="V937" s="7"/>
      <c r="W937" s="7"/>
      <c r="X937" s="146"/>
      <c r="Y937" s="7"/>
      <c r="Z937" s="7"/>
      <c r="AA937" s="7" t="str">
        <f>IFERROR((VLOOKUP(F937,#REF!,2,FALSE)),"-")</f>
        <v>-</v>
      </c>
      <c r="AB937" s="119" t="e">
        <f>CONCATENATE(F937," - ",I937," - ",#REF!,)</f>
        <v>#REF!</v>
      </c>
    </row>
    <row r="938" spans="1:28" s="116" customFormat="1" ht="15">
      <c r="A938" s="114"/>
      <c r="B938" s="120"/>
      <c r="C938" s="129" t="str">
        <f t="shared" si="42"/>
        <v>week-0</v>
      </c>
      <c r="D938" s="120" t="str">
        <f t="shared" si="43"/>
        <v>Jan</v>
      </c>
      <c r="E938" s="125"/>
      <c r="F938" s="7"/>
      <c r="G938" s="120"/>
      <c r="H938" s="120"/>
      <c r="I938" s="118"/>
      <c r="J938" s="118"/>
      <c r="K938" s="115"/>
      <c r="L938" s="115"/>
      <c r="M938" s="8"/>
      <c r="N938" s="8" t="str">
        <f t="shared" si="44"/>
        <v>-</v>
      </c>
      <c r="O938" s="126"/>
      <c r="P938" s="127"/>
      <c r="Q938" s="127"/>
      <c r="R938" s="126"/>
      <c r="S938" s="127"/>
      <c r="T938" s="8"/>
      <c r="U938" s="158"/>
      <c r="V938" s="7"/>
      <c r="W938" s="7"/>
      <c r="X938" s="146"/>
      <c r="Y938" s="7"/>
      <c r="Z938" s="7"/>
      <c r="AA938" s="7" t="str">
        <f>IFERROR((VLOOKUP(F938,#REF!,2,FALSE)),"-")</f>
        <v>-</v>
      </c>
      <c r="AB938" s="119" t="e">
        <f>CONCATENATE(F938," - ",I938," - ",#REF!,)</f>
        <v>#REF!</v>
      </c>
    </row>
    <row r="939" spans="1:28" s="116" customFormat="1" ht="15">
      <c r="A939" s="114"/>
      <c r="B939" s="120"/>
      <c r="C939" s="129" t="str">
        <f t="shared" si="42"/>
        <v>week-0</v>
      </c>
      <c r="D939" s="120" t="str">
        <f t="shared" si="43"/>
        <v>Jan</v>
      </c>
      <c r="E939" s="7"/>
      <c r="F939" s="7"/>
      <c r="G939" s="120"/>
      <c r="H939" s="120"/>
      <c r="I939" s="118"/>
      <c r="J939" s="118"/>
      <c r="K939" s="115"/>
      <c r="L939" s="115"/>
      <c r="M939" s="8"/>
      <c r="N939" s="8" t="str">
        <f t="shared" si="44"/>
        <v>-</v>
      </c>
      <c r="O939" s="127"/>
      <c r="P939" s="127"/>
      <c r="Q939" s="127"/>
      <c r="R939" s="127"/>
      <c r="S939" s="127"/>
      <c r="T939" s="139"/>
      <c r="U939" s="158"/>
      <c r="V939" s="7"/>
      <c r="W939" s="7"/>
      <c r="X939" s="146"/>
      <c r="Y939" s="7"/>
      <c r="Z939" s="7"/>
      <c r="AA939" s="7" t="str">
        <f>IFERROR((VLOOKUP(F939,#REF!,2,FALSE)),"-")</f>
        <v>-</v>
      </c>
      <c r="AB939" s="119" t="e">
        <f>CONCATENATE(F939," - ",I939," - ",#REF!,)</f>
        <v>#REF!</v>
      </c>
    </row>
    <row r="940" spans="1:28" s="116" customFormat="1" ht="15">
      <c r="A940" s="114"/>
      <c r="B940" s="120"/>
      <c r="C940" s="129" t="str">
        <f t="shared" si="42"/>
        <v>week-0</v>
      </c>
      <c r="D940" s="120" t="str">
        <f t="shared" si="43"/>
        <v>Jan</v>
      </c>
      <c r="E940" s="7"/>
      <c r="F940" s="7"/>
      <c r="G940" s="120"/>
      <c r="H940" s="120"/>
      <c r="I940" s="118"/>
      <c r="J940" s="118"/>
      <c r="K940" s="115"/>
      <c r="L940" s="115"/>
      <c r="M940" s="8"/>
      <c r="N940" s="8" t="str">
        <f t="shared" si="44"/>
        <v>-</v>
      </c>
      <c r="O940" s="126"/>
      <c r="P940" s="127"/>
      <c r="Q940" s="127"/>
      <c r="R940" s="126"/>
      <c r="S940" s="127"/>
      <c r="T940" s="8"/>
      <c r="U940" s="158"/>
      <c r="V940" s="7"/>
      <c r="W940" s="7"/>
      <c r="X940" s="146"/>
      <c r="Y940" s="7"/>
      <c r="Z940" s="7"/>
      <c r="AA940" s="7" t="str">
        <f>IFERROR((VLOOKUP(F940,#REF!,2,FALSE)),"-")</f>
        <v>-</v>
      </c>
      <c r="AB940" s="119" t="e">
        <f>CONCATENATE(F940," - ",I940," - ",#REF!,)</f>
        <v>#REF!</v>
      </c>
    </row>
    <row r="941" spans="1:28" s="116" customFormat="1" ht="15">
      <c r="A941" s="114"/>
      <c r="B941" s="120"/>
      <c r="C941" s="129" t="str">
        <f t="shared" si="42"/>
        <v>week-0</v>
      </c>
      <c r="D941" s="120" t="str">
        <f t="shared" si="43"/>
        <v>Jan</v>
      </c>
      <c r="E941" s="7"/>
      <c r="F941" s="7"/>
      <c r="G941" s="120"/>
      <c r="H941" s="120"/>
      <c r="I941" s="118"/>
      <c r="J941" s="118"/>
      <c r="K941" s="115"/>
      <c r="L941" s="115"/>
      <c r="M941" s="8"/>
      <c r="N941" s="8" t="str">
        <f t="shared" si="44"/>
        <v>-</v>
      </c>
      <c r="O941" s="126"/>
      <c r="P941" s="127"/>
      <c r="Q941" s="127"/>
      <c r="R941" s="126"/>
      <c r="S941" s="127"/>
      <c r="T941" s="8"/>
      <c r="U941" s="158"/>
      <c r="V941" s="7"/>
      <c r="W941" s="7"/>
      <c r="X941" s="146"/>
      <c r="Y941" s="7"/>
      <c r="Z941" s="7"/>
      <c r="AA941" s="7" t="str">
        <f>IFERROR((VLOOKUP(F941,#REF!,2,FALSE)),"-")</f>
        <v>-</v>
      </c>
      <c r="AB941" s="119" t="e">
        <f>CONCATENATE(F941," - ",I941," - ",#REF!,)</f>
        <v>#REF!</v>
      </c>
    </row>
    <row r="942" spans="1:28" s="116" customFormat="1" ht="15">
      <c r="A942" s="114"/>
      <c r="B942" s="120"/>
      <c r="C942" s="129" t="str">
        <f t="shared" si="42"/>
        <v>week-0</v>
      </c>
      <c r="D942" s="120" t="str">
        <f t="shared" si="43"/>
        <v>Jan</v>
      </c>
      <c r="E942" s="7"/>
      <c r="F942" s="7"/>
      <c r="G942" s="120"/>
      <c r="H942" s="120"/>
      <c r="I942" s="118"/>
      <c r="J942" s="118"/>
      <c r="K942" s="115"/>
      <c r="L942" s="115"/>
      <c r="M942" s="8"/>
      <c r="N942" s="8" t="str">
        <f t="shared" si="44"/>
        <v>-</v>
      </c>
      <c r="O942" s="126"/>
      <c r="P942" s="127"/>
      <c r="Q942" s="127"/>
      <c r="R942" s="126"/>
      <c r="S942" s="127"/>
      <c r="T942" s="8"/>
      <c r="U942" s="158"/>
      <c r="V942" s="7"/>
      <c r="W942" s="7"/>
      <c r="X942" s="146"/>
      <c r="Y942" s="7"/>
      <c r="Z942" s="7"/>
      <c r="AA942" s="7" t="str">
        <f>IFERROR((VLOOKUP(F942,#REF!,2,FALSE)),"-")</f>
        <v>-</v>
      </c>
      <c r="AB942" s="119" t="e">
        <f>CONCATENATE(F942," - ",I942," - ",#REF!,)</f>
        <v>#REF!</v>
      </c>
    </row>
    <row r="943" spans="1:28" s="116" customFormat="1" ht="15">
      <c r="A943" s="114"/>
      <c r="B943" s="120"/>
      <c r="C943" s="129" t="str">
        <f t="shared" si="42"/>
        <v>week-0</v>
      </c>
      <c r="D943" s="120" t="str">
        <f t="shared" si="43"/>
        <v>Jan</v>
      </c>
      <c r="E943" s="7"/>
      <c r="F943" s="7"/>
      <c r="G943" s="120"/>
      <c r="H943" s="120"/>
      <c r="I943" s="118"/>
      <c r="J943" s="118"/>
      <c r="K943" s="115"/>
      <c r="L943" s="115"/>
      <c r="M943" s="8"/>
      <c r="N943" s="8" t="str">
        <f t="shared" si="44"/>
        <v>-</v>
      </c>
      <c r="O943" s="126"/>
      <c r="P943" s="127"/>
      <c r="Q943" s="127"/>
      <c r="R943" s="126"/>
      <c r="S943" s="127"/>
      <c r="T943" s="8"/>
      <c r="U943" s="158"/>
      <c r="V943" s="7"/>
      <c r="W943" s="7"/>
      <c r="X943" s="146"/>
      <c r="Y943" s="7"/>
      <c r="Z943" s="7"/>
      <c r="AA943" s="7" t="str">
        <f>IFERROR((VLOOKUP(F943,#REF!,2,FALSE)),"-")</f>
        <v>-</v>
      </c>
      <c r="AB943" s="119" t="e">
        <f>CONCATENATE(F943," - ",I943," - ",#REF!,)</f>
        <v>#REF!</v>
      </c>
    </row>
    <row r="944" spans="1:28" s="116" customFormat="1" ht="15">
      <c r="A944" s="114"/>
      <c r="B944" s="120"/>
      <c r="C944" s="129" t="str">
        <f t="shared" si="42"/>
        <v>week-0</v>
      </c>
      <c r="D944" s="120" t="str">
        <f t="shared" si="43"/>
        <v>Jan</v>
      </c>
      <c r="E944" s="7"/>
      <c r="F944" s="7"/>
      <c r="G944" s="120"/>
      <c r="H944" s="120"/>
      <c r="I944" s="118"/>
      <c r="J944" s="118"/>
      <c r="K944" s="115"/>
      <c r="L944" s="115"/>
      <c r="M944" s="8"/>
      <c r="N944" s="8" t="str">
        <f t="shared" si="44"/>
        <v>-</v>
      </c>
      <c r="O944" s="126"/>
      <c r="P944" s="127"/>
      <c r="Q944" s="127"/>
      <c r="R944" s="126"/>
      <c r="S944" s="127"/>
      <c r="T944" s="8"/>
      <c r="U944" s="158"/>
      <c r="V944" s="7"/>
      <c r="W944" s="7"/>
      <c r="X944" s="146"/>
      <c r="Y944" s="7"/>
      <c r="Z944" s="7"/>
      <c r="AA944" s="7" t="str">
        <f>IFERROR((VLOOKUP(F944,#REF!,2,FALSE)),"-")</f>
        <v>-</v>
      </c>
      <c r="AB944" s="119" t="e">
        <f>CONCATENATE(F944," - ",I944," - ",#REF!,)</f>
        <v>#REF!</v>
      </c>
    </row>
    <row r="945" spans="1:28" s="116" customFormat="1" ht="15">
      <c r="A945" s="114"/>
      <c r="B945" s="120"/>
      <c r="C945" s="129" t="str">
        <f t="shared" si="42"/>
        <v>week-0</v>
      </c>
      <c r="D945" s="120" t="str">
        <f t="shared" si="43"/>
        <v>Jan</v>
      </c>
      <c r="E945" s="7"/>
      <c r="F945" s="7"/>
      <c r="G945" s="120"/>
      <c r="H945" s="120"/>
      <c r="I945" s="118"/>
      <c r="J945" s="118"/>
      <c r="K945" s="115"/>
      <c r="L945" s="115"/>
      <c r="M945" s="8"/>
      <c r="N945" s="8" t="str">
        <f t="shared" si="44"/>
        <v>-</v>
      </c>
      <c r="O945" s="126"/>
      <c r="P945" s="127"/>
      <c r="Q945" s="127"/>
      <c r="R945" s="126"/>
      <c r="S945" s="127"/>
      <c r="T945" s="8"/>
      <c r="U945" s="158"/>
      <c r="V945" s="7"/>
      <c r="W945" s="7"/>
      <c r="X945" s="146"/>
      <c r="Y945" s="7"/>
      <c r="Z945" s="7"/>
      <c r="AA945" s="7" t="str">
        <f>IFERROR((VLOOKUP(F945,#REF!,2,FALSE)),"-")</f>
        <v>-</v>
      </c>
      <c r="AB945" s="119" t="e">
        <f>CONCATENATE(F945," - ",I945," - ",#REF!,)</f>
        <v>#REF!</v>
      </c>
    </row>
    <row r="946" spans="1:28" s="116" customFormat="1" ht="15">
      <c r="A946" s="114"/>
      <c r="B946" s="120"/>
      <c r="C946" s="129" t="str">
        <f t="shared" si="42"/>
        <v>week-0</v>
      </c>
      <c r="D946" s="120" t="str">
        <f t="shared" si="43"/>
        <v>Jan</v>
      </c>
      <c r="E946" s="7"/>
      <c r="F946" s="7"/>
      <c r="G946" s="120"/>
      <c r="H946" s="120"/>
      <c r="I946" s="118"/>
      <c r="J946" s="118"/>
      <c r="K946" s="115"/>
      <c r="L946" s="115"/>
      <c r="M946" s="8"/>
      <c r="N946" s="8" t="str">
        <f t="shared" si="44"/>
        <v>-</v>
      </c>
      <c r="O946" s="126"/>
      <c r="P946" s="127"/>
      <c r="Q946" s="127"/>
      <c r="R946" s="126"/>
      <c r="S946" s="127"/>
      <c r="T946" s="8"/>
      <c r="U946" s="158"/>
      <c r="V946" s="7"/>
      <c r="W946" s="7"/>
      <c r="X946" s="146"/>
      <c r="Y946" s="7"/>
      <c r="Z946" s="7"/>
      <c r="AA946" s="7" t="str">
        <f>IFERROR((VLOOKUP(F946,#REF!,2,FALSE)),"-")</f>
        <v>-</v>
      </c>
      <c r="AB946" s="119" t="e">
        <f>CONCATENATE(F946," - ",I946," - ",#REF!,)</f>
        <v>#REF!</v>
      </c>
    </row>
    <row r="947" spans="1:28" s="116" customFormat="1" ht="15">
      <c r="A947" s="114"/>
      <c r="B947" s="120"/>
      <c r="C947" s="129" t="str">
        <f t="shared" si="42"/>
        <v>week-0</v>
      </c>
      <c r="D947" s="120" t="str">
        <f t="shared" si="43"/>
        <v>Jan</v>
      </c>
      <c r="E947" s="7"/>
      <c r="F947" s="7"/>
      <c r="G947" s="120"/>
      <c r="H947" s="120"/>
      <c r="I947" s="118"/>
      <c r="J947" s="118"/>
      <c r="K947" s="115"/>
      <c r="L947" s="115"/>
      <c r="M947" s="8"/>
      <c r="N947" s="8" t="str">
        <f t="shared" si="44"/>
        <v>-</v>
      </c>
      <c r="O947" s="126"/>
      <c r="P947" s="127"/>
      <c r="Q947" s="127"/>
      <c r="R947" s="126"/>
      <c r="S947" s="127"/>
      <c r="T947" s="8"/>
      <c r="U947" s="158"/>
      <c r="V947" s="7"/>
      <c r="W947" s="7"/>
      <c r="X947" s="146"/>
      <c r="Y947" s="7"/>
      <c r="Z947" s="7"/>
      <c r="AA947" s="7" t="str">
        <f>IFERROR((VLOOKUP(F947,#REF!,2,FALSE)),"-")</f>
        <v>-</v>
      </c>
      <c r="AB947" s="119" t="e">
        <f>CONCATENATE(F947," - ",I947," - ",#REF!,)</f>
        <v>#REF!</v>
      </c>
    </row>
    <row r="948" spans="1:28" s="116" customFormat="1" ht="15">
      <c r="A948" s="114"/>
      <c r="B948" s="120"/>
      <c r="C948" s="129" t="str">
        <f t="shared" si="42"/>
        <v>week-0</v>
      </c>
      <c r="D948" s="120" t="str">
        <f t="shared" si="43"/>
        <v>Jan</v>
      </c>
      <c r="E948" s="7"/>
      <c r="F948" s="7"/>
      <c r="G948" s="120"/>
      <c r="H948" s="120"/>
      <c r="I948" s="118"/>
      <c r="J948" s="118"/>
      <c r="K948" s="115"/>
      <c r="L948" s="115"/>
      <c r="M948" s="8"/>
      <c r="N948" s="8" t="str">
        <f t="shared" si="44"/>
        <v>-</v>
      </c>
      <c r="O948" s="126"/>
      <c r="P948" s="127"/>
      <c r="Q948" s="127"/>
      <c r="R948" s="126"/>
      <c r="S948" s="127"/>
      <c r="T948" s="8"/>
      <c r="U948" s="158"/>
      <c r="V948" s="7"/>
      <c r="W948" s="7"/>
      <c r="X948" s="146"/>
      <c r="Y948" s="7"/>
      <c r="Z948" s="7"/>
      <c r="AA948" s="7" t="str">
        <f>IFERROR((VLOOKUP(F948,#REF!,2,FALSE)),"-")</f>
        <v>-</v>
      </c>
      <c r="AB948" s="119" t="e">
        <f>CONCATENATE(F948," - ",I948," - ",#REF!,)</f>
        <v>#REF!</v>
      </c>
    </row>
    <row r="949" spans="1:28" s="116" customFormat="1" ht="15">
      <c r="A949" s="114"/>
      <c r="B949" s="120"/>
      <c r="C949" s="129" t="str">
        <f t="shared" si="42"/>
        <v>week-0</v>
      </c>
      <c r="D949" s="120" t="str">
        <f t="shared" si="43"/>
        <v>Jan</v>
      </c>
      <c r="E949" s="7"/>
      <c r="F949" s="7"/>
      <c r="G949" s="120"/>
      <c r="H949" s="120"/>
      <c r="I949" s="118"/>
      <c r="J949" s="118"/>
      <c r="K949" s="115"/>
      <c r="L949" s="115"/>
      <c r="M949" s="8"/>
      <c r="N949" s="8" t="str">
        <f t="shared" si="44"/>
        <v>-</v>
      </c>
      <c r="O949" s="126"/>
      <c r="P949" s="127"/>
      <c r="Q949" s="127"/>
      <c r="R949" s="126"/>
      <c r="S949" s="127"/>
      <c r="T949" s="8"/>
      <c r="U949" s="158"/>
      <c r="V949" s="7"/>
      <c r="W949" s="7"/>
      <c r="X949" s="146"/>
      <c r="Y949" s="7"/>
      <c r="Z949" s="7"/>
      <c r="AA949" s="7" t="str">
        <f>IFERROR((VLOOKUP(F949,#REF!,2,FALSE)),"-")</f>
        <v>-</v>
      </c>
      <c r="AB949" s="119" t="e">
        <f>CONCATENATE(F949," - ",I949," - ",#REF!,)</f>
        <v>#REF!</v>
      </c>
    </row>
    <row r="950" spans="1:28" s="116" customFormat="1" ht="15">
      <c r="A950" s="114"/>
      <c r="B950" s="120"/>
      <c r="C950" s="129" t="str">
        <f t="shared" si="42"/>
        <v>week-0</v>
      </c>
      <c r="D950" s="120" t="str">
        <f t="shared" si="43"/>
        <v>Jan</v>
      </c>
      <c r="E950" s="7"/>
      <c r="F950" s="7"/>
      <c r="G950" s="120"/>
      <c r="H950" s="120"/>
      <c r="I950" s="118"/>
      <c r="J950" s="118"/>
      <c r="K950" s="115"/>
      <c r="L950" s="115"/>
      <c r="M950" s="8"/>
      <c r="N950" s="8" t="str">
        <f t="shared" si="44"/>
        <v>-</v>
      </c>
      <c r="O950" s="126"/>
      <c r="P950" s="127"/>
      <c r="Q950" s="127"/>
      <c r="R950" s="126"/>
      <c r="S950" s="127"/>
      <c r="T950" s="8"/>
      <c r="U950" s="158"/>
      <c r="V950" s="7"/>
      <c r="W950" s="7"/>
      <c r="X950" s="146"/>
      <c r="Y950" s="7"/>
      <c r="Z950" s="7"/>
      <c r="AA950" s="7" t="str">
        <f>IFERROR((VLOOKUP(F950,#REF!,2,FALSE)),"-")</f>
        <v>-</v>
      </c>
      <c r="AB950" s="119" t="e">
        <f>CONCATENATE(F950," - ",I950," - ",#REF!,)</f>
        <v>#REF!</v>
      </c>
    </row>
    <row r="951" spans="1:28" s="116" customFormat="1" ht="15">
      <c r="A951" s="114"/>
      <c r="B951" s="120"/>
      <c r="C951" s="129" t="str">
        <f t="shared" si="42"/>
        <v>week-0</v>
      </c>
      <c r="D951" s="120" t="str">
        <f t="shared" si="43"/>
        <v>Jan</v>
      </c>
      <c r="E951" s="7"/>
      <c r="F951" s="7"/>
      <c r="G951" s="120"/>
      <c r="H951" s="120"/>
      <c r="I951" s="118"/>
      <c r="J951" s="118"/>
      <c r="K951" s="115"/>
      <c r="L951" s="115"/>
      <c r="M951" s="8"/>
      <c r="N951" s="8" t="str">
        <f t="shared" si="44"/>
        <v>-</v>
      </c>
      <c r="O951" s="126"/>
      <c r="P951" s="127"/>
      <c r="Q951" s="127"/>
      <c r="R951" s="126"/>
      <c r="S951" s="127"/>
      <c r="T951" s="8"/>
      <c r="U951" s="158"/>
      <c r="V951" s="7"/>
      <c r="W951" s="7"/>
      <c r="X951" s="146"/>
      <c r="Y951" s="7"/>
      <c r="Z951" s="7"/>
      <c r="AA951" s="7" t="str">
        <f>IFERROR((VLOOKUP(F951,#REF!,2,FALSE)),"-")</f>
        <v>-</v>
      </c>
      <c r="AB951" s="119" t="e">
        <f>CONCATENATE(F951," - ",I951," - ",#REF!,)</f>
        <v>#REF!</v>
      </c>
    </row>
    <row r="952" spans="1:28" s="116" customFormat="1" ht="15">
      <c r="A952" s="114"/>
      <c r="B952" s="120"/>
      <c r="C952" s="129" t="str">
        <f t="shared" si="42"/>
        <v>week-0</v>
      </c>
      <c r="D952" s="120" t="str">
        <f t="shared" si="43"/>
        <v>Jan</v>
      </c>
      <c r="E952" s="84"/>
      <c r="F952" s="7"/>
      <c r="G952" s="120"/>
      <c r="H952" s="120"/>
      <c r="I952" s="118"/>
      <c r="J952" s="118"/>
      <c r="K952" s="115"/>
      <c r="L952" s="115"/>
      <c r="M952" s="8"/>
      <c r="N952" s="8" t="str">
        <f t="shared" si="44"/>
        <v>-</v>
      </c>
      <c r="O952" s="126"/>
      <c r="P952" s="127"/>
      <c r="Q952" s="127"/>
      <c r="R952" s="126"/>
      <c r="S952" s="127"/>
      <c r="T952" s="8"/>
      <c r="U952" s="158"/>
      <c r="V952" s="7"/>
      <c r="W952" s="7"/>
      <c r="X952" s="146"/>
      <c r="Y952" s="7"/>
      <c r="Z952" s="7"/>
      <c r="AA952" s="7" t="str">
        <f>IFERROR((VLOOKUP(F952,#REF!,2,FALSE)),"-")</f>
        <v>-</v>
      </c>
      <c r="AB952" s="119" t="e">
        <f>CONCATENATE(F952," - ",I952," - ",#REF!,)</f>
        <v>#REF!</v>
      </c>
    </row>
    <row r="953" spans="1:28" s="116" customFormat="1" ht="15">
      <c r="A953" s="114"/>
      <c r="B953" s="120"/>
      <c r="C953" s="129" t="str">
        <f t="shared" si="42"/>
        <v>week-0</v>
      </c>
      <c r="D953" s="120" t="str">
        <f t="shared" si="43"/>
        <v>Jan</v>
      </c>
      <c r="E953" s="84"/>
      <c r="F953" s="7"/>
      <c r="G953" s="120"/>
      <c r="H953" s="120"/>
      <c r="I953" s="118"/>
      <c r="J953" s="118"/>
      <c r="K953" s="115"/>
      <c r="L953" s="115"/>
      <c r="M953" s="8"/>
      <c r="N953" s="8" t="str">
        <f t="shared" si="44"/>
        <v>-</v>
      </c>
      <c r="O953" s="126"/>
      <c r="P953" s="127"/>
      <c r="Q953" s="127"/>
      <c r="R953" s="126"/>
      <c r="S953" s="127"/>
      <c r="T953" s="8"/>
      <c r="U953" s="158"/>
      <c r="V953" s="7"/>
      <c r="W953" s="7"/>
      <c r="X953" s="146"/>
      <c r="Y953" s="7"/>
      <c r="Z953" s="7"/>
      <c r="AA953" s="7" t="str">
        <f>IFERROR((VLOOKUP(F953,#REF!,2,FALSE)),"-")</f>
        <v>-</v>
      </c>
      <c r="AB953" s="119" t="e">
        <f>CONCATENATE(F953," - ",I953," - ",#REF!,)</f>
        <v>#REF!</v>
      </c>
    </row>
    <row r="954" spans="1:28" s="116" customFormat="1" ht="15">
      <c r="A954" s="114"/>
      <c r="B954" s="120"/>
      <c r="C954" s="129" t="str">
        <f t="shared" si="42"/>
        <v>week-0</v>
      </c>
      <c r="D954" s="120" t="str">
        <f t="shared" si="43"/>
        <v>Jan</v>
      </c>
      <c r="E954" s="84"/>
      <c r="F954" s="7"/>
      <c r="G954" s="120"/>
      <c r="H954" s="120"/>
      <c r="I954" s="118"/>
      <c r="J954" s="118"/>
      <c r="K954" s="115"/>
      <c r="L954" s="115"/>
      <c r="M954" s="8"/>
      <c r="N954" s="8" t="str">
        <f t="shared" si="44"/>
        <v>-</v>
      </c>
      <c r="O954" s="126"/>
      <c r="P954" s="127"/>
      <c r="Q954" s="127"/>
      <c r="R954" s="126"/>
      <c r="S954" s="127"/>
      <c r="T954" s="8"/>
      <c r="U954" s="158"/>
      <c r="V954" s="7"/>
      <c r="W954" s="7"/>
      <c r="X954" s="146"/>
      <c r="Y954" s="7"/>
      <c r="Z954" s="7"/>
      <c r="AA954" s="7" t="str">
        <f>IFERROR((VLOOKUP(F954,#REF!,2,FALSE)),"-")</f>
        <v>-</v>
      </c>
      <c r="AB954" s="119" t="e">
        <f>CONCATENATE(F954," - ",I954," - ",#REF!,)</f>
        <v>#REF!</v>
      </c>
    </row>
    <row r="955" spans="1:28" s="116" customFormat="1" ht="15">
      <c r="A955" s="114"/>
      <c r="B955" s="120"/>
      <c r="C955" s="129" t="str">
        <f t="shared" si="42"/>
        <v>week-0</v>
      </c>
      <c r="D955" s="120" t="str">
        <f t="shared" si="43"/>
        <v>Jan</v>
      </c>
      <c r="E955" s="84"/>
      <c r="F955" s="7"/>
      <c r="G955" s="120"/>
      <c r="H955" s="120"/>
      <c r="I955" s="118"/>
      <c r="J955" s="118"/>
      <c r="K955" s="115"/>
      <c r="L955" s="115"/>
      <c r="M955" s="8"/>
      <c r="N955" s="8" t="str">
        <f t="shared" si="44"/>
        <v>-</v>
      </c>
      <c r="O955" s="126"/>
      <c r="P955" s="127"/>
      <c r="Q955" s="127"/>
      <c r="R955" s="126"/>
      <c r="S955" s="127"/>
      <c r="T955" s="8"/>
      <c r="U955" s="158"/>
      <c r="V955" s="7"/>
      <c r="W955" s="7"/>
      <c r="X955" s="146"/>
      <c r="Y955" s="7"/>
      <c r="Z955" s="7"/>
      <c r="AA955" s="7" t="str">
        <f>IFERROR((VLOOKUP(F955,#REF!,2,FALSE)),"-")</f>
        <v>-</v>
      </c>
      <c r="AB955" s="119" t="e">
        <f>CONCATENATE(F955," - ",I955," - ",#REF!,)</f>
        <v>#REF!</v>
      </c>
    </row>
    <row r="956" spans="1:28" s="116" customFormat="1" ht="15">
      <c r="A956" s="114"/>
      <c r="B956" s="120"/>
      <c r="C956" s="129" t="str">
        <f t="shared" si="42"/>
        <v>week-0</v>
      </c>
      <c r="D956" s="120" t="str">
        <f t="shared" si="43"/>
        <v>Jan</v>
      </c>
      <c r="E956" s="84"/>
      <c r="F956" s="7"/>
      <c r="G956" s="120"/>
      <c r="H956" s="120"/>
      <c r="I956" s="118"/>
      <c r="J956" s="118"/>
      <c r="K956" s="115"/>
      <c r="L956" s="115"/>
      <c r="M956" s="8"/>
      <c r="N956" s="8" t="str">
        <f t="shared" si="44"/>
        <v>-</v>
      </c>
      <c r="O956" s="126"/>
      <c r="P956" s="127"/>
      <c r="Q956" s="127"/>
      <c r="R956" s="126"/>
      <c r="S956" s="127"/>
      <c r="T956" s="8"/>
      <c r="U956" s="158"/>
      <c r="V956" s="7"/>
      <c r="W956" s="7"/>
      <c r="X956" s="146"/>
      <c r="Y956" s="7"/>
      <c r="Z956" s="7"/>
      <c r="AA956" s="7" t="str">
        <f>IFERROR((VLOOKUP(F956,#REF!,2,FALSE)),"-")</f>
        <v>-</v>
      </c>
      <c r="AB956" s="119" t="e">
        <f>CONCATENATE(F956," - ",I956," - ",#REF!,)</f>
        <v>#REF!</v>
      </c>
    </row>
    <row r="957" spans="1:28" s="116" customFormat="1" ht="15">
      <c r="A957" s="114"/>
      <c r="B957" s="120"/>
      <c r="C957" s="129" t="str">
        <f t="shared" si="42"/>
        <v>week-0</v>
      </c>
      <c r="D957" s="120" t="str">
        <f t="shared" si="43"/>
        <v>Jan</v>
      </c>
      <c r="E957" s="7"/>
      <c r="F957" s="7"/>
      <c r="G957" s="120"/>
      <c r="H957" s="120"/>
      <c r="I957" s="118"/>
      <c r="J957" s="118"/>
      <c r="K957" s="115"/>
      <c r="L957" s="115"/>
      <c r="M957" s="8"/>
      <c r="N957" s="8" t="str">
        <f t="shared" si="44"/>
        <v>-</v>
      </c>
      <c r="O957" s="126"/>
      <c r="P957" s="127"/>
      <c r="Q957" s="127"/>
      <c r="R957" s="126"/>
      <c r="S957" s="127"/>
      <c r="T957" s="8"/>
      <c r="U957" s="158"/>
      <c r="V957" s="7"/>
      <c r="W957" s="7"/>
      <c r="X957" s="146"/>
      <c r="Y957" s="7"/>
      <c r="Z957" s="7"/>
      <c r="AA957" s="7" t="str">
        <f>IFERROR((VLOOKUP(F957,#REF!,2,FALSE)),"-")</f>
        <v>-</v>
      </c>
      <c r="AB957" s="119" t="e">
        <f>CONCATENATE(F957," - ",I957," - ",#REF!,)</f>
        <v>#REF!</v>
      </c>
    </row>
    <row r="958" spans="1:28" s="116" customFormat="1" ht="15">
      <c r="A958" s="114"/>
      <c r="B958" s="120"/>
      <c r="C958" s="129" t="str">
        <f t="shared" si="42"/>
        <v>week-0</v>
      </c>
      <c r="D958" s="120" t="str">
        <f t="shared" si="43"/>
        <v>Jan</v>
      </c>
      <c r="E958" s="7"/>
      <c r="F958" s="7"/>
      <c r="G958" s="120"/>
      <c r="H958" s="120"/>
      <c r="I958" s="118"/>
      <c r="J958" s="118"/>
      <c r="K958" s="115"/>
      <c r="L958" s="115"/>
      <c r="M958" s="8"/>
      <c r="N958" s="8" t="str">
        <f t="shared" si="44"/>
        <v>-</v>
      </c>
      <c r="O958" s="126"/>
      <c r="P958" s="127"/>
      <c r="Q958" s="127"/>
      <c r="R958" s="126"/>
      <c r="S958" s="127"/>
      <c r="T958" s="8"/>
      <c r="U958" s="158"/>
      <c r="V958" s="7"/>
      <c r="W958" s="7"/>
      <c r="X958" s="146"/>
      <c r="Y958" s="7"/>
      <c r="Z958" s="7"/>
      <c r="AA958" s="7" t="str">
        <f>IFERROR((VLOOKUP(F958,#REF!,2,FALSE)),"-")</f>
        <v>-</v>
      </c>
      <c r="AB958" s="119" t="e">
        <f>CONCATENATE(F958," - ",I958," - ",#REF!,)</f>
        <v>#REF!</v>
      </c>
    </row>
    <row r="959" spans="1:28" s="116" customFormat="1" ht="15">
      <c r="A959" s="114"/>
      <c r="B959" s="120"/>
      <c r="C959" s="129" t="str">
        <f t="shared" si="42"/>
        <v>week-0</v>
      </c>
      <c r="D959" s="120" t="str">
        <f t="shared" si="43"/>
        <v>Jan</v>
      </c>
      <c r="E959" s="84"/>
      <c r="F959" s="7"/>
      <c r="G959" s="120"/>
      <c r="H959" s="120"/>
      <c r="I959" s="118"/>
      <c r="J959" s="118"/>
      <c r="K959" s="115"/>
      <c r="L959" s="115"/>
      <c r="M959" s="8"/>
      <c r="N959" s="8" t="str">
        <f t="shared" si="44"/>
        <v>-</v>
      </c>
      <c r="O959" s="126"/>
      <c r="P959" s="127"/>
      <c r="Q959" s="127"/>
      <c r="R959" s="126"/>
      <c r="S959" s="127"/>
      <c r="T959" s="8"/>
      <c r="U959" s="158"/>
      <c r="V959" s="7"/>
      <c r="W959" s="7"/>
      <c r="X959" s="146"/>
      <c r="Y959" s="7"/>
      <c r="Z959" s="7"/>
      <c r="AA959" s="7" t="str">
        <f>IFERROR((VLOOKUP(F959,#REF!,2,FALSE)),"-")</f>
        <v>-</v>
      </c>
      <c r="AB959" s="119" t="e">
        <f>CONCATENATE(F959," - ",I959," - ",#REF!,)</f>
        <v>#REF!</v>
      </c>
    </row>
    <row r="960" spans="1:28" s="116" customFormat="1" ht="15">
      <c r="A960" s="114"/>
      <c r="B960" s="120"/>
      <c r="C960" s="129" t="str">
        <f t="shared" si="42"/>
        <v>week-0</v>
      </c>
      <c r="D960" s="120" t="str">
        <f t="shared" si="43"/>
        <v>Jan</v>
      </c>
      <c r="E960" s="84"/>
      <c r="F960" s="7"/>
      <c r="G960" s="120"/>
      <c r="H960" s="120"/>
      <c r="I960" s="118"/>
      <c r="J960" s="118"/>
      <c r="K960" s="115"/>
      <c r="L960" s="115"/>
      <c r="M960" s="8"/>
      <c r="N960" s="8" t="str">
        <f t="shared" si="44"/>
        <v>-</v>
      </c>
      <c r="O960" s="126"/>
      <c r="P960" s="127"/>
      <c r="Q960" s="127"/>
      <c r="R960" s="126"/>
      <c r="S960" s="127"/>
      <c r="T960" s="8"/>
      <c r="U960" s="158"/>
      <c r="V960" s="7"/>
      <c r="W960" s="7"/>
      <c r="X960" s="146"/>
      <c r="Y960" s="7"/>
      <c r="Z960" s="7"/>
      <c r="AA960" s="7"/>
      <c r="AB960" s="119" t="e">
        <f>CONCATENATE(F960," - ",I960," - ",#REF!,)</f>
        <v>#REF!</v>
      </c>
    </row>
    <row r="961" spans="1:28" s="116" customFormat="1" ht="15">
      <c r="A961" s="114"/>
      <c r="B961" s="120"/>
      <c r="C961" s="129" t="str">
        <f t="shared" si="42"/>
        <v>week-0</v>
      </c>
      <c r="D961" s="120" t="str">
        <f t="shared" si="43"/>
        <v>Jan</v>
      </c>
      <c r="E961" s="84"/>
      <c r="F961" s="7"/>
      <c r="G961" s="120"/>
      <c r="H961" s="120"/>
      <c r="I961" s="118"/>
      <c r="J961" s="118"/>
      <c r="K961" s="115"/>
      <c r="L961" s="115"/>
      <c r="M961" s="8"/>
      <c r="N961" s="8" t="str">
        <f t="shared" si="44"/>
        <v>-</v>
      </c>
      <c r="O961" s="126"/>
      <c r="P961" s="127"/>
      <c r="Q961" s="127"/>
      <c r="R961" s="126"/>
      <c r="S961" s="127"/>
      <c r="T961" s="8"/>
      <c r="U961" s="158"/>
      <c r="V961" s="7"/>
      <c r="W961" s="7"/>
      <c r="X961" s="146"/>
      <c r="Y961" s="7"/>
      <c r="Z961" s="7"/>
      <c r="AA961" s="7" t="str">
        <f>IFERROR((VLOOKUP(F961,#REF!,2,FALSE)),"-")</f>
        <v>-</v>
      </c>
      <c r="AB961" s="119" t="e">
        <f>CONCATENATE(F961," - ",I961," - ",#REF!,)</f>
        <v>#REF!</v>
      </c>
    </row>
    <row r="962" spans="1:28" s="116" customFormat="1" ht="15">
      <c r="A962" s="114"/>
      <c r="B962" s="120"/>
      <c r="C962" s="129" t="str">
        <f t="shared" si="42"/>
        <v>week-0</v>
      </c>
      <c r="D962" s="120" t="str">
        <f t="shared" si="43"/>
        <v>Jan</v>
      </c>
      <c r="E962" s="7"/>
      <c r="F962" s="7"/>
      <c r="G962" s="120"/>
      <c r="H962" s="120"/>
      <c r="I962" s="118"/>
      <c r="J962" s="118"/>
      <c r="K962" s="115"/>
      <c r="L962" s="115"/>
      <c r="M962" s="8"/>
      <c r="N962" s="8" t="str">
        <f t="shared" si="44"/>
        <v>-</v>
      </c>
      <c r="O962" s="126"/>
      <c r="P962" s="127"/>
      <c r="Q962" s="127"/>
      <c r="R962" s="126"/>
      <c r="S962" s="127"/>
      <c r="T962" s="8"/>
      <c r="U962" s="158"/>
      <c r="V962" s="7"/>
      <c r="W962" s="7"/>
      <c r="X962" s="146"/>
      <c r="Y962" s="7"/>
      <c r="Z962" s="7"/>
      <c r="AA962" s="7" t="str">
        <f>IFERROR((VLOOKUP(F962,#REF!,2,FALSE)),"-")</f>
        <v>-</v>
      </c>
      <c r="AB962" s="119" t="e">
        <f>CONCATENATE(F962," - ",I962," - ",#REF!,)</f>
        <v>#REF!</v>
      </c>
    </row>
    <row r="963" spans="1:28" s="116" customFormat="1" ht="15">
      <c r="A963" s="114"/>
      <c r="B963" s="120"/>
      <c r="C963" s="129" t="str">
        <f t="shared" si="42"/>
        <v>week-0</v>
      </c>
      <c r="D963" s="120" t="str">
        <f t="shared" si="43"/>
        <v>Jan</v>
      </c>
      <c r="E963" s="7"/>
      <c r="F963" s="7"/>
      <c r="G963" s="120"/>
      <c r="H963" s="120"/>
      <c r="I963" s="118"/>
      <c r="J963" s="118"/>
      <c r="K963" s="115"/>
      <c r="L963" s="115"/>
      <c r="M963" s="8"/>
      <c r="N963" s="8" t="str">
        <f t="shared" si="44"/>
        <v>-</v>
      </c>
      <c r="O963" s="126"/>
      <c r="P963" s="127"/>
      <c r="Q963" s="127"/>
      <c r="R963" s="126"/>
      <c r="S963" s="127"/>
      <c r="T963" s="8"/>
      <c r="U963" s="158"/>
      <c r="V963" s="7"/>
      <c r="W963" s="7"/>
      <c r="X963" s="146"/>
      <c r="Y963" s="7"/>
      <c r="Z963" s="7"/>
      <c r="AA963" s="7" t="str">
        <f>IFERROR((VLOOKUP(F963,#REF!,2,FALSE)),"-")</f>
        <v>-</v>
      </c>
      <c r="AB963" s="119" t="e">
        <f>CONCATENATE(F963," - ",I963," - ",#REF!,)</f>
        <v>#REF!</v>
      </c>
    </row>
    <row r="964" spans="1:28" s="116" customFormat="1" ht="15">
      <c r="A964" s="114"/>
      <c r="B964" s="120"/>
      <c r="C964" s="129" t="str">
        <f t="shared" ref="C964:C1027" si="45">"week-"&amp;WEEKNUM(B964)</f>
        <v>week-0</v>
      </c>
      <c r="D964" s="120" t="str">
        <f t="shared" ref="D964:D1027" si="46">TEXT(B964,"mmm")</f>
        <v>Jan</v>
      </c>
      <c r="E964" s="7"/>
      <c r="F964" s="7"/>
      <c r="G964" s="120"/>
      <c r="H964" s="120"/>
      <c r="I964" s="118"/>
      <c r="J964" s="118"/>
      <c r="K964" s="115"/>
      <c r="L964" s="115"/>
      <c r="M964" s="8"/>
      <c r="N964" s="8" t="str">
        <f t="shared" ref="N964:N1027" si="47">IF(ISBLANK(M964),"-",(M964/60))</f>
        <v>-</v>
      </c>
      <c r="O964" s="126"/>
      <c r="P964" s="127"/>
      <c r="Q964" s="127"/>
      <c r="R964" s="126"/>
      <c r="S964" s="127"/>
      <c r="T964" s="8"/>
      <c r="U964" s="158"/>
      <c r="V964" s="7"/>
      <c r="W964" s="7"/>
      <c r="X964" s="146"/>
      <c r="Y964" s="7"/>
      <c r="Z964" s="7"/>
      <c r="AA964" s="7" t="str">
        <f>IFERROR((VLOOKUP(F964,#REF!,2,FALSE)),"-")</f>
        <v>-</v>
      </c>
      <c r="AB964" s="119" t="e">
        <f>CONCATENATE(F964," - ",I964," - ",#REF!,)</f>
        <v>#REF!</v>
      </c>
    </row>
    <row r="965" spans="1:28" s="116" customFormat="1" ht="15">
      <c r="A965" s="114"/>
      <c r="B965" s="120"/>
      <c r="C965" s="129" t="str">
        <f t="shared" si="45"/>
        <v>week-0</v>
      </c>
      <c r="D965" s="120" t="str">
        <f t="shared" si="46"/>
        <v>Jan</v>
      </c>
      <c r="E965" s="7"/>
      <c r="F965" s="7"/>
      <c r="G965" s="120"/>
      <c r="H965" s="120"/>
      <c r="I965" s="118"/>
      <c r="J965" s="118"/>
      <c r="K965" s="115"/>
      <c r="L965" s="115"/>
      <c r="M965" s="8"/>
      <c r="N965" s="8" t="str">
        <f t="shared" si="47"/>
        <v>-</v>
      </c>
      <c r="O965" s="126"/>
      <c r="P965" s="127"/>
      <c r="Q965" s="127"/>
      <c r="R965" s="126"/>
      <c r="S965" s="127"/>
      <c r="T965" s="8"/>
      <c r="U965" s="158"/>
      <c r="V965" s="7"/>
      <c r="W965" s="7"/>
      <c r="X965" s="146"/>
      <c r="Y965" s="7"/>
      <c r="Z965" s="7"/>
      <c r="AA965" s="7" t="str">
        <f>IFERROR((VLOOKUP(F965,#REF!,2,FALSE)),"-")</f>
        <v>-</v>
      </c>
      <c r="AB965" s="119" t="e">
        <f>CONCATENATE(F965," - ",I965," - ",#REF!,)</f>
        <v>#REF!</v>
      </c>
    </row>
    <row r="966" spans="1:28" s="116" customFormat="1" ht="15">
      <c r="A966" s="114"/>
      <c r="B966" s="120"/>
      <c r="C966" s="129" t="str">
        <f t="shared" si="45"/>
        <v>week-0</v>
      </c>
      <c r="D966" s="120" t="str">
        <f t="shared" si="46"/>
        <v>Jan</v>
      </c>
      <c r="E966" s="7"/>
      <c r="F966" s="7"/>
      <c r="G966" s="120"/>
      <c r="H966" s="120"/>
      <c r="I966" s="118"/>
      <c r="J966" s="118"/>
      <c r="K966" s="115"/>
      <c r="L966" s="115"/>
      <c r="M966" s="8"/>
      <c r="N966" s="8" t="str">
        <f t="shared" si="47"/>
        <v>-</v>
      </c>
      <c r="O966" s="126"/>
      <c r="P966" s="127"/>
      <c r="Q966" s="127"/>
      <c r="R966" s="126"/>
      <c r="S966" s="127"/>
      <c r="T966" s="8"/>
      <c r="U966" s="158"/>
      <c r="V966" s="7"/>
      <c r="W966" s="7"/>
      <c r="X966" s="146"/>
      <c r="Y966" s="7"/>
      <c r="Z966" s="7"/>
      <c r="AA966" s="7" t="str">
        <f>IFERROR((VLOOKUP(F966,#REF!,2,FALSE)),"-")</f>
        <v>-</v>
      </c>
      <c r="AB966" s="119" t="e">
        <f>CONCATENATE(F966," - ",I966," - ",#REF!,)</f>
        <v>#REF!</v>
      </c>
    </row>
    <row r="967" spans="1:28" s="116" customFormat="1" ht="15">
      <c r="A967" s="114"/>
      <c r="B967" s="120"/>
      <c r="C967" s="129" t="str">
        <f t="shared" si="45"/>
        <v>week-0</v>
      </c>
      <c r="D967" s="120" t="str">
        <f t="shared" si="46"/>
        <v>Jan</v>
      </c>
      <c r="E967" s="7"/>
      <c r="F967" s="7"/>
      <c r="G967" s="120"/>
      <c r="H967" s="120"/>
      <c r="I967" s="118"/>
      <c r="J967" s="118"/>
      <c r="K967" s="115"/>
      <c r="L967" s="115"/>
      <c r="M967" s="8"/>
      <c r="N967" s="8" t="str">
        <f t="shared" si="47"/>
        <v>-</v>
      </c>
      <c r="O967" s="126"/>
      <c r="P967" s="127"/>
      <c r="Q967" s="127"/>
      <c r="R967" s="126"/>
      <c r="S967" s="127"/>
      <c r="T967" s="8"/>
      <c r="U967" s="158"/>
      <c r="V967" s="7"/>
      <c r="W967" s="7"/>
      <c r="X967" s="146"/>
      <c r="Y967" s="7"/>
      <c r="Z967" s="7"/>
      <c r="AA967" s="7" t="str">
        <f>IFERROR((VLOOKUP(F967,#REF!,2,FALSE)),"-")</f>
        <v>-</v>
      </c>
      <c r="AB967" s="119" t="e">
        <f>CONCATENATE(F967," - ",I967," - ",#REF!,)</f>
        <v>#REF!</v>
      </c>
    </row>
    <row r="968" spans="1:28" s="116" customFormat="1" ht="15">
      <c r="A968" s="114"/>
      <c r="B968" s="120"/>
      <c r="C968" s="129" t="str">
        <f t="shared" si="45"/>
        <v>week-0</v>
      </c>
      <c r="D968" s="120" t="str">
        <f t="shared" si="46"/>
        <v>Jan</v>
      </c>
      <c r="E968" s="7"/>
      <c r="F968" s="7"/>
      <c r="G968" s="120"/>
      <c r="H968" s="120"/>
      <c r="I968" s="118"/>
      <c r="J968" s="118"/>
      <c r="K968" s="115"/>
      <c r="L968" s="115"/>
      <c r="M968" s="8"/>
      <c r="N968" s="8" t="str">
        <f t="shared" si="47"/>
        <v>-</v>
      </c>
      <c r="O968" s="126"/>
      <c r="P968" s="127"/>
      <c r="Q968" s="127"/>
      <c r="R968" s="126"/>
      <c r="S968" s="127"/>
      <c r="T968" s="8"/>
      <c r="U968" s="158"/>
      <c r="V968" s="7"/>
      <c r="W968" s="7"/>
      <c r="X968" s="146"/>
      <c r="Y968" s="7"/>
      <c r="Z968" s="7"/>
      <c r="AA968" s="7" t="str">
        <f>IFERROR((VLOOKUP(F968,#REF!,2,FALSE)),"-")</f>
        <v>-</v>
      </c>
      <c r="AB968" s="119" t="e">
        <f>CONCATENATE(F968," - ",I968," - ",#REF!,)</f>
        <v>#REF!</v>
      </c>
    </row>
    <row r="969" spans="1:28" s="116" customFormat="1" ht="15">
      <c r="A969" s="114"/>
      <c r="B969" s="120"/>
      <c r="C969" s="129" t="str">
        <f t="shared" si="45"/>
        <v>week-0</v>
      </c>
      <c r="D969" s="120" t="str">
        <f t="shared" si="46"/>
        <v>Jan</v>
      </c>
      <c r="E969" s="7"/>
      <c r="F969" s="7"/>
      <c r="G969" s="120"/>
      <c r="H969" s="120"/>
      <c r="I969" s="118"/>
      <c r="J969" s="118"/>
      <c r="K969" s="115"/>
      <c r="L969" s="115"/>
      <c r="M969" s="8"/>
      <c r="N969" s="8" t="str">
        <f t="shared" si="47"/>
        <v>-</v>
      </c>
      <c r="O969" s="126"/>
      <c r="P969" s="127"/>
      <c r="Q969" s="127"/>
      <c r="R969" s="126"/>
      <c r="S969" s="127"/>
      <c r="T969" s="8"/>
      <c r="U969" s="158"/>
      <c r="V969" s="7"/>
      <c r="W969" s="7"/>
      <c r="X969" s="146"/>
      <c r="Y969" s="7"/>
      <c r="Z969" s="7"/>
      <c r="AA969" s="7" t="str">
        <f>IFERROR((VLOOKUP(F969,#REF!,2,FALSE)),"-")</f>
        <v>-</v>
      </c>
      <c r="AB969" s="119" t="e">
        <f>CONCATENATE(F969," - ",I969," - ",#REF!,)</f>
        <v>#REF!</v>
      </c>
    </row>
    <row r="970" spans="1:28" s="116" customFormat="1" ht="15">
      <c r="A970" s="114"/>
      <c r="B970" s="120"/>
      <c r="C970" s="129" t="str">
        <f t="shared" si="45"/>
        <v>week-0</v>
      </c>
      <c r="D970" s="120" t="str">
        <f t="shared" si="46"/>
        <v>Jan</v>
      </c>
      <c r="E970" s="84"/>
      <c r="F970" s="7"/>
      <c r="G970" s="120"/>
      <c r="H970" s="120"/>
      <c r="I970" s="118"/>
      <c r="J970" s="118"/>
      <c r="K970" s="115"/>
      <c r="L970" s="115"/>
      <c r="M970" s="8"/>
      <c r="N970" s="8" t="str">
        <f t="shared" si="47"/>
        <v>-</v>
      </c>
      <c r="O970" s="126"/>
      <c r="P970" s="127"/>
      <c r="Q970" s="127"/>
      <c r="R970" s="126"/>
      <c r="S970" s="127"/>
      <c r="T970" s="8"/>
      <c r="U970" s="158"/>
      <c r="V970" s="7"/>
      <c r="W970" s="7"/>
      <c r="X970" s="146"/>
      <c r="Y970" s="7"/>
      <c r="Z970" s="7"/>
      <c r="AA970" s="7" t="str">
        <f>IFERROR((VLOOKUP(F970,#REF!,2,FALSE)),"-")</f>
        <v>-</v>
      </c>
      <c r="AB970" s="119" t="e">
        <f>CONCATENATE(F970," - ",I970," - ",#REF!,)</f>
        <v>#REF!</v>
      </c>
    </row>
    <row r="971" spans="1:28" s="116" customFormat="1" ht="15">
      <c r="A971" s="114"/>
      <c r="B971" s="120"/>
      <c r="C971" s="129" t="str">
        <f t="shared" si="45"/>
        <v>week-0</v>
      </c>
      <c r="D971" s="120" t="str">
        <f t="shared" si="46"/>
        <v>Jan</v>
      </c>
      <c r="E971" s="84"/>
      <c r="F971" s="7"/>
      <c r="G971" s="120"/>
      <c r="H971" s="120"/>
      <c r="I971" s="118"/>
      <c r="J971" s="118"/>
      <c r="K971" s="115"/>
      <c r="L971" s="115"/>
      <c r="M971" s="8"/>
      <c r="N971" s="8" t="str">
        <f t="shared" si="47"/>
        <v>-</v>
      </c>
      <c r="O971" s="126"/>
      <c r="P971" s="127"/>
      <c r="Q971" s="127"/>
      <c r="R971" s="126"/>
      <c r="S971" s="127"/>
      <c r="T971" s="8"/>
      <c r="U971" s="158"/>
      <c r="V971" s="7"/>
      <c r="W971" s="7"/>
      <c r="X971" s="146"/>
      <c r="Y971" s="7"/>
      <c r="Z971" s="7"/>
      <c r="AA971" s="7" t="str">
        <f>IFERROR((VLOOKUP(F971,#REF!,2,FALSE)),"-")</f>
        <v>-</v>
      </c>
      <c r="AB971" s="119" t="e">
        <f>CONCATENATE(F971," - ",I971," - ",#REF!,)</f>
        <v>#REF!</v>
      </c>
    </row>
    <row r="972" spans="1:28" s="116" customFormat="1" ht="15">
      <c r="A972" s="114"/>
      <c r="B972" s="120"/>
      <c r="C972" s="129" t="str">
        <f t="shared" si="45"/>
        <v>week-0</v>
      </c>
      <c r="D972" s="120" t="str">
        <f t="shared" si="46"/>
        <v>Jan</v>
      </c>
      <c r="E972" s="7"/>
      <c r="F972" s="7"/>
      <c r="G972" s="120"/>
      <c r="H972" s="120"/>
      <c r="I972" s="118"/>
      <c r="J972" s="118"/>
      <c r="K972" s="115"/>
      <c r="L972" s="115"/>
      <c r="M972" s="8"/>
      <c r="N972" s="8" t="str">
        <f t="shared" si="47"/>
        <v>-</v>
      </c>
      <c r="O972" s="127"/>
      <c r="P972" s="127"/>
      <c r="Q972" s="127"/>
      <c r="R972" s="127"/>
      <c r="S972" s="127"/>
      <c r="T972" s="139"/>
      <c r="U972" s="158"/>
      <c r="V972" s="7"/>
      <c r="W972" s="7"/>
      <c r="X972" s="146"/>
      <c r="Y972" s="7"/>
      <c r="Z972" s="7"/>
      <c r="AA972" s="7" t="str">
        <f>IFERROR((VLOOKUP(F972,#REF!,2,FALSE)),"-")</f>
        <v>-</v>
      </c>
      <c r="AB972" s="119" t="e">
        <f>CONCATENATE(F972," - ",I972," - ",#REF!,)</f>
        <v>#REF!</v>
      </c>
    </row>
    <row r="973" spans="1:28" s="116" customFormat="1" ht="15">
      <c r="A973" s="114"/>
      <c r="B973" s="120"/>
      <c r="C973" s="129" t="str">
        <f t="shared" si="45"/>
        <v>week-0</v>
      </c>
      <c r="D973" s="120" t="str">
        <f t="shared" si="46"/>
        <v>Jan</v>
      </c>
      <c r="E973" s="7"/>
      <c r="F973" s="7"/>
      <c r="G973" s="120"/>
      <c r="H973" s="120"/>
      <c r="I973" s="118"/>
      <c r="J973" s="118"/>
      <c r="K973" s="115"/>
      <c r="L973" s="115"/>
      <c r="M973" s="8"/>
      <c r="N973" s="8" t="str">
        <f t="shared" si="47"/>
        <v>-</v>
      </c>
      <c r="O973" s="126"/>
      <c r="P973" s="127"/>
      <c r="Q973" s="127"/>
      <c r="R973" s="126"/>
      <c r="S973" s="127"/>
      <c r="T973" s="8"/>
      <c r="U973" s="158"/>
      <c r="V973" s="7"/>
      <c r="W973" s="7"/>
      <c r="X973" s="146"/>
      <c r="Y973" s="7"/>
      <c r="Z973" s="7"/>
      <c r="AA973" s="7" t="str">
        <f>IFERROR((VLOOKUP(F973,#REF!,2,FALSE)),"-")</f>
        <v>-</v>
      </c>
      <c r="AB973" s="119" t="e">
        <f>CONCATENATE(F973," - ",I973," - ",#REF!,)</f>
        <v>#REF!</v>
      </c>
    </row>
    <row r="974" spans="1:28" s="116" customFormat="1" ht="15">
      <c r="A974" s="114"/>
      <c r="B974" s="120"/>
      <c r="C974" s="129" t="str">
        <f t="shared" si="45"/>
        <v>week-0</v>
      </c>
      <c r="D974" s="120" t="str">
        <f t="shared" si="46"/>
        <v>Jan</v>
      </c>
      <c r="E974" s="7"/>
      <c r="F974" s="7"/>
      <c r="G974" s="120"/>
      <c r="H974" s="120"/>
      <c r="I974" s="118"/>
      <c r="J974" s="118"/>
      <c r="K974" s="115"/>
      <c r="L974" s="115"/>
      <c r="M974" s="8"/>
      <c r="N974" s="8" t="str">
        <f t="shared" si="47"/>
        <v>-</v>
      </c>
      <c r="O974" s="126"/>
      <c r="P974" s="127"/>
      <c r="Q974" s="127"/>
      <c r="R974" s="126"/>
      <c r="S974" s="127"/>
      <c r="T974" s="8"/>
      <c r="U974" s="158"/>
      <c r="V974" s="7"/>
      <c r="W974" s="7"/>
      <c r="X974" s="146"/>
      <c r="Y974" s="7"/>
      <c r="Z974" s="7"/>
      <c r="AA974" s="7" t="str">
        <f>IFERROR((VLOOKUP(F974,#REF!,2,FALSE)),"-")</f>
        <v>-</v>
      </c>
      <c r="AB974" s="119" t="e">
        <f>CONCATENATE(F974," - ",I974," - ",#REF!,)</f>
        <v>#REF!</v>
      </c>
    </row>
    <row r="975" spans="1:28" s="116" customFormat="1" ht="15">
      <c r="A975" s="114"/>
      <c r="B975" s="120"/>
      <c r="C975" s="129" t="str">
        <f t="shared" si="45"/>
        <v>week-0</v>
      </c>
      <c r="D975" s="120" t="str">
        <f t="shared" si="46"/>
        <v>Jan</v>
      </c>
      <c r="E975" s="7"/>
      <c r="F975" s="7"/>
      <c r="G975" s="120"/>
      <c r="H975" s="120"/>
      <c r="I975" s="118"/>
      <c r="J975" s="118"/>
      <c r="K975" s="115"/>
      <c r="L975" s="115"/>
      <c r="M975" s="8"/>
      <c r="N975" s="8" t="str">
        <f t="shared" si="47"/>
        <v>-</v>
      </c>
      <c r="O975" s="126"/>
      <c r="P975" s="127"/>
      <c r="Q975" s="127"/>
      <c r="R975" s="126"/>
      <c r="S975" s="127"/>
      <c r="T975" s="8"/>
      <c r="U975" s="158"/>
      <c r="V975" s="7"/>
      <c r="W975" s="7"/>
      <c r="X975" s="146"/>
      <c r="Y975" s="7"/>
      <c r="Z975" s="7"/>
      <c r="AA975" s="7" t="str">
        <f>IFERROR((VLOOKUP(F975,#REF!,2,FALSE)),"-")</f>
        <v>-</v>
      </c>
      <c r="AB975" s="119" t="e">
        <f>CONCATENATE(F975," - ",I975," - ",#REF!,)</f>
        <v>#REF!</v>
      </c>
    </row>
    <row r="976" spans="1:28" s="116" customFormat="1" ht="15">
      <c r="A976" s="114"/>
      <c r="B976" s="120"/>
      <c r="C976" s="129" t="str">
        <f t="shared" si="45"/>
        <v>week-0</v>
      </c>
      <c r="D976" s="120" t="str">
        <f t="shared" si="46"/>
        <v>Jan</v>
      </c>
      <c r="E976" s="7"/>
      <c r="F976" s="7"/>
      <c r="G976" s="120"/>
      <c r="H976" s="120"/>
      <c r="I976" s="118"/>
      <c r="J976" s="118"/>
      <c r="K976" s="115"/>
      <c r="L976" s="115"/>
      <c r="M976" s="8"/>
      <c r="N976" s="8" t="str">
        <f t="shared" si="47"/>
        <v>-</v>
      </c>
      <c r="O976" s="126"/>
      <c r="P976" s="127"/>
      <c r="Q976" s="127"/>
      <c r="R976" s="126"/>
      <c r="S976" s="127"/>
      <c r="T976" s="8"/>
      <c r="U976" s="158"/>
      <c r="V976" s="7"/>
      <c r="W976" s="7"/>
      <c r="X976" s="146"/>
      <c r="Y976" s="7"/>
      <c r="Z976" s="7"/>
      <c r="AA976" s="7" t="str">
        <f>IFERROR((VLOOKUP(F976,#REF!,2,FALSE)),"-")</f>
        <v>-</v>
      </c>
      <c r="AB976" s="119" t="e">
        <f>CONCATENATE(F976," - ",I976," - ",#REF!,)</f>
        <v>#REF!</v>
      </c>
    </row>
    <row r="977" spans="1:28" s="116" customFormat="1" ht="15">
      <c r="A977" s="114"/>
      <c r="B977" s="120"/>
      <c r="C977" s="129" t="str">
        <f t="shared" si="45"/>
        <v>week-0</v>
      </c>
      <c r="D977" s="120" t="str">
        <f t="shared" si="46"/>
        <v>Jan</v>
      </c>
      <c r="E977" s="7"/>
      <c r="F977" s="7"/>
      <c r="G977" s="120"/>
      <c r="H977" s="120"/>
      <c r="I977" s="118"/>
      <c r="J977" s="118"/>
      <c r="K977" s="115"/>
      <c r="L977" s="115"/>
      <c r="M977" s="8"/>
      <c r="N977" s="8" t="str">
        <f t="shared" si="47"/>
        <v>-</v>
      </c>
      <c r="O977" s="126"/>
      <c r="P977" s="127"/>
      <c r="Q977" s="127"/>
      <c r="R977" s="126"/>
      <c r="S977" s="127"/>
      <c r="T977" s="8"/>
      <c r="U977" s="158"/>
      <c r="V977" s="7"/>
      <c r="W977" s="7"/>
      <c r="X977" s="146"/>
      <c r="Y977" s="7"/>
      <c r="Z977" s="7"/>
      <c r="AA977" s="7" t="str">
        <f>IFERROR((VLOOKUP(F977,#REF!,2,FALSE)),"-")</f>
        <v>-</v>
      </c>
      <c r="AB977" s="119" t="e">
        <f>CONCATENATE(F977," - ",I977," - ",#REF!,)</f>
        <v>#REF!</v>
      </c>
    </row>
    <row r="978" spans="1:28" s="116" customFormat="1" ht="15">
      <c r="A978" s="114"/>
      <c r="B978" s="120"/>
      <c r="C978" s="129" t="str">
        <f t="shared" si="45"/>
        <v>week-0</v>
      </c>
      <c r="D978" s="120" t="str">
        <f t="shared" si="46"/>
        <v>Jan</v>
      </c>
      <c r="E978" s="7"/>
      <c r="F978" s="7"/>
      <c r="G978" s="120"/>
      <c r="H978" s="120"/>
      <c r="I978" s="118"/>
      <c r="J978" s="118"/>
      <c r="K978" s="115"/>
      <c r="L978" s="115"/>
      <c r="M978" s="8"/>
      <c r="N978" s="8" t="str">
        <f t="shared" si="47"/>
        <v>-</v>
      </c>
      <c r="O978" s="126"/>
      <c r="P978" s="127"/>
      <c r="Q978" s="127"/>
      <c r="R978" s="126"/>
      <c r="S978" s="127"/>
      <c r="T978" s="8"/>
      <c r="U978" s="158"/>
      <c r="V978" s="7"/>
      <c r="W978" s="7"/>
      <c r="X978" s="146"/>
      <c r="Y978" s="7"/>
      <c r="Z978" s="7"/>
      <c r="AA978" s="7" t="str">
        <f>IFERROR((VLOOKUP(F978,#REF!,2,FALSE)),"-")</f>
        <v>-</v>
      </c>
      <c r="AB978" s="119" t="e">
        <f>CONCATENATE(F978," - ",I978," - ",#REF!,)</f>
        <v>#REF!</v>
      </c>
    </row>
    <row r="979" spans="1:28" s="116" customFormat="1" ht="15">
      <c r="A979" s="114"/>
      <c r="B979" s="120"/>
      <c r="C979" s="129" t="str">
        <f t="shared" si="45"/>
        <v>week-0</v>
      </c>
      <c r="D979" s="120" t="str">
        <f t="shared" si="46"/>
        <v>Jan</v>
      </c>
      <c r="E979" s="7"/>
      <c r="F979" s="7"/>
      <c r="G979" s="120"/>
      <c r="H979" s="120"/>
      <c r="I979" s="118"/>
      <c r="J979" s="118"/>
      <c r="K979" s="115"/>
      <c r="L979" s="115"/>
      <c r="M979" s="8"/>
      <c r="N979" s="8" t="str">
        <f t="shared" si="47"/>
        <v>-</v>
      </c>
      <c r="O979" s="126"/>
      <c r="P979" s="127"/>
      <c r="Q979" s="127"/>
      <c r="R979" s="126"/>
      <c r="S979" s="127"/>
      <c r="T979" s="8"/>
      <c r="U979" s="158"/>
      <c r="V979" s="7"/>
      <c r="W979" s="7"/>
      <c r="X979" s="146"/>
      <c r="Y979" s="7"/>
      <c r="Z979" s="7"/>
      <c r="AA979" s="7" t="str">
        <f>IFERROR((VLOOKUP(F979,#REF!,2,FALSE)),"-")</f>
        <v>-</v>
      </c>
      <c r="AB979" s="119" t="e">
        <f>CONCATENATE(F979," - ",I979," - ",#REF!,)</f>
        <v>#REF!</v>
      </c>
    </row>
    <row r="980" spans="1:28" s="116" customFormat="1" ht="15">
      <c r="A980" s="114"/>
      <c r="B980" s="120"/>
      <c r="C980" s="129" t="str">
        <f t="shared" si="45"/>
        <v>week-0</v>
      </c>
      <c r="D980" s="120" t="str">
        <f t="shared" si="46"/>
        <v>Jan</v>
      </c>
      <c r="E980" s="7"/>
      <c r="F980" s="7"/>
      <c r="G980" s="120"/>
      <c r="H980" s="120"/>
      <c r="I980" s="118"/>
      <c r="J980" s="118"/>
      <c r="K980" s="115"/>
      <c r="L980" s="115"/>
      <c r="M980" s="8"/>
      <c r="N980" s="8" t="str">
        <f t="shared" si="47"/>
        <v>-</v>
      </c>
      <c r="O980" s="126"/>
      <c r="P980" s="127"/>
      <c r="Q980" s="127"/>
      <c r="R980" s="126"/>
      <c r="S980" s="127"/>
      <c r="T980" s="8"/>
      <c r="U980" s="158"/>
      <c r="V980" s="7"/>
      <c r="W980" s="7"/>
      <c r="X980" s="146"/>
      <c r="Y980" s="7"/>
      <c r="Z980" s="7"/>
      <c r="AA980" s="7" t="str">
        <f>IFERROR((VLOOKUP(F980,#REF!,2,FALSE)),"-")</f>
        <v>-</v>
      </c>
      <c r="AB980" s="119" t="e">
        <f>CONCATENATE(F980," - ",I980," - ",#REF!,)</f>
        <v>#REF!</v>
      </c>
    </row>
    <row r="981" spans="1:28" s="116" customFormat="1" ht="15">
      <c r="A981" s="114"/>
      <c r="B981" s="120"/>
      <c r="C981" s="129" t="str">
        <f t="shared" si="45"/>
        <v>week-0</v>
      </c>
      <c r="D981" s="120" t="str">
        <f t="shared" si="46"/>
        <v>Jan</v>
      </c>
      <c r="E981" s="7"/>
      <c r="F981" s="7"/>
      <c r="G981" s="120"/>
      <c r="H981" s="120"/>
      <c r="I981" s="118"/>
      <c r="J981" s="118"/>
      <c r="K981" s="115"/>
      <c r="L981" s="115"/>
      <c r="M981" s="8"/>
      <c r="N981" s="8" t="str">
        <f t="shared" si="47"/>
        <v>-</v>
      </c>
      <c r="O981" s="126"/>
      <c r="P981" s="127"/>
      <c r="Q981" s="127"/>
      <c r="R981" s="126"/>
      <c r="S981" s="127"/>
      <c r="T981" s="8"/>
      <c r="U981" s="158"/>
      <c r="V981" s="7"/>
      <c r="W981" s="7"/>
      <c r="X981" s="146"/>
      <c r="Y981" s="7"/>
      <c r="Z981" s="7"/>
      <c r="AA981" s="7" t="str">
        <f>IFERROR((VLOOKUP(F981,#REF!,2,FALSE)),"-")</f>
        <v>-</v>
      </c>
      <c r="AB981" s="119" t="e">
        <f>CONCATENATE(F981," - ",I981," - ",#REF!,)</f>
        <v>#REF!</v>
      </c>
    </row>
    <row r="982" spans="1:28" s="116" customFormat="1" ht="15">
      <c r="A982" s="114"/>
      <c r="B982" s="120"/>
      <c r="C982" s="129" t="str">
        <f t="shared" si="45"/>
        <v>week-0</v>
      </c>
      <c r="D982" s="120" t="str">
        <f t="shared" si="46"/>
        <v>Jan</v>
      </c>
      <c r="E982" s="7"/>
      <c r="F982" s="7"/>
      <c r="G982" s="120"/>
      <c r="H982" s="120"/>
      <c r="I982" s="118"/>
      <c r="J982" s="118"/>
      <c r="K982" s="115"/>
      <c r="L982" s="115"/>
      <c r="M982" s="8"/>
      <c r="N982" s="8" t="str">
        <f t="shared" si="47"/>
        <v>-</v>
      </c>
      <c r="O982" s="126"/>
      <c r="P982" s="127"/>
      <c r="Q982" s="127"/>
      <c r="R982" s="126"/>
      <c r="S982" s="127"/>
      <c r="T982" s="8"/>
      <c r="U982" s="158"/>
      <c r="V982" s="7"/>
      <c r="W982" s="7"/>
      <c r="X982" s="146"/>
      <c r="Y982" s="7"/>
      <c r="Z982" s="7"/>
      <c r="AA982" s="7" t="str">
        <f>IFERROR((VLOOKUP(F982,#REF!,2,FALSE)),"-")</f>
        <v>-</v>
      </c>
      <c r="AB982" s="119" t="e">
        <f>CONCATENATE(F982," - ",I982," - ",#REF!,)</f>
        <v>#REF!</v>
      </c>
    </row>
    <row r="983" spans="1:28" s="116" customFormat="1" ht="15">
      <c r="A983" s="114"/>
      <c r="B983" s="120"/>
      <c r="C983" s="129" t="str">
        <f t="shared" si="45"/>
        <v>week-0</v>
      </c>
      <c r="D983" s="120" t="str">
        <f t="shared" si="46"/>
        <v>Jan</v>
      </c>
      <c r="E983" s="7"/>
      <c r="F983" s="7"/>
      <c r="G983" s="120"/>
      <c r="H983" s="120"/>
      <c r="I983" s="118"/>
      <c r="J983" s="118"/>
      <c r="K983" s="115"/>
      <c r="L983" s="115"/>
      <c r="M983" s="8"/>
      <c r="N983" s="8" t="str">
        <f t="shared" si="47"/>
        <v>-</v>
      </c>
      <c r="O983" s="126"/>
      <c r="P983" s="127"/>
      <c r="Q983" s="127"/>
      <c r="R983" s="126"/>
      <c r="S983" s="127"/>
      <c r="T983" s="8"/>
      <c r="U983" s="158"/>
      <c r="V983" s="7"/>
      <c r="W983" s="7"/>
      <c r="X983" s="146"/>
      <c r="Y983" s="7"/>
      <c r="Z983" s="7"/>
      <c r="AA983" s="7" t="str">
        <f>IFERROR((VLOOKUP(F983,#REF!,2,FALSE)),"-")</f>
        <v>-</v>
      </c>
      <c r="AB983" s="119" t="e">
        <f>CONCATENATE(F983," - ",I983," - ",#REF!,)</f>
        <v>#REF!</v>
      </c>
    </row>
    <row r="984" spans="1:28" s="116" customFormat="1" ht="15">
      <c r="A984" s="114"/>
      <c r="B984" s="120"/>
      <c r="C984" s="129" t="str">
        <f t="shared" si="45"/>
        <v>week-0</v>
      </c>
      <c r="D984" s="120" t="str">
        <f t="shared" si="46"/>
        <v>Jan</v>
      </c>
      <c r="E984" s="7"/>
      <c r="F984" s="7"/>
      <c r="G984" s="120"/>
      <c r="H984" s="120"/>
      <c r="I984" s="118"/>
      <c r="J984" s="118"/>
      <c r="K984" s="115"/>
      <c r="L984" s="115"/>
      <c r="M984" s="8"/>
      <c r="N984" s="8" t="str">
        <f t="shared" si="47"/>
        <v>-</v>
      </c>
      <c r="O984" s="126"/>
      <c r="P984" s="127"/>
      <c r="Q984" s="127"/>
      <c r="R984" s="126"/>
      <c r="S984" s="127"/>
      <c r="T984" s="8"/>
      <c r="U984" s="158"/>
      <c r="V984" s="7"/>
      <c r="W984" s="7"/>
      <c r="X984" s="146"/>
      <c r="Y984" s="7"/>
      <c r="Z984" s="7"/>
      <c r="AA984" s="7" t="str">
        <f>IFERROR((VLOOKUP(F984,#REF!,2,FALSE)),"-")</f>
        <v>-</v>
      </c>
      <c r="AB984" s="119" t="e">
        <f>CONCATENATE(F984," - ",I984," - ",#REF!,)</f>
        <v>#REF!</v>
      </c>
    </row>
    <row r="985" spans="1:28" s="116" customFormat="1" ht="15">
      <c r="A985" s="114"/>
      <c r="B985" s="120"/>
      <c r="C985" s="129" t="str">
        <f t="shared" si="45"/>
        <v>week-0</v>
      </c>
      <c r="D985" s="120" t="str">
        <f t="shared" si="46"/>
        <v>Jan</v>
      </c>
      <c r="E985" s="84"/>
      <c r="F985" s="7"/>
      <c r="G985" s="120"/>
      <c r="H985" s="120"/>
      <c r="I985" s="118"/>
      <c r="J985" s="118"/>
      <c r="K985" s="115"/>
      <c r="L985" s="115"/>
      <c r="M985" s="8"/>
      <c r="N985" s="8" t="str">
        <f t="shared" si="47"/>
        <v>-</v>
      </c>
      <c r="O985" s="126"/>
      <c r="P985" s="127"/>
      <c r="Q985" s="127"/>
      <c r="R985" s="126"/>
      <c r="S985" s="127"/>
      <c r="T985" s="8"/>
      <c r="U985" s="158"/>
      <c r="V985" s="7"/>
      <c r="W985" s="7"/>
      <c r="X985" s="146"/>
      <c r="Y985" s="7"/>
      <c r="Z985" s="7"/>
      <c r="AA985" s="7" t="str">
        <f>IFERROR((VLOOKUP(F985,#REF!,2,FALSE)),"-")</f>
        <v>-</v>
      </c>
      <c r="AB985" s="119" t="e">
        <f>CONCATENATE(F985," - ",I985," - ",#REF!,)</f>
        <v>#REF!</v>
      </c>
    </row>
    <row r="986" spans="1:28" s="116" customFormat="1" ht="15">
      <c r="A986" s="114"/>
      <c r="B986" s="120"/>
      <c r="C986" s="129" t="str">
        <f t="shared" si="45"/>
        <v>week-0</v>
      </c>
      <c r="D986" s="120" t="str">
        <f t="shared" si="46"/>
        <v>Jan</v>
      </c>
      <c r="E986" s="7"/>
      <c r="F986" s="7"/>
      <c r="G986" s="120"/>
      <c r="H986" s="120"/>
      <c r="I986" s="118"/>
      <c r="J986" s="118"/>
      <c r="K986" s="115"/>
      <c r="L986" s="115"/>
      <c r="M986" s="8"/>
      <c r="N986" s="8" t="str">
        <f t="shared" si="47"/>
        <v>-</v>
      </c>
      <c r="O986" s="126"/>
      <c r="P986" s="127"/>
      <c r="Q986" s="127"/>
      <c r="R986" s="126"/>
      <c r="S986" s="127"/>
      <c r="T986" s="8"/>
      <c r="U986" s="158"/>
      <c r="V986" s="7"/>
      <c r="W986" s="7"/>
      <c r="X986" s="146"/>
      <c r="Y986" s="7"/>
      <c r="Z986" s="7"/>
      <c r="AA986" s="7" t="str">
        <f>IFERROR((VLOOKUP(F986,#REF!,2,FALSE)),"-")</f>
        <v>-</v>
      </c>
      <c r="AB986" s="119" t="e">
        <f>CONCATENATE(F986," - ",I986," - ",#REF!,)</f>
        <v>#REF!</v>
      </c>
    </row>
    <row r="987" spans="1:28" s="116" customFormat="1" ht="15">
      <c r="A987" s="114"/>
      <c r="B987" s="120"/>
      <c r="C987" s="129" t="str">
        <f t="shared" si="45"/>
        <v>week-0</v>
      </c>
      <c r="D987" s="120" t="str">
        <f t="shared" si="46"/>
        <v>Jan</v>
      </c>
      <c r="E987" s="7"/>
      <c r="F987" s="7"/>
      <c r="G987" s="120"/>
      <c r="H987" s="120"/>
      <c r="I987" s="118"/>
      <c r="J987" s="118"/>
      <c r="K987" s="115"/>
      <c r="L987" s="115"/>
      <c r="M987" s="8"/>
      <c r="N987" s="8" t="str">
        <f t="shared" si="47"/>
        <v>-</v>
      </c>
      <c r="O987" s="126"/>
      <c r="P987" s="127"/>
      <c r="Q987" s="127"/>
      <c r="R987" s="126"/>
      <c r="S987" s="127"/>
      <c r="T987" s="8"/>
      <c r="U987" s="158"/>
      <c r="V987" s="7"/>
      <c r="W987" s="7"/>
      <c r="X987" s="146"/>
      <c r="Y987" s="7"/>
      <c r="Z987" s="7"/>
      <c r="AA987" s="7" t="str">
        <f>IFERROR((VLOOKUP(F987,#REF!,2,FALSE)),"-")</f>
        <v>-</v>
      </c>
      <c r="AB987" s="119" t="e">
        <f>CONCATENATE(F987," - ",I987," - ",#REF!,)</f>
        <v>#REF!</v>
      </c>
    </row>
    <row r="988" spans="1:28" s="116" customFormat="1" ht="15">
      <c r="A988" s="114"/>
      <c r="B988" s="120"/>
      <c r="C988" s="129" t="str">
        <f t="shared" si="45"/>
        <v>week-0</v>
      </c>
      <c r="D988" s="120" t="str">
        <f t="shared" si="46"/>
        <v>Jan</v>
      </c>
      <c r="E988" s="7"/>
      <c r="F988" s="7"/>
      <c r="G988" s="120"/>
      <c r="H988" s="120"/>
      <c r="I988" s="118"/>
      <c r="J988" s="118"/>
      <c r="K988" s="115"/>
      <c r="L988" s="115"/>
      <c r="M988" s="8"/>
      <c r="N988" s="8" t="str">
        <f t="shared" si="47"/>
        <v>-</v>
      </c>
      <c r="O988" s="126"/>
      <c r="P988" s="127"/>
      <c r="Q988" s="127"/>
      <c r="R988" s="126"/>
      <c r="S988" s="127"/>
      <c r="T988" s="8"/>
      <c r="U988" s="158"/>
      <c r="V988" s="7"/>
      <c r="W988" s="7"/>
      <c r="X988" s="146"/>
      <c r="Y988" s="7"/>
      <c r="Z988" s="7"/>
      <c r="AA988" s="7"/>
      <c r="AB988" s="119" t="e">
        <f>CONCATENATE(F988," - ",I988," - ",#REF!,)</f>
        <v>#REF!</v>
      </c>
    </row>
    <row r="989" spans="1:28" s="116" customFormat="1" ht="15">
      <c r="A989" s="114"/>
      <c r="B989" s="120"/>
      <c r="C989" s="129" t="str">
        <f t="shared" si="45"/>
        <v>week-0</v>
      </c>
      <c r="D989" s="120" t="str">
        <f t="shared" si="46"/>
        <v>Jan</v>
      </c>
      <c r="E989" s="7"/>
      <c r="F989" s="7"/>
      <c r="G989" s="120"/>
      <c r="H989" s="120"/>
      <c r="I989" s="118"/>
      <c r="J989" s="118"/>
      <c r="K989" s="115"/>
      <c r="L989" s="115"/>
      <c r="M989" s="8"/>
      <c r="N989" s="8" t="str">
        <f t="shared" si="47"/>
        <v>-</v>
      </c>
      <c r="O989" s="126"/>
      <c r="P989" s="127"/>
      <c r="Q989" s="127"/>
      <c r="R989" s="126"/>
      <c r="S989" s="127"/>
      <c r="T989" s="8"/>
      <c r="U989" s="158"/>
      <c r="V989" s="7"/>
      <c r="W989" s="7"/>
      <c r="X989" s="146"/>
      <c r="Y989" s="7"/>
      <c r="Z989" s="7"/>
      <c r="AA989" s="7" t="str">
        <f>IFERROR((VLOOKUP(F989,#REF!,2,FALSE)),"-")</f>
        <v>-</v>
      </c>
      <c r="AB989" s="119" t="e">
        <f>CONCATENATE(F989," - ",I989," - ",#REF!,)</f>
        <v>#REF!</v>
      </c>
    </row>
    <row r="990" spans="1:28" s="116" customFormat="1" ht="15">
      <c r="A990" s="114"/>
      <c r="B990" s="120"/>
      <c r="C990" s="129" t="str">
        <f t="shared" si="45"/>
        <v>week-0</v>
      </c>
      <c r="D990" s="120" t="str">
        <f t="shared" si="46"/>
        <v>Jan</v>
      </c>
      <c r="E990" s="7"/>
      <c r="F990" s="7"/>
      <c r="G990" s="120"/>
      <c r="H990" s="120"/>
      <c r="I990" s="118"/>
      <c r="J990" s="118"/>
      <c r="K990" s="115"/>
      <c r="L990" s="115"/>
      <c r="M990" s="8"/>
      <c r="N990" s="8" t="str">
        <f t="shared" si="47"/>
        <v>-</v>
      </c>
      <c r="O990" s="126"/>
      <c r="P990" s="127"/>
      <c r="Q990" s="127"/>
      <c r="R990" s="126"/>
      <c r="S990" s="127"/>
      <c r="T990" s="8"/>
      <c r="U990" s="158"/>
      <c r="V990" s="7"/>
      <c r="W990" s="7"/>
      <c r="X990" s="146"/>
      <c r="Y990" s="7"/>
      <c r="Z990" s="7"/>
      <c r="AA990" s="7" t="str">
        <f>IFERROR((VLOOKUP(F990,#REF!,2,FALSE)),"-")</f>
        <v>-</v>
      </c>
      <c r="AB990" s="119" t="e">
        <f>CONCATENATE(F990," - ",I990," - ",#REF!,)</f>
        <v>#REF!</v>
      </c>
    </row>
    <row r="991" spans="1:28" s="116" customFormat="1" ht="15">
      <c r="A991" s="114"/>
      <c r="B991" s="120"/>
      <c r="C991" s="129" t="str">
        <f t="shared" si="45"/>
        <v>week-0</v>
      </c>
      <c r="D991" s="120" t="str">
        <f t="shared" si="46"/>
        <v>Jan</v>
      </c>
      <c r="E991" s="7"/>
      <c r="F991" s="7"/>
      <c r="G991" s="120"/>
      <c r="H991" s="120"/>
      <c r="I991" s="118"/>
      <c r="J991" s="118"/>
      <c r="K991" s="115"/>
      <c r="L991" s="115"/>
      <c r="M991" s="8"/>
      <c r="N991" s="8" t="str">
        <f t="shared" si="47"/>
        <v>-</v>
      </c>
      <c r="O991" s="126"/>
      <c r="P991" s="127"/>
      <c r="Q991" s="127"/>
      <c r="R991" s="126"/>
      <c r="S991" s="127"/>
      <c r="T991" s="8"/>
      <c r="U991" s="158"/>
      <c r="V991" s="7"/>
      <c r="W991" s="7"/>
      <c r="X991" s="146"/>
      <c r="Y991" s="7"/>
      <c r="Z991" s="7"/>
      <c r="AA991" s="7" t="str">
        <f>IFERROR((VLOOKUP(F991,#REF!,2,FALSE)),"-")</f>
        <v>-</v>
      </c>
      <c r="AB991" s="119" t="e">
        <f>CONCATENATE(F991," - ",I991," - ",#REF!,)</f>
        <v>#REF!</v>
      </c>
    </row>
    <row r="992" spans="1:28" s="116" customFormat="1" ht="15">
      <c r="A992" s="114"/>
      <c r="B992" s="120"/>
      <c r="C992" s="129" t="str">
        <f t="shared" si="45"/>
        <v>week-0</v>
      </c>
      <c r="D992" s="120" t="str">
        <f t="shared" si="46"/>
        <v>Jan</v>
      </c>
      <c r="E992" s="7"/>
      <c r="F992" s="7"/>
      <c r="G992" s="120"/>
      <c r="H992" s="120"/>
      <c r="I992" s="118"/>
      <c r="J992" s="118"/>
      <c r="K992" s="115"/>
      <c r="L992" s="115"/>
      <c r="M992" s="8"/>
      <c r="N992" s="8" t="str">
        <f t="shared" si="47"/>
        <v>-</v>
      </c>
      <c r="O992" s="126"/>
      <c r="P992" s="127"/>
      <c r="Q992" s="127"/>
      <c r="R992" s="126"/>
      <c r="S992" s="127"/>
      <c r="T992" s="8"/>
      <c r="U992" s="158"/>
      <c r="V992" s="7"/>
      <c r="W992" s="7"/>
      <c r="X992" s="146"/>
      <c r="Y992" s="7"/>
      <c r="Z992" s="7"/>
      <c r="AA992" s="7" t="str">
        <f>IFERROR((VLOOKUP(F992,#REF!,2,FALSE)),"-")</f>
        <v>-</v>
      </c>
      <c r="AB992" s="119" t="e">
        <f>CONCATENATE(F992," - ",I992," - ",#REF!,)</f>
        <v>#REF!</v>
      </c>
    </row>
    <row r="993" spans="1:28" s="116" customFormat="1" ht="15">
      <c r="A993" s="114"/>
      <c r="B993" s="120"/>
      <c r="C993" s="129" t="str">
        <f t="shared" si="45"/>
        <v>week-0</v>
      </c>
      <c r="D993" s="120" t="str">
        <f t="shared" si="46"/>
        <v>Jan</v>
      </c>
      <c r="E993" s="7"/>
      <c r="F993" s="7"/>
      <c r="G993" s="120"/>
      <c r="H993" s="120"/>
      <c r="I993" s="118"/>
      <c r="J993" s="118"/>
      <c r="K993" s="115"/>
      <c r="L993" s="115"/>
      <c r="M993" s="8"/>
      <c r="N993" s="8" t="str">
        <f t="shared" si="47"/>
        <v>-</v>
      </c>
      <c r="O993" s="126"/>
      <c r="P993" s="127"/>
      <c r="Q993" s="127"/>
      <c r="R993" s="126"/>
      <c r="S993" s="127"/>
      <c r="T993" s="8"/>
      <c r="U993" s="158"/>
      <c r="V993" s="7"/>
      <c r="W993" s="7"/>
      <c r="X993" s="146"/>
      <c r="Y993" s="7"/>
      <c r="Z993" s="7"/>
      <c r="AA993" s="7" t="str">
        <f>IFERROR((VLOOKUP(F993,#REF!,2,FALSE)),"-")</f>
        <v>-</v>
      </c>
      <c r="AB993" s="119" t="e">
        <f>CONCATENATE(F993," - ",I993," - ",#REF!,)</f>
        <v>#REF!</v>
      </c>
    </row>
    <row r="994" spans="1:28" s="116" customFormat="1" ht="15">
      <c r="A994" s="114"/>
      <c r="B994" s="120"/>
      <c r="C994" s="129" t="str">
        <f t="shared" si="45"/>
        <v>week-0</v>
      </c>
      <c r="D994" s="120" t="str">
        <f t="shared" si="46"/>
        <v>Jan</v>
      </c>
      <c r="E994" s="7"/>
      <c r="F994" s="7"/>
      <c r="G994" s="120"/>
      <c r="H994" s="120"/>
      <c r="I994" s="118"/>
      <c r="J994" s="118"/>
      <c r="K994" s="115"/>
      <c r="L994" s="115"/>
      <c r="M994" s="8"/>
      <c r="N994" s="8" t="str">
        <f t="shared" si="47"/>
        <v>-</v>
      </c>
      <c r="O994" s="126"/>
      <c r="P994" s="127"/>
      <c r="Q994" s="127"/>
      <c r="R994" s="126"/>
      <c r="S994" s="127"/>
      <c r="T994" s="8"/>
      <c r="U994" s="158"/>
      <c r="V994" s="7"/>
      <c r="W994" s="7"/>
      <c r="X994" s="146"/>
      <c r="Y994" s="7"/>
      <c r="Z994" s="7"/>
      <c r="AA994" s="7" t="str">
        <f>IFERROR((VLOOKUP(F994,#REF!,2,FALSE)),"-")</f>
        <v>-</v>
      </c>
      <c r="AB994" s="119" t="e">
        <f>CONCATENATE(F994," - ",I994," - ",#REF!,)</f>
        <v>#REF!</v>
      </c>
    </row>
    <row r="995" spans="1:28" s="116" customFormat="1" ht="15">
      <c r="A995" s="114"/>
      <c r="B995" s="120"/>
      <c r="C995" s="129" t="str">
        <f t="shared" si="45"/>
        <v>week-0</v>
      </c>
      <c r="D995" s="120" t="str">
        <f t="shared" si="46"/>
        <v>Jan</v>
      </c>
      <c r="E995" s="7"/>
      <c r="F995" s="7"/>
      <c r="G995" s="120"/>
      <c r="H995" s="120"/>
      <c r="I995" s="118"/>
      <c r="J995" s="118"/>
      <c r="K995" s="115"/>
      <c r="L995" s="115"/>
      <c r="M995" s="8"/>
      <c r="N995" s="8" t="str">
        <f t="shared" si="47"/>
        <v>-</v>
      </c>
      <c r="O995" s="127"/>
      <c r="P995" s="127"/>
      <c r="Q995" s="127"/>
      <c r="R995" s="127"/>
      <c r="S995" s="127"/>
      <c r="T995" s="139"/>
      <c r="U995" s="158"/>
      <c r="V995" s="7"/>
      <c r="W995" s="7"/>
      <c r="X995" s="146"/>
      <c r="Y995" s="7"/>
      <c r="Z995" s="7"/>
      <c r="AA995" s="7" t="str">
        <f>IFERROR((VLOOKUP(F995,#REF!,2,FALSE)),"-")</f>
        <v>-</v>
      </c>
      <c r="AB995" s="119" t="e">
        <f>CONCATENATE(F995," - ",I995," - ",#REF!,)</f>
        <v>#REF!</v>
      </c>
    </row>
    <row r="996" spans="1:28" s="116" customFormat="1" ht="15">
      <c r="A996" s="114"/>
      <c r="B996" s="120"/>
      <c r="C996" s="129" t="str">
        <f t="shared" si="45"/>
        <v>week-0</v>
      </c>
      <c r="D996" s="120" t="str">
        <f t="shared" si="46"/>
        <v>Jan</v>
      </c>
      <c r="E996" s="7"/>
      <c r="F996" s="7"/>
      <c r="G996" s="120"/>
      <c r="H996" s="120"/>
      <c r="I996" s="118"/>
      <c r="J996" s="118"/>
      <c r="K996" s="115"/>
      <c r="L996" s="115"/>
      <c r="M996" s="8"/>
      <c r="N996" s="8" t="str">
        <f t="shared" si="47"/>
        <v>-</v>
      </c>
      <c r="O996" s="126"/>
      <c r="P996" s="127"/>
      <c r="Q996" s="127"/>
      <c r="R996" s="126"/>
      <c r="S996" s="127"/>
      <c r="T996" s="8"/>
      <c r="U996" s="158"/>
      <c r="V996" s="7"/>
      <c r="W996" s="7"/>
      <c r="X996" s="146"/>
      <c r="Y996" s="7"/>
      <c r="Z996" s="7"/>
      <c r="AA996" s="7" t="str">
        <f>IFERROR((VLOOKUP(F996,#REF!,2,FALSE)),"-")</f>
        <v>-</v>
      </c>
      <c r="AB996" s="119" t="e">
        <f>CONCATENATE(F996," - ",I996," - ",#REF!,)</f>
        <v>#REF!</v>
      </c>
    </row>
    <row r="997" spans="1:28" s="116" customFormat="1" ht="15">
      <c r="A997" s="114"/>
      <c r="B997" s="120"/>
      <c r="C997" s="129" t="str">
        <f t="shared" si="45"/>
        <v>week-0</v>
      </c>
      <c r="D997" s="120" t="str">
        <f t="shared" si="46"/>
        <v>Jan</v>
      </c>
      <c r="E997" s="7"/>
      <c r="F997" s="7"/>
      <c r="G997" s="120"/>
      <c r="H997" s="120"/>
      <c r="I997" s="118"/>
      <c r="J997" s="118"/>
      <c r="K997" s="115"/>
      <c r="L997" s="115"/>
      <c r="M997" s="8"/>
      <c r="N997" s="8" t="str">
        <f t="shared" si="47"/>
        <v>-</v>
      </c>
      <c r="O997" s="126"/>
      <c r="P997" s="127"/>
      <c r="Q997" s="127"/>
      <c r="R997" s="126"/>
      <c r="S997" s="127"/>
      <c r="T997" s="8"/>
      <c r="U997" s="158"/>
      <c r="V997" s="7"/>
      <c r="W997" s="7"/>
      <c r="X997" s="146"/>
      <c r="Y997" s="7"/>
      <c r="Z997" s="7"/>
      <c r="AA997" s="7" t="str">
        <f>IFERROR((VLOOKUP(F997,#REF!,2,FALSE)),"-")</f>
        <v>-</v>
      </c>
      <c r="AB997" s="119" t="e">
        <f>CONCATENATE(F997," - ",I997," - ",#REF!,)</f>
        <v>#REF!</v>
      </c>
    </row>
    <row r="998" spans="1:28" s="116" customFormat="1" ht="15">
      <c r="A998" s="114"/>
      <c r="B998" s="120"/>
      <c r="C998" s="129" t="str">
        <f t="shared" si="45"/>
        <v>week-0</v>
      </c>
      <c r="D998" s="120" t="str">
        <f t="shared" si="46"/>
        <v>Jan</v>
      </c>
      <c r="E998" s="7"/>
      <c r="F998" s="7"/>
      <c r="G998" s="120"/>
      <c r="H998" s="120"/>
      <c r="I998" s="118"/>
      <c r="J998" s="118"/>
      <c r="K998" s="115"/>
      <c r="L998" s="115"/>
      <c r="M998" s="8"/>
      <c r="N998" s="8" t="str">
        <f t="shared" si="47"/>
        <v>-</v>
      </c>
      <c r="O998" s="126"/>
      <c r="P998" s="127"/>
      <c r="Q998" s="127"/>
      <c r="R998" s="126"/>
      <c r="S998" s="127"/>
      <c r="T998" s="8"/>
      <c r="U998" s="158"/>
      <c r="V998" s="7"/>
      <c r="W998" s="7"/>
      <c r="X998" s="146"/>
      <c r="Y998" s="7"/>
      <c r="Z998" s="7"/>
      <c r="AA998" s="7" t="str">
        <f>IFERROR((VLOOKUP(F998,#REF!,2,FALSE)),"-")</f>
        <v>-</v>
      </c>
      <c r="AB998" s="119" t="e">
        <f>CONCATENATE(F998," - ",I998," - ",#REF!,)</f>
        <v>#REF!</v>
      </c>
    </row>
    <row r="999" spans="1:28" s="116" customFormat="1" ht="15">
      <c r="A999" s="114"/>
      <c r="B999" s="120"/>
      <c r="C999" s="129" t="str">
        <f t="shared" si="45"/>
        <v>week-0</v>
      </c>
      <c r="D999" s="120" t="str">
        <f t="shared" si="46"/>
        <v>Jan</v>
      </c>
      <c r="E999" s="7"/>
      <c r="F999" s="7"/>
      <c r="G999" s="120"/>
      <c r="H999" s="120"/>
      <c r="I999" s="118"/>
      <c r="J999" s="118"/>
      <c r="K999" s="115"/>
      <c r="L999" s="115"/>
      <c r="M999" s="8"/>
      <c r="N999" s="8" t="str">
        <f t="shared" si="47"/>
        <v>-</v>
      </c>
      <c r="O999" s="126"/>
      <c r="P999" s="127"/>
      <c r="Q999" s="127"/>
      <c r="R999" s="126"/>
      <c r="S999" s="127"/>
      <c r="T999" s="8"/>
      <c r="U999" s="158"/>
      <c r="V999" s="7"/>
      <c r="W999" s="7"/>
      <c r="X999" s="146"/>
      <c r="Y999" s="7"/>
      <c r="Z999" s="7"/>
      <c r="AA999" s="7" t="str">
        <f>IFERROR((VLOOKUP(F999,#REF!,2,FALSE)),"-")</f>
        <v>-</v>
      </c>
      <c r="AB999" s="119" t="e">
        <f>CONCATENATE(F999," - ",I999," - ",#REF!,)</f>
        <v>#REF!</v>
      </c>
    </row>
    <row r="1000" spans="1:28" s="116" customFormat="1" ht="15">
      <c r="A1000" s="114"/>
      <c r="B1000" s="120"/>
      <c r="C1000" s="129" t="str">
        <f t="shared" si="45"/>
        <v>week-0</v>
      </c>
      <c r="D1000" s="120" t="str">
        <f t="shared" si="46"/>
        <v>Jan</v>
      </c>
      <c r="E1000" s="7"/>
      <c r="F1000" s="7"/>
      <c r="G1000" s="120"/>
      <c r="H1000" s="120"/>
      <c r="I1000" s="118"/>
      <c r="J1000" s="118"/>
      <c r="K1000" s="115"/>
      <c r="L1000" s="115"/>
      <c r="M1000" s="8"/>
      <c r="N1000" s="8" t="str">
        <f t="shared" si="47"/>
        <v>-</v>
      </c>
      <c r="O1000" s="126"/>
      <c r="P1000" s="127"/>
      <c r="Q1000" s="127"/>
      <c r="R1000" s="126"/>
      <c r="S1000" s="127"/>
      <c r="T1000" s="8"/>
      <c r="U1000" s="158"/>
      <c r="V1000" s="7"/>
      <c r="W1000" s="7"/>
      <c r="X1000" s="146"/>
      <c r="Y1000" s="7"/>
      <c r="Z1000" s="7"/>
      <c r="AA1000" s="7" t="str">
        <f>IFERROR((VLOOKUP(F1000,#REF!,2,FALSE)),"-")</f>
        <v>-</v>
      </c>
      <c r="AB1000" s="119" t="e">
        <f>CONCATENATE(F1000," - ",I1000," - ",#REF!,)</f>
        <v>#REF!</v>
      </c>
    </row>
    <row r="1001" spans="1:28" s="116" customFormat="1" ht="15">
      <c r="A1001" s="114"/>
      <c r="B1001" s="120"/>
      <c r="C1001" s="129" t="str">
        <f t="shared" si="45"/>
        <v>week-0</v>
      </c>
      <c r="D1001" s="120" t="str">
        <f t="shared" si="46"/>
        <v>Jan</v>
      </c>
      <c r="E1001" s="7"/>
      <c r="F1001" s="7"/>
      <c r="G1001" s="120"/>
      <c r="H1001" s="120"/>
      <c r="I1001" s="118"/>
      <c r="J1001" s="118"/>
      <c r="K1001" s="115"/>
      <c r="L1001" s="115"/>
      <c r="M1001" s="8"/>
      <c r="N1001" s="8" t="str">
        <f t="shared" si="47"/>
        <v>-</v>
      </c>
      <c r="O1001" s="126"/>
      <c r="P1001" s="127"/>
      <c r="Q1001" s="127"/>
      <c r="R1001" s="126"/>
      <c r="S1001" s="127"/>
      <c r="T1001" s="8"/>
      <c r="U1001" s="158"/>
      <c r="V1001" s="7"/>
      <c r="W1001" s="7"/>
      <c r="X1001" s="146"/>
      <c r="Y1001" s="7"/>
      <c r="Z1001" s="7"/>
      <c r="AA1001" s="7" t="str">
        <f>IFERROR((VLOOKUP(F1001,#REF!,2,FALSE)),"-")</f>
        <v>-</v>
      </c>
      <c r="AB1001" s="119" t="e">
        <f>CONCATENATE(F1001," - ",I1001," - ",#REF!,)</f>
        <v>#REF!</v>
      </c>
    </row>
    <row r="1002" spans="1:28" s="116" customFormat="1" ht="15">
      <c r="A1002" s="114"/>
      <c r="B1002" s="120"/>
      <c r="C1002" s="129" t="str">
        <f t="shared" si="45"/>
        <v>week-0</v>
      </c>
      <c r="D1002" s="120" t="str">
        <f t="shared" si="46"/>
        <v>Jan</v>
      </c>
      <c r="E1002" s="7"/>
      <c r="F1002" s="7"/>
      <c r="G1002" s="120"/>
      <c r="H1002" s="120"/>
      <c r="I1002" s="118"/>
      <c r="J1002" s="118"/>
      <c r="K1002" s="115"/>
      <c r="L1002" s="115"/>
      <c r="M1002" s="8"/>
      <c r="N1002" s="8" t="str">
        <f t="shared" si="47"/>
        <v>-</v>
      </c>
      <c r="O1002" s="126"/>
      <c r="P1002" s="127"/>
      <c r="Q1002" s="127"/>
      <c r="R1002" s="126"/>
      <c r="S1002" s="127"/>
      <c r="T1002" s="8"/>
      <c r="U1002" s="158"/>
      <c r="V1002" s="7"/>
      <c r="W1002" s="7"/>
      <c r="X1002" s="146"/>
      <c r="Y1002" s="7"/>
      <c r="Z1002" s="7"/>
      <c r="AA1002" s="7" t="str">
        <f>IFERROR((VLOOKUP(F1002,#REF!,2,FALSE)),"-")</f>
        <v>-</v>
      </c>
      <c r="AB1002" s="119" t="e">
        <f>CONCATENATE(F1002," - ",I1002," - ",#REF!,)</f>
        <v>#REF!</v>
      </c>
    </row>
    <row r="1003" spans="1:28" s="116" customFormat="1" ht="15">
      <c r="A1003" s="114"/>
      <c r="B1003" s="120"/>
      <c r="C1003" s="129" t="str">
        <f t="shared" si="45"/>
        <v>week-0</v>
      </c>
      <c r="D1003" s="120" t="str">
        <f t="shared" si="46"/>
        <v>Jan</v>
      </c>
      <c r="E1003" s="7"/>
      <c r="F1003" s="7"/>
      <c r="G1003" s="120"/>
      <c r="H1003" s="120"/>
      <c r="I1003" s="118"/>
      <c r="J1003" s="118"/>
      <c r="K1003" s="115"/>
      <c r="L1003" s="115"/>
      <c r="M1003" s="8"/>
      <c r="N1003" s="8" t="str">
        <f t="shared" si="47"/>
        <v>-</v>
      </c>
      <c r="O1003" s="126"/>
      <c r="P1003" s="127"/>
      <c r="Q1003" s="127"/>
      <c r="R1003" s="126"/>
      <c r="S1003" s="127"/>
      <c r="T1003" s="8"/>
      <c r="U1003" s="158"/>
      <c r="V1003" s="7"/>
      <c r="W1003" s="7"/>
      <c r="X1003" s="146"/>
      <c r="Y1003" s="7"/>
      <c r="Z1003" s="7"/>
      <c r="AA1003" s="7" t="str">
        <f>IFERROR((VLOOKUP(F1003,#REF!,2,FALSE)),"-")</f>
        <v>-</v>
      </c>
      <c r="AB1003" s="119" t="e">
        <f>CONCATENATE(F1003," - ",I1003," - ",#REF!,)</f>
        <v>#REF!</v>
      </c>
    </row>
    <row r="1004" spans="1:28" s="116" customFormat="1" ht="15">
      <c r="A1004" s="114"/>
      <c r="B1004" s="120"/>
      <c r="C1004" s="129" t="str">
        <f t="shared" si="45"/>
        <v>week-0</v>
      </c>
      <c r="D1004" s="120" t="str">
        <f t="shared" si="46"/>
        <v>Jan</v>
      </c>
      <c r="E1004" s="7"/>
      <c r="F1004" s="7"/>
      <c r="G1004" s="120"/>
      <c r="H1004" s="120"/>
      <c r="I1004" s="118"/>
      <c r="J1004" s="118"/>
      <c r="K1004" s="115"/>
      <c r="L1004" s="115"/>
      <c r="M1004" s="8"/>
      <c r="N1004" s="8" t="str">
        <f t="shared" si="47"/>
        <v>-</v>
      </c>
      <c r="O1004" s="126"/>
      <c r="P1004" s="127"/>
      <c r="Q1004" s="127"/>
      <c r="R1004" s="126"/>
      <c r="S1004" s="127"/>
      <c r="T1004" s="8"/>
      <c r="U1004" s="158"/>
      <c r="V1004" s="7"/>
      <c r="W1004" s="7"/>
      <c r="X1004" s="146"/>
      <c r="Y1004" s="7"/>
      <c r="Z1004" s="7"/>
      <c r="AA1004" s="7" t="str">
        <f>IFERROR((VLOOKUP(F1004,#REF!,2,FALSE)),"-")</f>
        <v>-</v>
      </c>
      <c r="AB1004" s="119" t="e">
        <f>CONCATENATE(F1004," - ",I1004," - ",#REF!,)</f>
        <v>#REF!</v>
      </c>
    </row>
    <row r="1005" spans="1:28" s="116" customFormat="1" ht="15">
      <c r="A1005" s="114"/>
      <c r="B1005" s="120"/>
      <c r="C1005" s="129" t="str">
        <f t="shared" si="45"/>
        <v>week-0</v>
      </c>
      <c r="D1005" s="120" t="str">
        <f t="shared" si="46"/>
        <v>Jan</v>
      </c>
      <c r="E1005" s="7"/>
      <c r="F1005" s="7"/>
      <c r="G1005" s="120"/>
      <c r="H1005" s="120"/>
      <c r="I1005" s="118"/>
      <c r="J1005" s="118"/>
      <c r="K1005" s="115"/>
      <c r="L1005" s="115"/>
      <c r="M1005" s="8"/>
      <c r="N1005" s="8" t="str">
        <f t="shared" si="47"/>
        <v>-</v>
      </c>
      <c r="O1005" s="126"/>
      <c r="P1005" s="127"/>
      <c r="Q1005" s="127"/>
      <c r="R1005" s="126"/>
      <c r="S1005" s="127"/>
      <c r="T1005" s="8"/>
      <c r="U1005" s="158"/>
      <c r="V1005" s="7"/>
      <c r="W1005" s="7"/>
      <c r="X1005" s="146"/>
      <c r="Y1005" s="7"/>
      <c r="Z1005" s="7"/>
      <c r="AA1005" s="7" t="str">
        <f>IFERROR((VLOOKUP(F1005,#REF!,2,FALSE)),"-")</f>
        <v>-</v>
      </c>
      <c r="AB1005" s="119" t="e">
        <f>CONCATENATE(F1005," - ",I1005," - ",#REF!,)</f>
        <v>#REF!</v>
      </c>
    </row>
    <row r="1006" spans="1:28" s="116" customFormat="1" ht="15">
      <c r="A1006" s="114"/>
      <c r="B1006" s="120"/>
      <c r="C1006" s="129" t="str">
        <f t="shared" si="45"/>
        <v>week-0</v>
      </c>
      <c r="D1006" s="120" t="str">
        <f t="shared" si="46"/>
        <v>Jan</v>
      </c>
      <c r="E1006" s="7"/>
      <c r="F1006" s="7"/>
      <c r="G1006" s="120"/>
      <c r="H1006" s="120"/>
      <c r="I1006" s="118"/>
      <c r="J1006" s="118"/>
      <c r="K1006" s="115"/>
      <c r="L1006" s="115"/>
      <c r="M1006" s="8"/>
      <c r="N1006" s="8" t="str">
        <f t="shared" si="47"/>
        <v>-</v>
      </c>
      <c r="O1006" s="126"/>
      <c r="P1006" s="127"/>
      <c r="Q1006" s="127"/>
      <c r="R1006" s="126"/>
      <c r="S1006" s="127"/>
      <c r="T1006" s="8"/>
      <c r="U1006" s="158"/>
      <c r="V1006" s="7"/>
      <c r="W1006" s="7"/>
      <c r="X1006" s="146"/>
      <c r="Y1006" s="7"/>
      <c r="Z1006" s="7"/>
      <c r="AA1006" s="7" t="str">
        <f>IFERROR((VLOOKUP(F1006,#REF!,2,FALSE)),"-")</f>
        <v>-</v>
      </c>
      <c r="AB1006" s="119" t="e">
        <f>CONCATENATE(F1006," - ",I1006," - ",#REF!,)</f>
        <v>#REF!</v>
      </c>
    </row>
    <row r="1007" spans="1:28" s="116" customFormat="1" ht="15">
      <c r="A1007" s="114"/>
      <c r="B1007" s="120"/>
      <c r="C1007" s="129" t="str">
        <f t="shared" si="45"/>
        <v>week-0</v>
      </c>
      <c r="D1007" s="120" t="str">
        <f t="shared" si="46"/>
        <v>Jan</v>
      </c>
      <c r="E1007" s="7"/>
      <c r="F1007" s="7"/>
      <c r="G1007" s="120"/>
      <c r="H1007" s="120"/>
      <c r="I1007" s="118"/>
      <c r="J1007" s="118"/>
      <c r="K1007" s="115"/>
      <c r="L1007" s="115"/>
      <c r="M1007" s="8"/>
      <c r="N1007" s="8" t="str">
        <f t="shared" si="47"/>
        <v>-</v>
      </c>
      <c r="O1007" s="126"/>
      <c r="P1007" s="127"/>
      <c r="Q1007" s="127"/>
      <c r="R1007" s="126"/>
      <c r="S1007" s="127"/>
      <c r="T1007" s="8"/>
      <c r="U1007" s="158"/>
      <c r="V1007" s="7"/>
      <c r="W1007" s="7"/>
      <c r="X1007" s="146"/>
      <c r="Y1007" s="7"/>
      <c r="Z1007" s="7"/>
      <c r="AA1007" s="7" t="str">
        <f>IFERROR((VLOOKUP(F1007,#REF!,2,FALSE)),"-")</f>
        <v>-</v>
      </c>
      <c r="AB1007" s="119" t="e">
        <f>CONCATENATE(F1007," - ",I1007," - ",#REF!,)</f>
        <v>#REF!</v>
      </c>
    </row>
    <row r="1008" spans="1:28" s="116" customFormat="1" ht="15">
      <c r="A1008" s="114"/>
      <c r="B1008" s="120"/>
      <c r="C1008" s="129" t="str">
        <f t="shared" si="45"/>
        <v>week-0</v>
      </c>
      <c r="D1008" s="120" t="str">
        <f t="shared" si="46"/>
        <v>Jan</v>
      </c>
      <c r="E1008" s="7"/>
      <c r="F1008" s="7"/>
      <c r="G1008" s="120"/>
      <c r="H1008" s="120"/>
      <c r="I1008" s="118"/>
      <c r="J1008" s="118"/>
      <c r="K1008" s="115"/>
      <c r="L1008" s="115"/>
      <c r="M1008" s="8"/>
      <c r="N1008" s="8" t="str">
        <f t="shared" si="47"/>
        <v>-</v>
      </c>
      <c r="O1008" s="126"/>
      <c r="P1008" s="127"/>
      <c r="Q1008" s="127"/>
      <c r="R1008" s="126"/>
      <c r="S1008" s="127"/>
      <c r="T1008" s="8"/>
      <c r="U1008" s="158"/>
      <c r="V1008" s="7"/>
      <c r="W1008" s="7"/>
      <c r="X1008" s="146"/>
      <c r="Y1008" s="7"/>
      <c r="Z1008" s="7"/>
      <c r="AA1008" s="7" t="str">
        <f>IFERROR((VLOOKUP(F1008,#REF!,2,FALSE)),"-")</f>
        <v>-</v>
      </c>
      <c r="AB1008" s="119" t="e">
        <f>CONCATENATE(F1008," - ",I1008," - ",#REF!,)</f>
        <v>#REF!</v>
      </c>
    </row>
    <row r="1009" spans="1:28" s="116" customFormat="1" ht="15">
      <c r="A1009" s="114"/>
      <c r="B1009" s="120"/>
      <c r="C1009" s="129" t="str">
        <f t="shared" si="45"/>
        <v>week-0</v>
      </c>
      <c r="D1009" s="120" t="str">
        <f t="shared" si="46"/>
        <v>Jan</v>
      </c>
      <c r="E1009" s="7"/>
      <c r="F1009" s="7"/>
      <c r="G1009" s="120"/>
      <c r="H1009" s="120"/>
      <c r="I1009" s="118"/>
      <c r="J1009" s="118"/>
      <c r="K1009" s="115"/>
      <c r="L1009" s="115"/>
      <c r="M1009" s="8"/>
      <c r="N1009" s="8" t="str">
        <f t="shared" si="47"/>
        <v>-</v>
      </c>
      <c r="O1009" s="126"/>
      <c r="P1009" s="127"/>
      <c r="Q1009" s="127"/>
      <c r="R1009" s="126"/>
      <c r="S1009" s="127"/>
      <c r="T1009" s="8"/>
      <c r="U1009" s="158"/>
      <c r="V1009" s="7"/>
      <c r="W1009" s="7"/>
      <c r="X1009" s="146"/>
      <c r="Y1009" s="7"/>
      <c r="Z1009" s="7"/>
      <c r="AA1009" s="7" t="str">
        <f>IFERROR((VLOOKUP(F1009,#REF!,2,FALSE)),"-")</f>
        <v>-</v>
      </c>
      <c r="AB1009" s="119" t="e">
        <f>CONCATENATE(F1009," - ",I1009," - ",#REF!,)</f>
        <v>#REF!</v>
      </c>
    </row>
    <row r="1010" spans="1:28" s="116" customFormat="1" ht="15">
      <c r="A1010" s="114"/>
      <c r="B1010" s="120"/>
      <c r="C1010" s="129" t="str">
        <f t="shared" si="45"/>
        <v>week-0</v>
      </c>
      <c r="D1010" s="120" t="str">
        <f t="shared" si="46"/>
        <v>Jan</v>
      </c>
      <c r="E1010" s="7"/>
      <c r="F1010" s="7"/>
      <c r="G1010" s="120"/>
      <c r="H1010" s="120"/>
      <c r="I1010" s="118"/>
      <c r="J1010" s="118"/>
      <c r="K1010" s="115"/>
      <c r="L1010" s="115"/>
      <c r="M1010" s="8"/>
      <c r="N1010" s="8" t="str">
        <f t="shared" si="47"/>
        <v>-</v>
      </c>
      <c r="O1010" s="127"/>
      <c r="P1010" s="127"/>
      <c r="Q1010" s="127"/>
      <c r="R1010" s="127"/>
      <c r="S1010" s="127"/>
      <c r="T1010" s="139"/>
      <c r="U1010" s="158"/>
      <c r="V1010" s="7"/>
      <c r="W1010" s="7"/>
      <c r="X1010" s="146"/>
      <c r="Y1010" s="7"/>
      <c r="Z1010" s="7"/>
      <c r="AA1010" s="7" t="str">
        <f>IFERROR((VLOOKUP(F1010,#REF!,2,FALSE)),"-")</f>
        <v>-</v>
      </c>
      <c r="AB1010" s="119" t="e">
        <f>CONCATENATE(F1010," - ",I1010," - ",#REF!,)</f>
        <v>#REF!</v>
      </c>
    </row>
    <row r="1011" spans="1:28" s="116" customFormat="1" ht="15">
      <c r="A1011" s="114"/>
      <c r="B1011" s="120"/>
      <c r="C1011" s="129" t="str">
        <f t="shared" si="45"/>
        <v>week-0</v>
      </c>
      <c r="D1011" s="120" t="str">
        <f t="shared" si="46"/>
        <v>Jan</v>
      </c>
      <c r="E1011" s="7"/>
      <c r="F1011" s="7"/>
      <c r="G1011" s="120"/>
      <c r="H1011" s="120"/>
      <c r="I1011" s="118"/>
      <c r="J1011" s="118"/>
      <c r="K1011" s="115"/>
      <c r="L1011" s="115"/>
      <c r="M1011" s="8"/>
      <c r="N1011" s="8" t="str">
        <f t="shared" si="47"/>
        <v>-</v>
      </c>
      <c r="O1011" s="126"/>
      <c r="P1011" s="127"/>
      <c r="Q1011" s="127"/>
      <c r="R1011" s="126"/>
      <c r="S1011" s="127"/>
      <c r="T1011" s="8"/>
      <c r="U1011" s="158"/>
      <c r="V1011" s="7"/>
      <c r="W1011" s="7"/>
      <c r="X1011" s="146"/>
      <c r="Y1011" s="7"/>
      <c r="Z1011" s="7"/>
      <c r="AA1011" s="7" t="str">
        <f>IFERROR((VLOOKUP(F1011,#REF!,2,FALSE)),"-")</f>
        <v>-</v>
      </c>
      <c r="AB1011" s="119" t="e">
        <f>CONCATENATE(F1011," - ",I1011," - ",#REF!,)</f>
        <v>#REF!</v>
      </c>
    </row>
    <row r="1012" spans="1:28" s="116" customFormat="1" ht="15">
      <c r="A1012" s="114"/>
      <c r="B1012" s="120"/>
      <c r="C1012" s="129" t="str">
        <f t="shared" si="45"/>
        <v>week-0</v>
      </c>
      <c r="D1012" s="120" t="str">
        <f t="shared" si="46"/>
        <v>Jan</v>
      </c>
      <c r="E1012" s="7"/>
      <c r="F1012" s="7"/>
      <c r="G1012" s="120"/>
      <c r="H1012" s="120"/>
      <c r="I1012" s="118"/>
      <c r="J1012" s="118"/>
      <c r="K1012" s="115"/>
      <c r="L1012" s="115"/>
      <c r="M1012" s="8"/>
      <c r="N1012" s="8" t="str">
        <f t="shared" si="47"/>
        <v>-</v>
      </c>
      <c r="O1012" s="126"/>
      <c r="P1012" s="127"/>
      <c r="Q1012" s="127"/>
      <c r="R1012" s="126"/>
      <c r="S1012" s="127"/>
      <c r="T1012" s="8"/>
      <c r="U1012" s="158"/>
      <c r="V1012" s="7"/>
      <c r="W1012" s="7"/>
      <c r="X1012" s="146"/>
      <c r="Y1012" s="7"/>
      <c r="Z1012" s="7"/>
      <c r="AA1012" s="7" t="str">
        <f>IFERROR((VLOOKUP(F1012,#REF!,2,FALSE)),"-")</f>
        <v>-</v>
      </c>
      <c r="AB1012" s="119" t="e">
        <f>CONCATENATE(F1012," - ",I1012," - ",#REF!,)</f>
        <v>#REF!</v>
      </c>
    </row>
    <row r="1013" spans="1:28" s="116" customFormat="1" ht="15">
      <c r="A1013" s="114"/>
      <c r="B1013" s="120"/>
      <c r="C1013" s="129" t="str">
        <f t="shared" si="45"/>
        <v>week-0</v>
      </c>
      <c r="D1013" s="120" t="str">
        <f t="shared" si="46"/>
        <v>Jan</v>
      </c>
      <c r="E1013" s="7"/>
      <c r="F1013" s="7"/>
      <c r="G1013" s="120"/>
      <c r="H1013" s="120"/>
      <c r="I1013" s="118"/>
      <c r="J1013" s="118"/>
      <c r="K1013" s="115"/>
      <c r="L1013" s="115"/>
      <c r="M1013" s="8"/>
      <c r="N1013" s="8" t="str">
        <f t="shared" si="47"/>
        <v>-</v>
      </c>
      <c r="O1013" s="126"/>
      <c r="P1013" s="127"/>
      <c r="Q1013" s="127"/>
      <c r="R1013" s="126"/>
      <c r="S1013" s="127"/>
      <c r="T1013" s="8"/>
      <c r="U1013" s="158"/>
      <c r="V1013" s="7"/>
      <c r="W1013" s="7"/>
      <c r="X1013" s="146"/>
      <c r="Y1013" s="7"/>
      <c r="Z1013" s="7"/>
      <c r="AA1013" s="7" t="str">
        <f>IFERROR((VLOOKUP(F1013,#REF!,2,FALSE)),"-")</f>
        <v>-</v>
      </c>
      <c r="AB1013" s="119" t="e">
        <f>CONCATENATE(F1013," - ",I1013," - ",#REF!,)</f>
        <v>#REF!</v>
      </c>
    </row>
    <row r="1014" spans="1:28" s="116" customFormat="1" ht="15">
      <c r="A1014" s="114"/>
      <c r="B1014" s="120"/>
      <c r="C1014" s="129" t="str">
        <f t="shared" si="45"/>
        <v>week-0</v>
      </c>
      <c r="D1014" s="120" t="str">
        <f t="shared" si="46"/>
        <v>Jan</v>
      </c>
      <c r="E1014" s="7"/>
      <c r="F1014" s="7"/>
      <c r="G1014" s="120"/>
      <c r="H1014" s="120"/>
      <c r="I1014" s="118"/>
      <c r="J1014" s="118"/>
      <c r="K1014" s="115"/>
      <c r="L1014" s="115"/>
      <c r="M1014" s="8"/>
      <c r="N1014" s="8" t="str">
        <f t="shared" si="47"/>
        <v>-</v>
      </c>
      <c r="O1014" s="126"/>
      <c r="P1014" s="127"/>
      <c r="Q1014" s="127"/>
      <c r="R1014" s="126"/>
      <c r="S1014" s="127"/>
      <c r="T1014" s="8"/>
      <c r="U1014" s="158"/>
      <c r="V1014" s="7"/>
      <c r="W1014" s="7"/>
      <c r="X1014" s="146"/>
      <c r="Y1014" s="7"/>
      <c r="Z1014" s="7"/>
      <c r="AA1014" s="7" t="str">
        <f>IFERROR((VLOOKUP(F1014,#REF!,2,FALSE)),"-")</f>
        <v>-</v>
      </c>
      <c r="AB1014" s="119" t="e">
        <f>CONCATENATE(F1014," - ",I1014," - ",#REF!,)</f>
        <v>#REF!</v>
      </c>
    </row>
    <row r="1015" spans="1:28" s="116" customFormat="1" ht="15">
      <c r="A1015" s="114"/>
      <c r="B1015" s="120"/>
      <c r="C1015" s="129" t="str">
        <f t="shared" si="45"/>
        <v>week-0</v>
      </c>
      <c r="D1015" s="120" t="str">
        <f t="shared" si="46"/>
        <v>Jan</v>
      </c>
      <c r="E1015" s="7"/>
      <c r="F1015" s="7"/>
      <c r="G1015" s="120"/>
      <c r="H1015" s="120"/>
      <c r="I1015" s="118"/>
      <c r="J1015" s="118"/>
      <c r="K1015" s="115"/>
      <c r="L1015" s="115"/>
      <c r="M1015" s="8"/>
      <c r="N1015" s="8" t="str">
        <f t="shared" si="47"/>
        <v>-</v>
      </c>
      <c r="O1015" s="126"/>
      <c r="P1015" s="127"/>
      <c r="Q1015" s="127"/>
      <c r="R1015" s="126"/>
      <c r="S1015" s="127"/>
      <c r="T1015" s="8"/>
      <c r="U1015" s="158"/>
      <c r="V1015" s="7"/>
      <c r="W1015" s="7"/>
      <c r="X1015" s="146"/>
      <c r="Y1015" s="7"/>
      <c r="Z1015" s="7"/>
      <c r="AA1015" s="7" t="str">
        <f>IFERROR((VLOOKUP(F1015,#REF!,2,FALSE)),"-")</f>
        <v>-</v>
      </c>
      <c r="AB1015" s="119" t="e">
        <f>CONCATENATE(F1015," - ",I1015," - ",#REF!,)</f>
        <v>#REF!</v>
      </c>
    </row>
    <row r="1016" spans="1:28" s="116" customFormat="1" ht="15">
      <c r="A1016" s="114"/>
      <c r="B1016" s="120"/>
      <c r="C1016" s="129" t="str">
        <f t="shared" si="45"/>
        <v>week-0</v>
      </c>
      <c r="D1016" s="120" t="str">
        <f t="shared" si="46"/>
        <v>Jan</v>
      </c>
      <c r="E1016" s="7"/>
      <c r="F1016" s="7"/>
      <c r="G1016" s="120"/>
      <c r="H1016" s="120"/>
      <c r="I1016" s="118"/>
      <c r="J1016" s="118"/>
      <c r="K1016" s="115"/>
      <c r="L1016" s="115"/>
      <c r="M1016" s="8"/>
      <c r="N1016" s="8" t="str">
        <f t="shared" si="47"/>
        <v>-</v>
      </c>
      <c r="O1016" s="126"/>
      <c r="P1016" s="127"/>
      <c r="Q1016" s="127"/>
      <c r="R1016" s="126"/>
      <c r="S1016" s="127"/>
      <c r="T1016" s="8"/>
      <c r="U1016" s="158"/>
      <c r="V1016" s="7"/>
      <c r="W1016" s="7"/>
      <c r="X1016" s="146"/>
      <c r="Y1016" s="7"/>
      <c r="Z1016" s="7"/>
      <c r="AA1016" s="7" t="str">
        <f>IFERROR((VLOOKUP(F1016,#REF!,2,FALSE)),"-")</f>
        <v>-</v>
      </c>
      <c r="AB1016" s="119" t="e">
        <f>CONCATENATE(F1016," - ",I1016," - ",#REF!,)</f>
        <v>#REF!</v>
      </c>
    </row>
    <row r="1017" spans="1:28" s="116" customFormat="1" ht="15">
      <c r="A1017" s="114"/>
      <c r="B1017" s="120"/>
      <c r="C1017" s="129" t="str">
        <f t="shared" si="45"/>
        <v>week-0</v>
      </c>
      <c r="D1017" s="120" t="str">
        <f t="shared" si="46"/>
        <v>Jan</v>
      </c>
      <c r="E1017" s="7"/>
      <c r="F1017" s="7"/>
      <c r="G1017" s="120"/>
      <c r="H1017" s="120"/>
      <c r="I1017" s="118"/>
      <c r="J1017" s="118"/>
      <c r="K1017" s="115"/>
      <c r="L1017" s="115"/>
      <c r="M1017" s="8"/>
      <c r="N1017" s="8" t="str">
        <f t="shared" si="47"/>
        <v>-</v>
      </c>
      <c r="O1017" s="126"/>
      <c r="P1017" s="127"/>
      <c r="Q1017" s="127"/>
      <c r="R1017" s="126"/>
      <c r="S1017" s="127"/>
      <c r="T1017" s="8"/>
      <c r="U1017" s="158"/>
      <c r="V1017" s="7"/>
      <c r="W1017" s="7"/>
      <c r="X1017" s="146"/>
      <c r="Y1017" s="7"/>
      <c r="Z1017" s="7"/>
      <c r="AA1017" s="7" t="str">
        <f>IFERROR((VLOOKUP(F1017,#REF!,2,FALSE)),"-")</f>
        <v>-</v>
      </c>
      <c r="AB1017" s="119" t="e">
        <f>CONCATENATE(F1017," - ",I1017," - ",#REF!,)</f>
        <v>#REF!</v>
      </c>
    </row>
    <row r="1018" spans="1:28" s="116" customFormat="1" ht="15">
      <c r="A1018" s="114"/>
      <c r="B1018" s="120"/>
      <c r="C1018" s="129" t="str">
        <f t="shared" si="45"/>
        <v>week-0</v>
      </c>
      <c r="D1018" s="120" t="str">
        <f t="shared" si="46"/>
        <v>Jan</v>
      </c>
      <c r="E1018" s="7"/>
      <c r="F1018" s="7"/>
      <c r="G1018" s="120"/>
      <c r="H1018" s="120"/>
      <c r="I1018" s="118"/>
      <c r="J1018" s="118"/>
      <c r="K1018" s="115"/>
      <c r="L1018" s="115"/>
      <c r="M1018" s="8"/>
      <c r="N1018" s="8" t="str">
        <f t="shared" si="47"/>
        <v>-</v>
      </c>
      <c r="O1018" s="126"/>
      <c r="P1018" s="127"/>
      <c r="Q1018" s="127"/>
      <c r="R1018" s="126"/>
      <c r="S1018" s="127"/>
      <c r="T1018" s="8"/>
      <c r="U1018" s="158"/>
      <c r="V1018" s="7"/>
      <c r="W1018" s="7"/>
      <c r="X1018" s="146"/>
      <c r="Y1018" s="7"/>
      <c r="Z1018" s="7"/>
      <c r="AA1018" s="7" t="str">
        <f>IFERROR((VLOOKUP(F1018,#REF!,2,FALSE)),"-")</f>
        <v>-</v>
      </c>
      <c r="AB1018" s="119" t="e">
        <f>CONCATENATE(F1018," - ",I1018," - ",#REF!,)</f>
        <v>#REF!</v>
      </c>
    </row>
    <row r="1019" spans="1:28" s="116" customFormat="1" ht="15">
      <c r="A1019" s="114"/>
      <c r="B1019" s="120"/>
      <c r="C1019" s="129" t="str">
        <f t="shared" si="45"/>
        <v>week-0</v>
      </c>
      <c r="D1019" s="120" t="str">
        <f t="shared" si="46"/>
        <v>Jan</v>
      </c>
      <c r="E1019" s="7"/>
      <c r="F1019" s="7"/>
      <c r="G1019" s="120"/>
      <c r="H1019" s="120"/>
      <c r="I1019" s="118"/>
      <c r="J1019" s="118"/>
      <c r="K1019" s="115"/>
      <c r="L1019" s="115"/>
      <c r="M1019" s="8"/>
      <c r="N1019" s="8" t="str">
        <f t="shared" si="47"/>
        <v>-</v>
      </c>
      <c r="O1019" s="126"/>
      <c r="P1019" s="127"/>
      <c r="Q1019" s="127"/>
      <c r="R1019" s="126"/>
      <c r="S1019" s="127"/>
      <c r="T1019" s="8"/>
      <c r="U1019" s="158"/>
      <c r="V1019" s="7"/>
      <c r="W1019" s="7"/>
      <c r="X1019" s="146"/>
      <c r="Y1019" s="7"/>
      <c r="Z1019" s="7"/>
      <c r="AA1019" s="7" t="str">
        <f>IFERROR((VLOOKUP(F1019,#REF!,2,FALSE)),"-")</f>
        <v>-</v>
      </c>
      <c r="AB1019" s="119" t="e">
        <f>CONCATENATE(F1019," - ",I1019," - ",#REF!,)</f>
        <v>#REF!</v>
      </c>
    </row>
    <row r="1020" spans="1:28" s="116" customFormat="1" ht="15">
      <c r="A1020" s="114"/>
      <c r="B1020" s="120"/>
      <c r="C1020" s="129" t="str">
        <f t="shared" si="45"/>
        <v>week-0</v>
      </c>
      <c r="D1020" s="120" t="str">
        <f t="shared" si="46"/>
        <v>Jan</v>
      </c>
      <c r="E1020" s="7"/>
      <c r="F1020" s="7"/>
      <c r="G1020" s="120"/>
      <c r="H1020" s="120"/>
      <c r="I1020" s="118"/>
      <c r="J1020" s="118"/>
      <c r="K1020" s="115"/>
      <c r="L1020" s="115"/>
      <c r="M1020" s="8"/>
      <c r="N1020" s="8" t="str">
        <f t="shared" si="47"/>
        <v>-</v>
      </c>
      <c r="O1020" s="126"/>
      <c r="P1020" s="127"/>
      <c r="Q1020" s="127"/>
      <c r="R1020" s="126"/>
      <c r="S1020" s="127"/>
      <c r="T1020" s="8"/>
      <c r="U1020" s="158"/>
      <c r="V1020" s="7"/>
      <c r="W1020" s="7"/>
      <c r="X1020" s="146"/>
      <c r="Y1020" s="7"/>
      <c r="Z1020" s="7"/>
      <c r="AA1020" s="7" t="str">
        <f>IFERROR((VLOOKUP(F1020,#REF!,2,FALSE)),"-")</f>
        <v>-</v>
      </c>
      <c r="AB1020" s="119" t="e">
        <f>CONCATENATE(F1020," - ",I1020," - ",#REF!,)</f>
        <v>#REF!</v>
      </c>
    </row>
    <row r="1021" spans="1:28" s="116" customFormat="1" ht="15">
      <c r="A1021" s="114"/>
      <c r="B1021" s="120"/>
      <c r="C1021" s="129" t="str">
        <f t="shared" si="45"/>
        <v>week-0</v>
      </c>
      <c r="D1021" s="120" t="str">
        <f t="shared" si="46"/>
        <v>Jan</v>
      </c>
      <c r="E1021" s="7"/>
      <c r="F1021" s="7"/>
      <c r="G1021" s="120"/>
      <c r="H1021" s="120"/>
      <c r="I1021" s="118"/>
      <c r="J1021" s="118"/>
      <c r="K1021" s="115"/>
      <c r="L1021" s="115"/>
      <c r="M1021" s="8"/>
      <c r="N1021" s="8" t="str">
        <f t="shared" si="47"/>
        <v>-</v>
      </c>
      <c r="O1021" s="126"/>
      <c r="P1021" s="127"/>
      <c r="Q1021" s="127"/>
      <c r="R1021" s="126"/>
      <c r="S1021" s="127"/>
      <c r="T1021" s="8"/>
      <c r="U1021" s="158"/>
      <c r="V1021" s="7"/>
      <c r="W1021" s="7"/>
      <c r="X1021" s="146"/>
      <c r="Y1021" s="7"/>
      <c r="Z1021" s="7"/>
      <c r="AA1021" s="7" t="str">
        <f>IFERROR((VLOOKUP(F1021,#REF!,2,FALSE)),"-")</f>
        <v>-</v>
      </c>
      <c r="AB1021" s="119" t="e">
        <f>CONCATENATE(F1021," - ",I1021," - ",#REF!,)</f>
        <v>#REF!</v>
      </c>
    </row>
    <row r="1022" spans="1:28" s="116" customFormat="1" ht="15">
      <c r="A1022" s="114"/>
      <c r="B1022" s="120"/>
      <c r="C1022" s="129" t="str">
        <f t="shared" si="45"/>
        <v>week-0</v>
      </c>
      <c r="D1022" s="120" t="str">
        <f t="shared" si="46"/>
        <v>Jan</v>
      </c>
      <c r="E1022" s="7"/>
      <c r="F1022" s="7"/>
      <c r="G1022" s="120"/>
      <c r="H1022" s="120"/>
      <c r="I1022" s="118"/>
      <c r="J1022" s="118"/>
      <c r="K1022" s="115"/>
      <c r="L1022" s="115"/>
      <c r="M1022" s="8"/>
      <c r="N1022" s="8" t="str">
        <f t="shared" si="47"/>
        <v>-</v>
      </c>
      <c r="O1022" s="126"/>
      <c r="P1022" s="127"/>
      <c r="Q1022" s="127"/>
      <c r="R1022" s="126"/>
      <c r="S1022" s="127"/>
      <c r="T1022" s="8"/>
      <c r="U1022" s="158"/>
      <c r="V1022" s="7"/>
      <c r="W1022" s="7"/>
      <c r="X1022" s="146"/>
      <c r="Y1022" s="7"/>
      <c r="Z1022" s="7"/>
      <c r="AA1022" s="7" t="str">
        <f>IFERROR((VLOOKUP(F1022,#REF!,2,FALSE)),"-")</f>
        <v>-</v>
      </c>
      <c r="AB1022" s="119" t="e">
        <f>CONCATENATE(F1022," - ",I1022," - ",#REF!,)</f>
        <v>#REF!</v>
      </c>
    </row>
    <row r="1023" spans="1:28" s="116" customFormat="1" ht="15">
      <c r="A1023" s="114"/>
      <c r="B1023" s="120"/>
      <c r="C1023" s="129" t="str">
        <f t="shared" si="45"/>
        <v>week-0</v>
      </c>
      <c r="D1023" s="120" t="str">
        <f t="shared" si="46"/>
        <v>Jan</v>
      </c>
      <c r="E1023" s="7"/>
      <c r="F1023" s="7"/>
      <c r="G1023" s="120"/>
      <c r="H1023" s="120"/>
      <c r="I1023" s="118"/>
      <c r="J1023" s="118"/>
      <c r="K1023" s="115"/>
      <c r="L1023" s="115"/>
      <c r="M1023" s="8"/>
      <c r="N1023" s="8" t="str">
        <f t="shared" si="47"/>
        <v>-</v>
      </c>
      <c r="O1023" s="126"/>
      <c r="P1023" s="127"/>
      <c r="Q1023" s="127"/>
      <c r="R1023" s="126"/>
      <c r="S1023" s="127"/>
      <c r="T1023" s="8"/>
      <c r="U1023" s="158"/>
      <c r="V1023" s="7"/>
      <c r="W1023" s="7"/>
      <c r="X1023" s="146"/>
      <c r="Y1023" s="7"/>
      <c r="Z1023" s="7"/>
      <c r="AA1023" s="7" t="str">
        <f>IFERROR((VLOOKUP(F1023,#REF!,2,FALSE)),"-")</f>
        <v>-</v>
      </c>
      <c r="AB1023" s="119" t="e">
        <f>CONCATENATE(F1023," - ",I1023," - ",#REF!,)</f>
        <v>#REF!</v>
      </c>
    </row>
    <row r="1024" spans="1:28" s="116" customFormat="1" ht="15">
      <c r="A1024" s="114"/>
      <c r="B1024" s="120"/>
      <c r="C1024" s="129" t="str">
        <f t="shared" si="45"/>
        <v>week-0</v>
      </c>
      <c r="D1024" s="120" t="str">
        <f t="shared" si="46"/>
        <v>Jan</v>
      </c>
      <c r="E1024" s="7"/>
      <c r="F1024" s="7"/>
      <c r="G1024" s="120"/>
      <c r="H1024" s="120"/>
      <c r="I1024" s="118"/>
      <c r="J1024" s="118"/>
      <c r="K1024" s="115"/>
      <c r="L1024" s="115"/>
      <c r="M1024" s="8"/>
      <c r="N1024" s="8" t="str">
        <f t="shared" si="47"/>
        <v>-</v>
      </c>
      <c r="O1024" s="126"/>
      <c r="P1024" s="127"/>
      <c r="Q1024" s="127"/>
      <c r="R1024" s="126"/>
      <c r="S1024" s="127"/>
      <c r="T1024" s="8"/>
      <c r="U1024" s="158"/>
      <c r="V1024" s="7"/>
      <c r="W1024" s="7"/>
      <c r="X1024" s="146"/>
      <c r="Y1024" s="7"/>
      <c r="Z1024" s="7"/>
      <c r="AA1024" s="7" t="str">
        <f>IFERROR((VLOOKUP(F1024,#REF!,2,FALSE)),"-")</f>
        <v>-</v>
      </c>
      <c r="AB1024" s="119" t="e">
        <f>CONCATENATE(F1024," - ",I1024," - ",#REF!,)</f>
        <v>#REF!</v>
      </c>
    </row>
    <row r="1025" spans="1:28" s="116" customFormat="1" ht="15">
      <c r="A1025" s="114"/>
      <c r="B1025" s="120"/>
      <c r="C1025" s="129" t="str">
        <f t="shared" si="45"/>
        <v>week-0</v>
      </c>
      <c r="D1025" s="120" t="str">
        <f t="shared" si="46"/>
        <v>Jan</v>
      </c>
      <c r="E1025" s="84"/>
      <c r="F1025" s="7"/>
      <c r="G1025" s="120"/>
      <c r="H1025" s="120"/>
      <c r="I1025" s="118"/>
      <c r="J1025" s="118"/>
      <c r="K1025" s="115"/>
      <c r="L1025" s="115"/>
      <c r="M1025" s="8"/>
      <c r="N1025" s="8" t="str">
        <f t="shared" si="47"/>
        <v>-</v>
      </c>
      <c r="O1025" s="126"/>
      <c r="P1025" s="127"/>
      <c r="Q1025" s="127"/>
      <c r="R1025" s="126"/>
      <c r="S1025" s="127"/>
      <c r="T1025" s="8"/>
      <c r="U1025" s="158"/>
      <c r="V1025" s="7"/>
      <c r="W1025" s="7"/>
      <c r="X1025" s="146"/>
      <c r="Y1025" s="7"/>
      <c r="Z1025" s="7"/>
      <c r="AA1025" s="7" t="str">
        <f>IFERROR((VLOOKUP(F1025,#REF!,2,FALSE)),"-")</f>
        <v>-</v>
      </c>
      <c r="AB1025" s="119" t="e">
        <f>CONCATENATE(F1025," - ",I1025," - ",#REF!,)</f>
        <v>#REF!</v>
      </c>
    </row>
    <row r="1026" spans="1:28" s="116" customFormat="1" ht="15">
      <c r="A1026" s="114"/>
      <c r="B1026" s="120"/>
      <c r="C1026" s="129" t="str">
        <f t="shared" si="45"/>
        <v>week-0</v>
      </c>
      <c r="D1026" s="120" t="str">
        <f t="shared" si="46"/>
        <v>Jan</v>
      </c>
      <c r="E1026" s="7"/>
      <c r="F1026" s="7"/>
      <c r="G1026" s="120"/>
      <c r="H1026" s="120"/>
      <c r="I1026" s="118"/>
      <c r="J1026" s="118"/>
      <c r="K1026" s="115"/>
      <c r="L1026" s="115"/>
      <c r="M1026" s="8"/>
      <c r="N1026" s="8" t="str">
        <f t="shared" si="47"/>
        <v>-</v>
      </c>
      <c r="O1026" s="126"/>
      <c r="P1026" s="127"/>
      <c r="Q1026" s="127"/>
      <c r="R1026" s="126"/>
      <c r="S1026" s="127"/>
      <c r="T1026" s="8"/>
      <c r="U1026" s="158"/>
      <c r="V1026" s="7"/>
      <c r="W1026" s="7"/>
      <c r="X1026" s="146"/>
      <c r="Y1026" s="7"/>
      <c r="Z1026" s="7"/>
      <c r="AA1026" s="7" t="str">
        <f>IFERROR((VLOOKUP(F1026,#REF!,2,FALSE)),"-")</f>
        <v>-</v>
      </c>
      <c r="AB1026" s="119" t="e">
        <f>CONCATENATE(F1026," - ",I1026," - ",#REF!,)</f>
        <v>#REF!</v>
      </c>
    </row>
    <row r="1027" spans="1:28" s="116" customFormat="1" ht="15">
      <c r="A1027" s="114"/>
      <c r="B1027" s="120"/>
      <c r="C1027" s="129" t="str">
        <f t="shared" si="45"/>
        <v>week-0</v>
      </c>
      <c r="D1027" s="120" t="str">
        <f t="shared" si="46"/>
        <v>Jan</v>
      </c>
      <c r="E1027" s="7"/>
      <c r="F1027" s="7"/>
      <c r="G1027" s="120"/>
      <c r="H1027" s="120"/>
      <c r="I1027" s="118"/>
      <c r="J1027" s="118"/>
      <c r="K1027" s="115"/>
      <c r="L1027" s="115"/>
      <c r="M1027" s="8"/>
      <c r="N1027" s="8" t="str">
        <f t="shared" si="47"/>
        <v>-</v>
      </c>
      <c r="O1027" s="126"/>
      <c r="P1027" s="127"/>
      <c r="Q1027" s="127"/>
      <c r="R1027" s="126"/>
      <c r="S1027" s="127"/>
      <c r="T1027" s="8"/>
      <c r="U1027" s="158"/>
      <c r="V1027" s="7"/>
      <c r="W1027" s="7"/>
      <c r="X1027" s="146"/>
      <c r="Y1027" s="7"/>
      <c r="Z1027" s="7"/>
      <c r="AA1027" s="7" t="str">
        <f>IFERROR((VLOOKUP(F1027,#REF!,2,FALSE)),"-")</f>
        <v>-</v>
      </c>
      <c r="AB1027" s="119" t="e">
        <f>CONCATENATE(F1027," - ",I1027," - ",#REF!,)</f>
        <v>#REF!</v>
      </c>
    </row>
    <row r="1028" spans="1:28" s="116" customFormat="1" ht="15">
      <c r="A1028" s="114"/>
      <c r="B1028" s="120"/>
      <c r="C1028" s="129" t="str">
        <f t="shared" ref="C1028:C1091" si="48">"week-"&amp;WEEKNUM(B1028)</f>
        <v>week-0</v>
      </c>
      <c r="D1028" s="120" t="str">
        <f t="shared" ref="D1028:D1091" si="49">TEXT(B1028,"mmm")</f>
        <v>Jan</v>
      </c>
      <c r="E1028" s="7"/>
      <c r="F1028" s="7"/>
      <c r="G1028" s="120"/>
      <c r="H1028" s="120"/>
      <c r="I1028" s="118"/>
      <c r="J1028" s="118"/>
      <c r="K1028" s="115"/>
      <c r="L1028" s="115"/>
      <c r="M1028" s="8"/>
      <c r="N1028" s="8" t="str">
        <f t="shared" ref="N1028:N1091" si="50">IF(ISBLANK(M1028),"-",(M1028/60))</f>
        <v>-</v>
      </c>
      <c r="O1028" s="126"/>
      <c r="P1028" s="127"/>
      <c r="Q1028" s="127"/>
      <c r="R1028" s="126"/>
      <c r="S1028" s="127"/>
      <c r="T1028" s="8"/>
      <c r="U1028" s="158"/>
      <c r="V1028" s="7"/>
      <c r="W1028" s="7"/>
      <c r="X1028" s="146"/>
      <c r="Y1028" s="7"/>
      <c r="Z1028" s="7"/>
      <c r="AA1028" s="7" t="str">
        <f>IFERROR((VLOOKUP(F1028,#REF!,2,FALSE)),"-")</f>
        <v>-</v>
      </c>
      <c r="AB1028" s="119" t="e">
        <f>CONCATENATE(F1028," - ",I1028," - ",#REF!,)</f>
        <v>#REF!</v>
      </c>
    </row>
    <row r="1029" spans="1:28" s="116" customFormat="1" ht="15">
      <c r="A1029" s="114"/>
      <c r="B1029" s="120"/>
      <c r="C1029" s="129" t="str">
        <f t="shared" si="48"/>
        <v>week-0</v>
      </c>
      <c r="D1029" s="120" t="str">
        <f t="shared" si="49"/>
        <v>Jan</v>
      </c>
      <c r="E1029" s="7"/>
      <c r="F1029" s="7"/>
      <c r="G1029" s="120"/>
      <c r="H1029" s="120"/>
      <c r="I1029" s="118"/>
      <c r="J1029" s="118"/>
      <c r="K1029" s="115"/>
      <c r="L1029" s="115"/>
      <c r="M1029" s="8"/>
      <c r="N1029" s="8" t="str">
        <f t="shared" si="50"/>
        <v>-</v>
      </c>
      <c r="O1029" s="126"/>
      <c r="P1029" s="127"/>
      <c r="Q1029" s="127"/>
      <c r="R1029" s="126"/>
      <c r="S1029" s="127"/>
      <c r="T1029" s="8"/>
      <c r="U1029" s="158"/>
      <c r="V1029" s="7"/>
      <c r="W1029" s="7"/>
      <c r="X1029" s="146"/>
      <c r="Y1029" s="7"/>
      <c r="Z1029" s="7"/>
      <c r="AA1029" s="7" t="str">
        <f>IFERROR((VLOOKUP(F1029,#REF!,2,FALSE)),"-")</f>
        <v>-</v>
      </c>
      <c r="AB1029" s="119" t="e">
        <f>CONCATENATE(F1029," - ",I1029," - ",#REF!,)</f>
        <v>#REF!</v>
      </c>
    </row>
    <row r="1030" spans="1:28" s="116" customFormat="1" ht="15">
      <c r="A1030" s="114"/>
      <c r="B1030" s="120"/>
      <c r="C1030" s="129" t="str">
        <f t="shared" si="48"/>
        <v>week-0</v>
      </c>
      <c r="D1030" s="120" t="str">
        <f t="shared" si="49"/>
        <v>Jan</v>
      </c>
      <c r="E1030" s="7"/>
      <c r="F1030" s="7"/>
      <c r="G1030" s="120"/>
      <c r="H1030" s="120"/>
      <c r="I1030" s="118"/>
      <c r="J1030" s="118"/>
      <c r="K1030" s="115"/>
      <c r="L1030" s="115"/>
      <c r="M1030" s="8"/>
      <c r="N1030" s="8" t="str">
        <f t="shared" si="50"/>
        <v>-</v>
      </c>
      <c r="O1030" s="126"/>
      <c r="P1030" s="127"/>
      <c r="Q1030" s="127"/>
      <c r="R1030" s="126"/>
      <c r="S1030" s="127"/>
      <c r="T1030" s="8"/>
      <c r="U1030" s="158"/>
      <c r="V1030" s="7"/>
      <c r="W1030" s="7"/>
      <c r="X1030" s="146"/>
      <c r="Y1030" s="7"/>
      <c r="Z1030" s="7"/>
      <c r="AA1030" s="7" t="str">
        <f>IFERROR((VLOOKUP(F1030,#REF!,2,FALSE)),"-")</f>
        <v>-</v>
      </c>
      <c r="AB1030" s="119" t="e">
        <f>CONCATENATE(F1030," - ",I1030," - ",#REF!,)</f>
        <v>#REF!</v>
      </c>
    </row>
    <row r="1031" spans="1:28" s="116" customFormat="1" ht="15">
      <c r="A1031" s="114"/>
      <c r="B1031" s="120"/>
      <c r="C1031" s="129" t="str">
        <f t="shared" si="48"/>
        <v>week-0</v>
      </c>
      <c r="D1031" s="120" t="str">
        <f t="shared" si="49"/>
        <v>Jan</v>
      </c>
      <c r="E1031" s="7"/>
      <c r="F1031" s="7"/>
      <c r="G1031" s="120"/>
      <c r="H1031" s="120"/>
      <c r="I1031" s="118"/>
      <c r="J1031" s="118"/>
      <c r="K1031" s="115"/>
      <c r="L1031" s="115"/>
      <c r="M1031" s="8"/>
      <c r="N1031" s="8" t="str">
        <f t="shared" si="50"/>
        <v>-</v>
      </c>
      <c r="O1031" s="126"/>
      <c r="P1031" s="127"/>
      <c r="Q1031" s="127"/>
      <c r="R1031" s="126"/>
      <c r="S1031" s="127"/>
      <c r="T1031" s="8"/>
      <c r="U1031" s="158"/>
      <c r="V1031" s="7"/>
      <c r="W1031" s="7"/>
      <c r="X1031" s="146"/>
      <c r="Y1031" s="7"/>
      <c r="Z1031" s="7"/>
      <c r="AA1031" s="7" t="str">
        <f>IFERROR((VLOOKUP(F1031,#REF!,2,FALSE)),"-")</f>
        <v>-</v>
      </c>
      <c r="AB1031" s="119" t="e">
        <f>CONCATENATE(F1031," - ",I1031," - ",#REF!,)</f>
        <v>#REF!</v>
      </c>
    </row>
    <row r="1032" spans="1:28" s="116" customFormat="1" ht="15">
      <c r="A1032" s="114"/>
      <c r="B1032" s="120"/>
      <c r="C1032" s="129" t="str">
        <f t="shared" si="48"/>
        <v>week-0</v>
      </c>
      <c r="D1032" s="120" t="str">
        <f t="shared" si="49"/>
        <v>Jan</v>
      </c>
      <c r="E1032" s="7"/>
      <c r="F1032" s="7"/>
      <c r="G1032" s="120"/>
      <c r="H1032" s="120"/>
      <c r="I1032" s="118"/>
      <c r="J1032" s="118"/>
      <c r="K1032" s="115"/>
      <c r="L1032" s="115"/>
      <c r="M1032" s="8"/>
      <c r="N1032" s="8" t="str">
        <f t="shared" si="50"/>
        <v>-</v>
      </c>
      <c r="O1032" s="126"/>
      <c r="P1032" s="127"/>
      <c r="Q1032" s="127"/>
      <c r="R1032" s="126"/>
      <c r="S1032" s="127"/>
      <c r="T1032" s="8"/>
      <c r="U1032" s="158"/>
      <c r="V1032" s="7"/>
      <c r="W1032" s="7"/>
      <c r="X1032" s="146"/>
      <c r="Y1032" s="7"/>
      <c r="Z1032" s="7"/>
      <c r="AA1032" s="7" t="str">
        <f>IFERROR((VLOOKUP(F1032,#REF!,2,FALSE)),"-")</f>
        <v>-</v>
      </c>
      <c r="AB1032" s="119" t="e">
        <f>CONCATENATE(F1032," - ",I1032," - ",#REF!,)</f>
        <v>#REF!</v>
      </c>
    </row>
    <row r="1033" spans="1:28" s="116" customFormat="1" ht="15">
      <c r="A1033" s="114"/>
      <c r="B1033" s="120"/>
      <c r="C1033" s="129" t="str">
        <f t="shared" si="48"/>
        <v>week-0</v>
      </c>
      <c r="D1033" s="120" t="str">
        <f t="shared" si="49"/>
        <v>Jan</v>
      </c>
      <c r="E1033" s="7"/>
      <c r="F1033" s="7"/>
      <c r="G1033" s="120"/>
      <c r="H1033" s="120"/>
      <c r="I1033" s="118"/>
      <c r="J1033" s="118"/>
      <c r="K1033" s="115"/>
      <c r="L1033" s="115"/>
      <c r="M1033" s="8"/>
      <c r="N1033" s="8" t="str">
        <f t="shared" si="50"/>
        <v>-</v>
      </c>
      <c r="O1033" s="126"/>
      <c r="P1033" s="127"/>
      <c r="Q1033" s="127"/>
      <c r="R1033" s="126"/>
      <c r="S1033" s="127"/>
      <c r="T1033" s="8"/>
      <c r="U1033" s="158"/>
      <c r="V1033" s="7"/>
      <c r="W1033" s="7"/>
      <c r="X1033" s="146"/>
      <c r="Y1033" s="7"/>
      <c r="Z1033" s="7"/>
      <c r="AA1033" s="7" t="str">
        <f>IFERROR((VLOOKUP(F1033,#REF!,2,FALSE)),"-")</f>
        <v>-</v>
      </c>
      <c r="AB1033" s="119" t="e">
        <f>CONCATENATE(F1033," - ",I1033," - ",#REF!,)</f>
        <v>#REF!</v>
      </c>
    </row>
    <row r="1034" spans="1:28" s="116" customFormat="1" ht="15">
      <c r="A1034" s="114"/>
      <c r="B1034" s="120"/>
      <c r="C1034" s="129" t="str">
        <f t="shared" si="48"/>
        <v>week-0</v>
      </c>
      <c r="D1034" s="120" t="str">
        <f t="shared" si="49"/>
        <v>Jan</v>
      </c>
      <c r="E1034" s="7"/>
      <c r="F1034" s="7"/>
      <c r="G1034" s="120"/>
      <c r="H1034" s="120"/>
      <c r="I1034" s="118"/>
      <c r="J1034" s="118"/>
      <c r="K1034" s="115"/>
      <c r="L1034" s="115"/>
      <c r="M1034" s="8"/>
      <c r="N1034" s="8" t="str">
        <f t="shared" si="50"/>
        <v>-</v>
      </c>
      <c r="O1034" s="126"/>
      <c r="P1034" s="127"/>
      <c r="Q1034" s="127"/>
      <c r="R1034" s="126"/>
      <c r="S1034" s="127"/>
      <c r="T1034" s="8"/>
      <c r="U1034" s="158"/>
      <c r="V1034" s="7"/>
      <c r="W1034" s="7"/>
      <c r="X1034" s="146"/>
      <c r="Y1034" s="7"/>
      <c r="Z1034" s="7"/>
      <c r="AA1034" s="7" t="str">
        <f>IFERROR((VLOOKUP(F1034,#REF!,2,FALSE)),"-")</f>
        <v>-</v>
      </c>
      <c r="AB1034" s="119" t="e">
        <f>CONCATENATE(F1034," - ",I1034," - ",#REF!,)</f>
        <v>#REF!</v>
      </c>
    </row>
    <row r="1035" spans="1:28" s="116" customFormat="1" ht="15">
      <c r="A1035" s="114"/>
      <c r="B1035" s="120"/>
      <c r="C1035" s="129" t="str">
        <f t="shared" si="48"/>
        <v>week-0</v>
      </c>
      <c r="D1035" s="120" t="str">
        <f t="shared" si="49"/>
        <v>Jan</v>
      </c>
      <c r="E1035" s="7"/>
      <c r="F1035" s="7"/>
      <c r="G1035" s="120"/>
      <c r="H1035" s="120"/>
      <c r="I1035" s="118"/>
      <c r="J1035" s="118"/>
      <c r="K1035" s="115"/>
      <c r="L1035" s="115"/>
      <c r="M1035" s="8"/>
      <c r="N1035" s="8" t="str">
        <f t="shared" si="50"/>
        <v>-</v>
      </c>
      <c r="O1035" s="126"/>
      <c r="P1035" s="127"/>
      <c r="Q1035" s="127"/>
      <c r="R1035" s="126"/>
      <c r="S1035" s="127"/>
      <c r="T1035" s="8"/>
      <c r="U1035" s="158"/>
      <c r="V1035" s="7"/>
      <c r="W1035" s="7"/>
      <c r="X1035" s="146"/>
      <c r="Y1035" s="7"/>
      <c r="Z1035" s="7"/>
      <c r="AA1035" s="7" t="str">
        <f>IFERROR((VLOOKUP(F1035,#REF!,2,FALSE)),"-")</f>
        <v>-</v>
      </c>
      <c r="AB1035" s="119" t="e">
        <f>CONCATENATE(F1035," - ",I1035," - ",#REF!,)</f>
        <v>#REF!</v>
      </c>
    </row>
    <row r="1036" spans="1:28" s="116" customFormat="1" ht="15">
      <c r="A1036" s="114"/>
      <c r="B1036" s="120"/>
      <c r="C1036" s="129" t="str">
        <f t="shared" si="48"/>
        <v>week-0</v>
      </c>
      <c r="D1036" s="120" t="str">
        <f t="shared" si="49"/>
        <v>Jan</v>
      </c>
      <c r="E1036" s="7"/>
      <c r="F1036" s="7"/>
      <c r="G1036" s="120"/>
      <c r="H1036" s="120"/>
      <c r="I1036" s="118"/>
      <c r="J1036" s="118"/>
      <c r="K1036" s="115"/>
      <c r="L1036" s="115"/>
      <c r="M1036" s="8"/>
      <c r="N1036" s="8" t="str">
        <f t="shared" si="50"/>
        <v>-</v>
      </c>
      <c r="O1036" s="126"/>
      <c r="P1036" s="127"/>
      <c r="Q1036" s="127"/>
      <c r="R1036" s="126"/>
      <c r="S1036" s="127"/>
      <c r="T1036" s="8"/>
      <c r="U1036" s="158"/>
      <c r="V1036" s="7"/>
      <c r="W1036" s="7"/>
      <c r="X1036" s="146"/>
      <c r="Y1036" s="7"/>
      <c r="Z1036" s="7"/>
      <c r="AA1036" s="7" t="str">
        <f>IFERROR((VLOOKUP(F1036,#REF!,2,FALSE)),"-")</f>
        <v>-</v>
      </c>
      <c r="AB1036" s="119" t="e">
        <f>CONCATENATE(F1036," - ",I1036," - ",#REF!,)</f>
        <v>#REF!</v>
      </c>
    </row>
    <row r="1037" spans="1:28" s="116" customFormat="1" ht="15">
      <c r="A1037" s="114"/>
      <c r="B1037" s="120"/>
      <c r="C1037" s="129" t="str">
        <f t="shared" si="48"/>
        <v>week-0</v>
      </c>
      <c r="D1037" s="120" t="str">
        <f t="shared" si="49"/>
        <v>Jan</v>
      </c>
      <c r="E1037" s="7"/>
      <c r="F1037" s="7"/>
      <c r="G1037" s="120"/>
      <c r="H1037" s="120"/>
      <c r="I1037" s="118"/>
      <c r="J1037" s="118"/>
      <c r="K1037" s="115"/>
      <c r="L1037" s="115"/>
      <c r="M1037" s="8"/>
      <c r="N1037" s="8" t="str">
        <f t="shared" si="50"/>
        <v>-</v>
      </c>
      <c r="O1037" s="126"/>
      <c r="P1037" s="127"/>
      <c r="Q1037" s="127"/>
      <c r="R1037" s="126"/>
      <c r="S1037" s="127"/>
      <c r="T1037" s="8"/>
      <c r="U1037" s="158"/>
      <c r="V1037" s="7"/>
      <c r="W1037" s="7"/>
      <c r="X1037" s="146"/>
      <c r="Y1037" s="7"/>
      <c r="Z1037" s="7"/>
      <c r="AA1037" s="7" t="str">
        <f>IFERROR((VLOOKUP(F1037,#REF!,2,FALSE)),"-")</f>
        <v>-</v>
      </c>
      <c r="AB1037" s="119" t="e">
        <f>CONCATENATE(F1037," - ",I1037," - ",#REF!,)</f>
        <v>#REF!</v>
      </c>
    </row>
    <row r="1038" spans="1:28" s="116" customFormat="1" ht="15">
      <c r="A1038" s="114"/>
      <c r="B1038" s="120"/>
      <c r="C1038" s="129" t="str">
        <f t="shared" si="48"/>
        <v>week-0</v>
      </c>
      <c r="D1038" s="120" t="str">
        <f t="shared" si="49"/>
        <v>Jan</v>
      </c>
      <c r="E1038" s="7"/>
      <c r="F1038" s="7"/>
      <c r="G1038" s="120"/>
      <c r="H1038" s="120"/>
      <c r="I1038" s="118"/>
      <c r="J1038" s="118"/>
      <c r="K1038" s="115"/>
      <c r="L1038" s="115"/>
      <c r="M1038" s="8"/>
      <c r="N1038" s="8" t="str">
        <f t="shared" si="50"/>
        <v>-</v>
      </c>
      <c r="O1038" s="126"/>
      <c r="P1038" s="127"/>
      <c r="Q1038" s="127"/>
      <c r="R1038" s="126"/>
      <c r="S1038" s="127"/>
      <c r="T1038" s="8"/>
      <c r="U1038" s="158"/>
      <c r="V1038" s="7"/>
      <c r="W1038" s="7"/>
      <c r="X1038" s="146"/>
      <c r="Y1038" s="7"/>
      <c r="Z1038" s="7"/>
      <c r="AA1038" s="7" t="str">
        <f>IFERROR((VLOOKUP(F1038,#REF!,2,FALSE)),"-")</f>
        <v>-</v>
      </c>
      <c r="AB1038" s="119" t="e">
        <f>CONCATENATE(F1038," - ",I1038," - ",#REF!,)</f>
        <v>#REF!</v>
      </c>
    </row>
    <row r="1039" spans="1:28" s="116" customFormat="1" ht="15">
      <c r="A1039" s="114"/>
      <c r="B1039" s="120"/>
      <c r="C1039" s="129" t="str">
        <f t="shared" si="48"/>
        <v>week-0</v>
      </c>
      <c r="D1039" s="120" t="str">
        <f t="shared" si="49"/>
        <v>Jan</v>
      </c>
      <c r="E1039" s="7"/>
      <c r="F1039" s="7"/>
      <c r="G1039" s="120"/>
      <c r="H1039" s="120"/>
      <c r="I1039" s="118"/>
      <c r="J1039" s="118"/>
      <c r="K1039" s="115"/>
      <c r="L1039" s="115"/>
      <c r="M1039" s="8"/>
      <c r="N1039" s="8" t="str">
        <f t="shared" si="50"/>
        <v>-</v>
      </c>
      <c r="O1039" s="126"/>
      <c r="P1039" s="127"/>
      <c r="Q1039" s="127"/>
      <c r="R1039" s="126"/>
      <c r="S1039" s="127"/>
      <c r="T1039" s="8"/>
      <c r="U1039" s="158"/>
      <c r="V1039" s="7"/>
      <c r="W1039" s="7"/>
      <c r="X1039" s="146"/>
      <c r="Y1039" s="7"/>
      <c r="Z1039" s="7"/>
      <c r="AA1039" s="7" t="str">
        <f>IFERROR((VLOOKUP(F1039,#REF!,2,FALSE)),"-")</f>
        <v>-</v>
      </c>
      <c r="AB1039" s="119" t="e">
        <f>CONCATENATE(F1039," - ",I1039," - ",#REF!,)</f>
        <v>#REF!</v>
      </c>
    </row>
    <row r="1040" spans="1:28" s="116" customFormat="1" ht="15">
      <c r="A1040" s="114"/>
      <c r="B1040" s="120"/>
      <c r="C1040" s="129" t="str">
        <f t="shared" si="48"/>
        <v>week-0</v>
      </c>
      <c r="D1040" s="120" t="str">
        <f t="shared" si="49"/>
        <v>Jan</v>
      </c>
      <c r="E1040" s="7"/>
      <c r="F1040" s="7"/>
      <c r="G1040" s="120"/>
      <c r="H1040" s="120"/>
      <c r="I1040" s="118"/>
      <c r="J1040" s="118"/>
      <c r="K1040" s="115"/>
      <c r="L1040" s="115"/>
      <c r="M1040" s="8"/>
      <c r="N1040" s="8" t="str">
        <f t="shared" si="50"/>
        <v>-</v>
      </c>
      <c r="O1040" s="126"/>
      <c r="P1040" s="127"/>
      <c r="Q1040" s="127"/>
      <c r="R1040" s="126"/>
      <c r="S1040" s="127"/>
      <c r="T1040" s="8"/>
      <c r="U1040" s="158"/>
      <c r="V1040" s="7"/>
      <c r="W1040" s="7"/>
      <c r="X1040" s="146"/>
      <c r="Y1040" s="7"/>
      <c r="Z1040" s="7"/>
      <c r="AA1040" s="7" t="str">
        <f>IFERROR((VLOOKUP(F1040,#REF!,2,FALSE)),"-")</f>
        <v>-</v>
      </c>
      <c r="AB1040" s="119" t="e">
        <f>CONCATENATE(F1040," - ",I1040," - ",#REF!,)</f>
        <v>#REF!</v>
      </c>
    </row>
    <row r="1041" spans="1:28" s="116" customFormat="1" ht="15">
      <c r="A1041" s="114"/>
      <c r="B1041" s="120"/>
      <c r="C1041" s="129" t="str">
        <f t="shared" si="48"/>
        <v>week-0</v>
      </c>
      <c r="D1041" s="120" t="str">
        <f t="shared" si="49"/>
        <v>Jan</v>
      </c>
      <c r="E1041" s="7"/>
      <c r="F1041" s="7"/>
      <c r="G1041" s="120"/>
      <c r="H1041" s="120"/>
      <c r="I1041" s="118"/>
      <c r="J1041" s="118"/>
      <c r="K1041" s="115"/>
      <c r="L1041" s="115"/>
      <c r="M1041" s="8"/>
      <c r="N1041" s="8" t="str">
        <f t="shared" si="50"/>
        <v>-</v>
      </c>
      <c r="O1041" s="126"/>
      <c r="P1041" s="127"/>
      <c r="Q1041" s="127"/>
      <c r="R1041" s="126"/>
      <c r="S1041" s="127"/>
      <c r="T1041" s="8"/>
      <c r="U1041" s="158"/>
      <c r="V1041" s="7"/>
      <c r="W1041" s="7"/>
      <c r="X1041" s="146"/>
      <c r="Y1041" s="7"/>
      <c r="Z1041" s="7"/>
      <c r="AA1041" s="7" t="str">
        <f>IFERROR((VLOOKUP(F1041,#REF!,2,FALSE)),"-")</f>
        <v>-</v>
      </c>
      <c r="AB1041" s="119" t="e">
        <f>CONCATENATE(F1041," - ",I1041," - ",#REF!,)</f>
        <v>#REF!</v>
      </c>
    </row>
    <row r="1042" spans="1:28" s="116" customFormat="1" ht="15">
      <c r="A1042" s="114"/>
      <c r="B1042" s="120"/>
      <c r="C1042" s="129" t="str">
        <f t="shared" si="48"/>
        <v>week-0</v>
      </c>
      <c r="D1042" s="120" t="str">
        <f t="shared" si="49"/>
        <v>Jan</v>
      </c>
      <c r="E1042" s="7"/>
      <c r="F1042" s="7"/>
      <c r="G1042" s="120"/>
      <c r="H1042" s="120"/>
      <c r="I1042" s="118"/>
      <c r="J1042" s="118"/>
      <c r="K1042" s="115"/>
      <c r="L1042" s="115"/>
      <c r="M1042" s="8"/>
      <c r="N1042" s="8" t="str">
        <f t="shared" si="50"/>
        <v>-</v>
      </c>
      <c r="O1042" s="126"/>
      <c r="P1042" s="127"/>
      <c r="Q1042" s="127"/>
      <c r="R1042" s="126"/>
      <c r="S1042" s="127"/>
      <c r="T1042" s="8"/>
      <c r="U1042" s="158"/>
      <c r="V1042" s="7"/>
      <c r="W1042" s="7"/>
      <c r="X1042" s="146"/>
      <c r="Y1042" s="7"/>
      <c r="Z1042" s="7"/>
      <c r="AA1042" s="7" t="str">
        <f>IFERROR((VLOOKUP(F1042,#REF!,2,FALSE)),"-")</f>
        <v>-</v>
      </c>
      <c r="AB1042" s="119" t="e">
        <f>CONCATENATE(F1042," - ",I1042," - ",#REF!,)</f>
        <v>#REF!</v>
      </c>
    </row>
    <row r="1043" spans="1:28" s="116" customFormat="1" ht="15">
      <c r="A1043" s="114"/>
      <c r="B1043" s="120"/>
      <c r="C1043" s="129" t="str">
        <f t="shared" si="48"/>
        <v>week-0</v>
      </c>
      <c r="D1043" s="120" t="str">
        <f t="shared" si="49"/>
        <v>Jan</v>
      </c>
      <c r="E1043" s="7"/>
      <c r="F1043" s="7"/>
      <c r="G1043" s="120"/>
      <c r="H1043" s="120"/>
      <c r="I1043" s="118"/>
      <c r="J1043" s="118"/>
      <c r="K1043" s="115"/>
      <c r="L1043" s="115"/>
      <c r="M1043" s="8"/>
      <c r="N1043" s="8" t="str">
        <f t="shared" si="50"/>
        <v>-</v>
      </c>
      <c r="O1043" s="126"/>
      <c r="P1043" s="127"/>
      <c r="Q1043" s="127"/>
      <c r="R1043" s="126"/>
      <c r="S1043" s="127"/>
      <c r="T1043" s="8"/>
      <c r="U1043" s="158"/>
      <c r="V1043" s="7"/>
      <c r="W1043" s="7"/>
      <c r="X1043" s="146"/>
      <c r="Y1043" s="7"/>
      <c r="Z1043" s="7"/>
      <c r="AA1043" s="7" t="str">
        <f>IFERROR((VLOOKUP(F1043,#REF!,2,FALSE)),"-")</f>
        <v>-</v>
      </c>
      <c r="AB1043" s="119" t="e">
        <f>CONCATENATE(F1043," - ",I1043," - ",#REF!,)</f>
        <v>#REF!</v>
      </c>
    </row>
    <row r="1044" spans="1:28" s="116" customFormat="1" ht="15">
      <c r="A1044" s="114"/>
      <c r="B1044" s="120"/>
      <c r="C1044" s="129" t="str">
        <f t="shared" si="48"/>
        <v>week-0</v>
      </c>
      <c r="D1044" s="120" t="str">
        <f t="shared" si="49"/>
        <v>Jan</v>
      </c>
      <c r="E1044" s="7"/>
      <c r="F1044" s="7"/>
      <c r="G1044" s="120"/>
      <c r="H1044" s="120"/>
      <c r="I1044" s="118"/>
      <c r="J1044" s="118"/>
      <c r="K1044" s="115"/>
      <c r="L1044" s="115"/>
      <c r="M1044" s="8"/>
      <c r="N1044" s="8" t="str">
        <f t="shared" si="50"/>
        <v>-</v>
      </c>
      <c r="O1044" s="126"/>
      <c r="P1044" s="127"/>
      <c r="Q1044" s="127"/>
      <c r="R1044" s="126"/>
      <c r="S1044" s="127"/>
      <c r="T1044" s="8"/>
      <c r="U1044" s="158"/>
      <c r="V1044" s="7"/>
      <c r="W1044" s="7"/>
      <c r="X1044" s="146"/>
      <c r="Y1044" s="7"/>
      <c r="Z1044" s="7"/>
      <c r="AA1044" s="7" t="str">
        <f>IFERROR((VLOOKUP(F1044,#REF!,2,FALSE)),"-")</f>
        <v>-</v>
      </c>
      <c r="AB1044" s="119" t="e">
        <f>CONCATENATE(F1044," - ",I1044," - ",#REF!,)</f>
        <v>#REF!</v>
      </c>
    </row>
    <row r="1045" spans="1:28" s="116" customFormat="1" ht="15">
      <c r="A1045" s="114"/>
      <c r="B1045" s="120"/>
      <c r="C1045" s="129" t="str">
        <f t="shared" si="48"/>
        <v>week-0</v>
      </c>
      <c r="D1045" s="120" t="str">
        <f t="shared" si="49"/>
        <v>Jan</v>
      </c>
      <c r="E1045" s="7"/>
      <c r="F1045" s="7"/>
      <c r="G1045" s="120"/>
      <c r="H1045" s="120"/>
      <c r="I1045" s="118"/>
      <c r="J1045" s="118"/>
      <c r="K1045" s="115"/>
      <c r="L1045" s="115"/>
      <c r="M1045" s="8"/>
      <c r="N1045" s="8" t="str">
        <f t="shared" si="50"/>
        <v>-</v>
      </c>
      <c r="O1045" s="126"/>
      <c r="P1045" s="127"/>
      <c r="Q1045" s="127"/>
      <c r="R1045" s="126"/>
      <c r="S1045" s="127"/>
      <c r="T1045" s="8"/>
      <c r="U1045" s="158"/>
      <c r="V1045" s="7"/>
      <c r="W1045" s="7"/>
      <c r="X1045" s="146"/>
      <c r="Y1045" s="7"/>
      <c r="Z1045" s="7"/>
      <c r="AA1045" s="7" t="str">
        <f>IFERROR((VLOOKUP(F1045,#REF!,2,FALSE)),"-")</f>
        <v>-</v>
      </c>
      <c r="AB1045" s="119" t="e">
        <f>CONCATENATE(F1045," - ",I1045," - ",#REF!,)</f>
        <v>#REF!</v>
      </c>
    </row>
    <row r="1046" spans="1:28" s="116" customFormat="1" ht="15">
      <c r="A1046" s="114"/>
      <c r="B1046" s="120"/>
      <c r="C1046" s="129" t="str">
        <f t="shared" si="48"/>
        <v>week-0</v>
      </c>
      <c r="D1046" s="120" t="str">
        <f t="shared" si="49"/>
        <v>Jan</v>
      </c>
      <c r="E1046" s="7"/>
      <c r="F1046" s="7"/>
      <c r="G1046" s="120"/>
      <c r="H1046" s="120"/>
      <c r="I1046" s="118"/>
      <c r="J1046" s="118"/>
      <c r="K1046" s="115"/>
      <c r="L1046" s="115"/>
      <c r="M1046" s="8"/>
      <c r="N1046" s="8" t="str">
        <f t="shared" si="50"/>
        <v>-</v>
      </c>
      <c r="O1046" s="126"/>
      <c r="P1046" s="127"/>
      <c r="Q1046" s="127"/>
      <c r="R1046" s="126"/>
      <c r="S1046" s="127"/>
      <c r="T1046" s="8"/>
      <c r="U1046" s="158"/>
      <c r="V1046" s="7"/>
      <c r="W1046" s="7"/>
      <c r="X1046" s="146"/>
      <c r="Y1046" s="7"/>
      <c r="Z1046" s="7"/>
      <c r="AA1046" s="7" t="str">
        <f>IFERROR((VLOOKUP(F1046,#REF!,2,FALSE)),"-")</f>
        <v>-</v>
      </c>
      <c r="AB1046" s="119" t="e">
        <f>CONCATENATE(F1046," - ",I1046," - ",#REF!,)</f>
        <v>#REF!</v>
      </c>
    </row>
    <row r="1047" spans="1:28" s="116" customFormat="1" ht="15">
      <c r="A1047" s="114"/>
      <c r="B1047" s="120"/>
      <c r="C1047" s="129" t="str">
        <f t="shared" si="48"/>
        <v>week-0</v>
      </c>
      <c r="D1047" s="120" t="str">
        <f t="shared" si="49"/>
        <v>Jan</v>
      </c>
      <c r="E1047" s="7"/>
      <c r="F1047" s="7"/>
      <c r="G1047" s="120"/>
      <c r="H1047" s="120"/>
      <c r="I1047" s="118"/>
      <c r="J1047" s="118"/>
      <c r="K1047" s="115"/>
      <c r="L1047" s="115"/>
      <c r="M1047" s="8"/>
      <c r="N1047" s="8" t="str">
        <f t="shared" si="50"/>
        <v>-</v>
      </c>
      <c r="O1047" s="126"/>
      <c r="P1047" s="127"/>
      <c r="Q1047" s="127"/>
      <c r="R1047" s="126"/>
      <c r="S1047" s="127"/>
      <c r="T1047" s="8"/>
      <c r="U1047" s="158"/>
      <c r="V1047" s="7"/>
      <c r="W1047" s="7"/>
      <c r="X1047" s="146"/>
      <c r="Y1047" s="7"/>
      <c r="Z1047" s="7"/>
      <c r="AA1047" s="7" t="str">
        <f>IFERROR((VLOOKUP(F1047,#REF!,2,FALSE)),"-")</f>
        <v>-</v>
      </c>
      <c r="AB1047" s="119" t="e">
        <f>CONCATENATE(F1047," - ",I1047," - ",#REF!,)</f>
        <v>#REF!</v>
      </c>
    </row>
    <row r="1048" spans="1:28" s="116" customFormat="1" ht="15">
      <c r="A1048" s="114"/>
      <c r="B1048" s="120"/>
      <c r="C1048" s="129" t="str">
        <f t="shared" si="48"/>
        <v>week-0</v>
      </c>
      <c r="D1048" s="120" t="str">
        <f t="shared" si="49"/>
        <v>Jan</v>
      </c>
      <c r="E1048" s="7"/>
      <c r="F1048" s="7"/>
      <c r="G1048" s="120"/>
      <c r="H1048" s="120"/>
      <c r="I1048" s="118"/>
      <c r="J1048" s="118"/>
      <c r="K1048" s="115"/>
      <c r="L1048" s="115"/>
      <c r="M1048" s="8"/>
      <c r="N1048" s="8" t="str">
        <f t="shared" si="50"/>
        <v>-</v>
      </c>
      <c r="O1048" s="126"/>
      <c r="P1048" s="127"/>
      <c r="Q1048" s="127"/>
      <c r="R1048" s="126"/>
      <c r="S1048" s="127"/>
      <c r="T1048" s="8"/>
      <c r="U1048" s="158"/>
      <c r="V1048" s="7"/>
      <c r="W1048" s="7"/>
      <c r="X1048" s="146"/>
      <c r="Y1048" s="7"/>
      <c r="Z1048" s="7"/>
      <c r="AA1048" s="7" t="str">
        <f>IFERROR((VLOOKUP(F1048,#REF!,2,FALSE)),"-")</f>
        <v>-</v>
      </c>
      <c r="AB1048" s="119" t="e">
        <f>CONCATENATE(F1048," - ",I1048," - ",#REF!,)</f>
        <v>#REF!</v>
      </c>
    </row>
    <row r="1049" spans="1:28" s="116" customFormat="1" ht="15">
      <c r="A1049" s="114"/>
      <c r="B1049" s="120"/>
      <c r="C1049" s="129" t="str">
        <f t="shared" si="48"/>
        <v>week-0</v>
      </c>
      <c r="D1049" s="120" t="str">
        <f t="shared" si="49"/>
        <v>Jan</v>
      </c>
      <c r="E1049" s="7"/>
      <c r="F1049" s="7"/>
      <c r="G1049" s="120"/>
      <c r="H1049" s="120"/>
      <c r="I1049" s="118"/>
      <c r="J1049" s="118"/>
      <c r="K1049" s="115"/>
      <c r="L1049" s="115"/>
      <c r="M1049" s="8"/>
      <c r="N1049" s="8" t="str">
        <f t="shared" si="50"/>
        <v>-</v>
      </c>
      <c r="O1049" s="126"/>
      <c r="P1049" s="127"/>
      <c r="Q1049" s="127"/>
      <c r="R1049" s="126"/>
      <c r="S1049" s="127"/>
      <c r="T1049" s="8"/>
      <c r="U1049" s="158"/>
      <c r="V1049" s="7"/>
      <c r="W1049" s="7"/>
      <c r="X1049" s="146"/>
      <c r="Y1049" s="7"/>
      <c r="Z1049" s="7"/>
      <c r="AA1049" s="7" t="str">
        <f>IFERROR((VLOOKUP(F1049,#REF!,2,FALSE)),"-")</f>
        <v>-</v>
      </c>
      <c r="AB1049" s="119" t="e">
        <f>CONCATENATE(F1049," - ",I1049," - ",#REF!,)</f>
        <v>#REF!</v>
      </c>
    </row>
    <row r="1050" spans="1:28" s="116" customFormat="1" ht="15">
      <c r="A1050" s="114"/>
      <c r="B1050" s="120"/>
      <c r="C1050" s="129" t="str">
        <f t="shared" si="48"/>
        <v>week-0</v>
      </c>
      <c r="D1050" s="120" t="str">
        <f t="shared" si="49"/>
        <v>Jan</v>
      </c>
      <c r="E1050" s="7"/>
      <c r="F1050" s="7"/>
      <c r="G1050" s="120"/>
      <c r="H1050" s="120"/>
      <c r="I1050" s="118"/>
      <c r="J1050" s="118"/>
      <c r="K1050" s="115"/>
      <c r="L1050" s="115"/>
      <c r="M1050" s="8"/>
      <c r="N1050" s="8" t="str">
        <f t="shared" si="50"/>
        <v>-</v>
      </c>
      <c r="O1050" s="126"/>
      <c r="P1050" s="127"/>
      <c r="Q1050" s="127"/>
      <c r="R1050" s="126"/>
      <c r="S1050" s="127"/>
      <c r="T1050" s="8"/>
      <c r="U1050" s="158"/>
      <c r="V1050" s="7"/>
      <c r="W1050" s="7"/>
      <c r="X1050" s="146"/>
      <c r="Y1050" s="7"/>
      <c r="Z1050" s="7"/>
      <c r="AA1050" s="7" t="str">
        <f>IFERROR((VLOOKUP(F1050,#REF!,2,FALSE)),"-")</f>
        <v>-</v>
      </c>
      <c r="AB1050" s="119" t="e">
        <f>CONCATENATE(F1050," - ",I1050," - ",#REF!,)</f>
        <v>#REF!</v>
      </c>
    </row>
    <row r="1051" spans="1:28" s="116" customFormat="1" ht="15">
      <c r="A1051" s="114"/>
      <c r="B1051" s="120"/>
      <c r="C1051" s="129" t="str">
        <f t="shared" si="48"/>
        <v>week-0</v>
      </c>
      <c r="D1051" s="120" t="str">
        <f t="shared" si="49"/>
        <v>Jan</v>
      </c>
      <c r="E1051" s="7"/>
      <c r="F1051" s="7"/>
      <c r="G1051" s="120"/>
      <c r="H1051" s="120"/>
      <c r="I1051" s="118"/>
      <c r="J1051" s="118"/>
      <c r="K1051" s="115"/>
      <c r="L1051" s="115"/>
      <c r="M1051" s="8"/>
      <c r="N1051" s="8" t="str">
        <f t="shared" si="50"/>
        <v>-</v>
      </c>
      <c r="O1051" s="126"/>
      <c r="P1051" s="127"/>
      <c r="Q1051" s="127"/>
      <c r="R1051" s="126"/>
      <c r="S1051" s="127"/>
      <c r="T1051" s="8"/>
      <c r="U1051" s="158"/>
      <c r="V1051" s="7"/>
      <c r="W1051" s="7"/>
      <c r="X1051" s="146"/>
      <c r="Y1051" s="7"/>
      <c r="Z1051" s="7"/>
      <c r="AA1051" s="7" t="str">
        <f>IFERROR((VLOOKUP(F1051,#REF!,2,FALSE)),"-")</f>
        <v>-</v>
      </c>
      <c r="AB1051" s="119" t="e">
        <f>CONCATENATE(F1051," - ",I1051," - ",#REF!,)</f>
        <v>#REF!</v>
      </c>
    </row>
    <row r="1052" spans="1:28" s="116" customFormat="1" ht="15">
      <c r="A1052" s="114"/>
      <c r="B1052" s="120"/>
      <c r="C1052" s="129" t="str">
        <f t="shared" si="48"/>
        <v>week-0</v>
      </c>
      <c r="D1052" s="120" t="str">
        <f t="shared" si="49"/>
        <v>Jan</v>
      </c>
      <c r="E1052" s="7"/>
      <c r="F1052" s="7"/>
      <c r="G1052" s="120"/>
      <c r="H1052" s="120"/>
      <c r="I1052" s="118"/>
      <c r="J1052" s="118"/>
      <c r="K1052" s="115"/>
      <c r="L1052" s="115"/>
      <c r="M1052" s="8"/>
      <c r="N1052" s="8" t="str">
        <f t="shared" si="50"/>
        <v>-</v>
      </c>
      <c r="O1052" s="126"/>
      <c r="P1052" s="127"/>
      <c r="Q1052" s="127"/>
      <c r="R1052" s="126"/>
      <c r="S1052" s="127"/>
      <c r="T1052" s="8"/>
      <c r="U1052" s="158"/>
      <c r="V1052" s="7"/>
      <c r="W1052" s="7"/>
      <c r="X1052" s="146"/>
      <c r="Y1052" s="7"/>
      <c r="Z1052" s="7"/>
      <c r="AA1052" s="7" t="str">
        <f>IFERROR((VLOOKUP(F1052,#REF!,2,FALSE)),"-")</f>
        <v>-</v>
      </c>
      <c r="AB1052" s="119" t="e">
        <f>CONCATENATE(F1052," - ",I1052," - ",#REF!,)</f>
        <v>#REF!</v>
      </c>
    </row>
    <row r="1053" spans="1:28" s="116" customFormat="1" ht="15">
      <c r="A1053" s="114"/>
      <c r="B1053" s="120"/>
      <c r="C1053" s="129" t="str">
        <f t="shared" si="48"/>
        <v>week-0</v>
      </c>
      <c r="D1053" s="120" t="str">
        <f t="shared" si="49"/>
        <v>Jan</v>
      </c>
      <c r="E1053" s="7"/>
      <c r="F1053" s="7"/>
      <c r="G1053" s="120"/>
      <c r="H1053" s="120"/>
      <c r="I1053" s="118"/>
      <c r="J1053" s="118"/>
      <c r="K1053" s="115"/>
      <c r="L1053" s="115"/>
      <c r="M1053" s="8"/>
      <c r="N1053" s="8" t="str">
        <f t="shared" si="50"/>
        <v>-</v>
      </c>
      <c r="O1053" s="126"/>
      <c r="P1053" s="127"/>
      <c r="Q1053" s="127"/>
      <c r="R1053" s="126"/>
      <c r="S1053" s="127"/>
      <c r="T1053" s="8"/>
      <c r="U1053" s="158"/>
      <c r="V1053" s="7"/>
      <c r="W1053" s="7"/>
      <c r="X1053" s="146"/>
      <c r="Y1053" s="7"/>
      <c r="Z1053" s="7"/>
      <c r="AA1053" s="7" t="str">
        <f>IFERROR((VLOOKUP(F1053,#REF!,2,FALSE)),"-")</f>
        <v>-</v>
      </c>
      <c r="AB1053" s="119" t="e">
        <f>CONCATENATE(F1053," - ",I1053," - ",#REF!,)</f>
        <v>#REF!</v>
      </c>
    </row>
    <row r="1054" spans="1:28" s="116" customFormat="1" ht="15">
      <c r="A1054" s="114"/>
      <c r="B1054" s="120"/>
      <c r="C1054" s="129" t="str">
        <f t="shared" si="48"/>
        <v>week-0</v>
      </c>
      <c r="D1054" s="120" t="str">
        <f t="shared" si="49"/>
        <v>Jan</v>
      </c>
      <c r="E1054" s="7"/>
      <c r="F1054" s="7"/>
      <c r="G1054" s="120"/>
      <c r="H1054" s="120"/>
      <c r="I1054" s="118"/>
      <c r="J1054" s="118"/>
      <c r="K1054" s="115"/>
      <c r="L1054" s="115"/>
      <c r="M1054" s="8"/>
      <c r="N1054" s="8" t="str">
        <f t="shared" si="50"/>
        <v>-</v>
      </c>
      <c r="O1054" s="126"/>
      <c r="P1054" s="127"/>
      <c r="Q1054" s="127"/>
      <c r="R1054" s="126"/>
      <c r="S1054" s="127"/>
      <c r="T1054" s="8"/>
      <c r="U1054" s="158"/>
      <c r="V1054" s="7"/>
      <c r="W1054" s="7"/>
      <c r="X1054" s="146"/>
      <c r="Y1054" s="7"/>
      <c r="Z1054" s="7"/>
      <c r="AA1054" s="7" t="str">
        <f>IFERROR((VLOOKUP(F1054,#REF!,2,FALSE)),"-")</f>
        <v>-</v>
      </c>
      <c r="AB1054" s="119" t="e">
        <f>CONCATENATE(F1054," - ",I1054," - ",#REF!,)</f>
        <v>#REF!</v>
      </c>
    </row>
    <row r="1055" spans="1:28" s="116" customFormat="1" ht="15">
      <c r="A1055" s="114"/>
      <c r="B1055" s="120"/>
      <c r="C1055" s="129" t="str">
        <f t="shared" si="48"/>
        <v>week-0</v>
      </c>
      <c r="D1055" s="120" t="str">
        <f t="shared" si="49"/>
        <v>Jan</v>
      </c>
      <c r="E1055" s="7"/>
      <c r="F1055" s="7"/>
      <c r="G1055" s="120"/>
      <c r="H1055" s="120"/>
      <c r="I1055" s="118"/>
      <c r="J1055" s="118"/>
      <c r="K1055" s="115"/>
      <c r="L1055" s="115"/>
      <c r="M1055" s="8"/>
      <c r="N1055" s="8" t="str">
        <f t="shared" si="50"/>
        <v>-</v>
      </c>
      <c r="O1055" s="126"/>
      <c r="P1055" s="127"/>
      <c r="Q1055" s="127"/>
      <c r="R1055" s="126"/>
      <c r="S1055" s="127"/>
      <c r="T1055" s="8"/>
      <c r="U1055" s="158"/>
      <c r="V1055" s="7"/>
      <c r="W1055" s="7"/>
      <c r="X1055" s="146"/>
      <c r="Y1055" s="7"/>
      <c r="Z1055" s="7"/>
      <c r="AA1055" s="7" t="str">
        <f>IFERROR((VLOOKUP(F1055,#REF!,2,FALSE)),"-")</f>
        <v>-</v>
      </c>
      <c r="AB1055" s="119" t="e">
        <f>CONCATENATE(F1055," - ",I1055," - ",#REF!,)</f>
        <v>#REF!</v>
      </c>
    </row>
    <row r="1056" spans="1:28" s="116" customFormat="1" ht="15">
      <c r="A1056" s="114"/>
      <c r="B1056" s="120"/>
      <c r="C1056" s="129" t="str">
        <f t="shared" si="48"/>
        <v>week-0</v>
      </c>
      <c r="D1056" s="120" t="str">
        <f t="shared" si="49"/>
        <v>Jan</v>
      </c>
      <c r="E1056" s="7"/>
      <c r="F1056" s="7"/>
      <c r="G1056" s="120"/>
      <c r="H1056" s="120"/>
      <c r="I1056" s="118"/>
      <c r="J1056" s="118"/>
      <c r="K1056" s="115"/>
      <c r="L1056" s="115"/>
      <c r="M1056" s="8"/>
      <c r="N1056" s="8" t="str">
        <f t="shared" si="50"/>
        <v>-</v>
      </c>
      <c r="O1056" s="126"/>
      <c r="P1056" s="127"/>
      <c r="Q1056" s="127"/>
      <c r="R1056" s="126"/>
      <c r="S1056" s="127"/>
      <c r="T1056" s="8"/>
      <c r="U1056" s="158"/>
      <c r="V1056" s="7"/>
      <c r="W1056" s="7"/>
      <c r="X1056" s="146"/>
      <c r="Y1056" s="7"/>
      <c r="Z1056" s="7"/>
      <c r="AA1056" s="7" t="str">
        <f>IFERROR((VLOOKUP(F1056,#REF!,2,FALSE)),"-")</f>
        <v>-</v>
      </c>
      <c r="AB1056" s="119" t="e">
        <f>CONCATENATE(F1056," - ",I1056," - ",#REF!,)</f>
        <v>#REF!</v>
      </c>
    </row>
    <row r="1057" spans="1:28" s="116" customFormat="1" ht="15">
      <c r="A1057" s="114"/>
      <c r="B1057" s="120"/>
      <c r="C1057" s="129" t="str">
        <f t="shared" si="48"/>
        <v>week-0</v>
      </c>
      <c r="D1057" s="120" t="str">
        <f t="shared" si="49"/>
        <v>Jan</v>
      </c>
      <c r="E1057" s="7"/>
      <c r="F1057" s="7"/>
      <c r="G1057" s="120"/>
      <c r="H1057" s="120"/>
      <c r="I1057" s="118"/>
      <c r="J1057" s="118"/>
      <c r="K1057" s="115"/>
      <c r="L1057" s="115"/>
      <c r="M1057" s="8"/>
      <c r="N1057" s="8" t="str">
        <f t="shared" si="50"/>
        <v>-</v>
      </c>
      <c r="O1057" s="126"/>
      <c r="P1057" s="127"/>
      <c r="Q1057" s="127"/>
      <c r="R1057" s="126"/>
      <c r="S1057" s="127"/>
      <c r="T1057" s="8"/>
      <c r="U1057" s="158"/>
      <c r="V1057" s="7"/>
      <c r="W1057" s="7"/>
      <c r="X1057" s="146"/>
      <c r="Y1057" s="7"/>
      <c r="Z1057" s="7"/>
      <c r="AA1057" s="7" t="str">
        <f>IFERROR((VLOOKUP(F1057,#REF!,2,FALSE)),"-")</f>
        <v>-</v>
      </c>
      <c r="AB1057" s="119" t="e">
        <f>CONCATENATE(F1057," - ",I1057," - ",#REF!,)</f>
        <v>#REF!</v>
      </c>
    </row>
    <row r="1058" spans="1:28" s="116" customFormat="1" ht="15">
      <c r="A1058" s="114"/>
      <c r="B1058" s="120"/>
      <c r="C1058" s="129" t="str">
        <f t="shared" si="48"/>
        <v>week-0</v>
      </c>
      <c r="D1058" s="120" t="str">
        <f t="shared" si="49"/>
        <v>Jan</v>
      </c>
      <c r="E1058" s="7"/>
      <c r="F1058" s="7"/>
      <c r="G1058" s="120"/>
      <c r="H1058" s="120"/>
      <c r="I1058" s="118"/>
      <c r="J1058" s="118"/>
      <c r="K1058" s="115"/>
      <c r="L1058" s="115"/>
      <c r="M1058" s="8"/>
      <c r="N1058" s="8" t="str">
        <f t="shared" si="50"/>
        <v>-</v>
      </c>
      <c r="O1058" s="126"/>
      <c r="P1058" s="127"/>
      <c r="Q1058" s="127"/>
      <c r="R1058" s="126"/>
      <c r="S1058" s="127"/>
      <c r="T1058" s="8"/>
      <c r="U1058" s="158"/>
      <c r="V1058" s="7"/>
      <c r="W1058" s="7"/>
      <c r="X1058" s="146"/>
      <c r="Y1058" s="7"/>
      <c r="Z1058" s="7"/>
      <c r="AA1058" s="7" t="str">
        <f>IFERROR((VLOOKUP(F1058,#REF!,2,FALSE)),"-")</f>
        <v>-</v>
      </c>
      <c r="AB1058" s="119" t="e">
        <f>CONCATENATE(F1058," - ",I1058," - ",#REF!,)</f>
        <v>#REF!</v>
      </c>
    </row>
    <row r="1059" spans="1:28" s="116" customFormat="1" ht="15">
      <c r="A1059" s="114"/>
      <c r="B1059" s="120"/>
      <c r="C1059" s="129" t="str">
        <f t="shared" si="48"/>
        <v>week-0</v>
      </c>
      <c r="D1059" s="120" t="str">
        <f t="shared" si="49"/>
        <v>Jan</v>
      </c>
      <c r="E1059" s="7"/>
      <c r="F1059" s="7"/>
      <c r="G1059" s="120"/>
      <c r="H1059" s="120"/>
      <c r="I1059" s="118"/>
      <c r="J1059" s="118"/>
      <c r="K1059" s="115"/>
      <c r="L1059" s="115"/>
      <c r="M1059" s="8"/>
      <c r="N1059" s="8" t="str">
        <f t="shared" si="50"/>
        <v>-</v>
      </c>
      <c r="O1059" s="127"/>
      <c r="P1059" s="127"/>
      <c r="Q1059" s="127"/>
      <c r="R1059" s="127"/>
      <c r="S1059" s="127"/>
      <c r="T1059" s="139"/>
      <c r="U1059" s="158"/>
      <c r="V1059" s="7"/>
      <c r="W1059" s="7"/>
      <c r="X1059" s="146"/>
      <c r="Y1059" s="7"/>
      <c r="Z1059" s="7"/>
      <c r="AA1059" s="7" t="str">
        <f>IFERROR((VLOOKUP(F1059,#REF!,2,FALSE)),"-")</f>
        <v>-</v>
      </c>
      <c r="AB1059" s="119" t="e">
        <f>CONCATENATE(F1059," - ",I1059," - ",#REF!,)</f>
        <v>#REF!</v>
      </c>
    </row>
    <row r="1060" spans="1:28" s="116" customFormat="1" ht="15">
      <c r="A1060" s="114"/>
      <c r="B1060" s="120"/>
      <c r="C1060" s="129" t="str">
        <f t="shared" si="48"/>
        <v>week-0</v>
      </c>
      <c r="D1060" s="120" t="str">
        <f t="shared" si="49"/>
        <v>Jan</v>
      </c>
      <c r="E1060" s="7"/>
      <c r="F1060" s="7"/>
      <c r="G1060" s="120"/>
      <c r="H1060" s="120"/>
      <c r="I1060" s="118"/>
      <c r="J1060" s="118"/>
      <c r="K1060" s="115"/>
      <c r="L1060" s="115"/>
      <c r="M1060" s="8"/>
      <c r="N1060" s="8" t="str">
        <f t="shared" si="50"/>
        <v>-</v>
      </c>
      <c r="O1060" s="126"/>
      <c r="P1060" s="127"/>
      <c r="Q1060" s="127"/>
      <c r="R1060" s="126"/>
      <c r="S1060" s="127"/>
      <c r="T1060" s="8"/>
      <c r="U1060" s="158"/>
      <c r="V1060" s="7"/>
      <c r="W1060" s="7"/>
      <c r="X1060" s="146"/>
      <c r="Y1060" s="7"/>
      <c r="Z1060" s="7"/>
      <c r="AA1060" s="7" t="str">
        <f>IFERROR((VLOOKUP(F1060,#REF!,2,FALSE)),"-")</f>
        <v>-</v>
      </c>
      <c r="AB1060" s="119" t="e">
        <f>CONCATENATE(F1060," - ",I1060," - ",#REF!,)</f>
        <v>#REF!</v>
      </c>
    </row>
    <row r="1061" spans="1:28" s="116" customFormat="1" ht="15">
      <c r="A1061" s="114"/>
      <c r="B1061" s="120"/>
      <c r="C1061" s="129" t="str">
        <f t="shared" si="48"/>
        <v>week-0</v>
      </c>
      <c r="D1061" s="120" t="str">
        <f t="shared" si="49"/>
        <v>Jan</v>
      </c>
      <c r="E1061" s="7"/>
      <c r="F1061" s="7"/>
      <c r="G1061" s="120"/>
      <c r="H1061" s="120"/>
      <c r="I1061" s="118"/>
      <c r="J1061" s="118"/>
      <c r="K1061" s="115"/>
      <c r="L1061" s="115"/>
      <c r="M1061" s="8"/>
      <c r="N1061" s="8" t="str">
        <f t="shared" si="50"/>
        <v>-</v>
      </c>
      <c r="O1061" s="126"/>
      <c r="P1061" s="127"/>
      <c r="Q1061" s="127"/>
      <c r="R1061" s="126"/>
      <c r="S1061" s="127"/>
      <c r="T1061" s="8"/>
      <c r="U1061" s="158"/>
      <c r="V1061" s="7"/>
      <c r="W1061" s="7"/>
      <c r="X1061" s="146"/>
      <c r="Y1061" s="7"/>
      <c r="Z1061" s="7"/>
      <c r="AA1061" s="7" t="str">
        <f>IFERROR((VLOOKUP(F1061,#REF!,2,FALSE)),"-")</f>
        <v>-</v>
      </c>
      <c r="AB1061" s="119" t="e">
        <f>CONCATENATE(F1061," - ",I1061," - ",#REF!,)</f>
        <v>#REF!</v>
      </c>
    </row>
    <row r="1062" spans="1:28" s="116" customFormat="1" ht="15">
      <c r="A1062" s="114"/>
      <c r="B1062" s="120"/>
      <c r="C1062" s="129" t="str">
        <f t="shared" si="48"/>
        <v>week-0</v>
      </c>
      <c r="D1062" s="120" t="str">
        <f t="shared" si="49"/>
        <v>Jan</v>
      </c>
      <c r="E1062" s="7"/>
      <c r="F1062" s="7"/>
      <c r="G1062" s="120"/>
      <c r="H1062" s="120"/>
      <c r="I1062" s="118"/>
      <c r="J1062" s="118"/>
      <c r="K1062" s="115"/>
      <c r="L1062" s="115"/>
      <c r="M1062" s="8"/>
      <c r="N1062" s="8" t="str">
        <f t="shared" si="50"/>
        <v>-</v>
      </c>
      <c r="O1062" s="127"/>
      <c r="P1062" s="127"/>
      <c r="Q1062" s="127"/>
      <c r="R1062" s="127"/>
      <c r="S1062" s="127"/>
      <c r="T1062" s="139"/>
      <c r="U1062" s="158"/>
      <c r="V1062" s="7"/>
      <c r="W1062" s="7"/>
      <c r="X1062" s="146"/>
      <c r="Y1062" s="7"/>
      <c r="Z1062" s="7"/>
      <c r="AA1062" s="7" t="str">
        <f>IFERROR((VLOOKUP(F1062,#REF!,2,FALSE)),"-")</f>
        <v>-</v>
      </c>
      <c r="AB1062" s="119" t="e">
        <f>CONCATENATE(F1062," - ",I1062," - ",#REF!,)</f>
        <v>#REF!</v>
      </c>
    </row>
    <row r="1063" spans="1:28" s="116" customFormat="1" ht="15">
      <c r="A1063" s="114"/>
      <c r="B1063" s="120"/>
      <c r="C1063" s="129" t="str">
        <f t="shared" si="48"/>
        <v>week-0</v>
      </c>
      <c r="D1063" s="120" t="str">
        <f t="shared" si="49"/>
        <v>Jan</v>
      </c>
      <c r="E1063" s="7"/>
      <c r="F1063" s="7"/>
      <c r="G1063" s="120"/>
      <c r="H1063" s="120"/>
      <c r="I1063" s="118"/>
      <c r="J1063" s="118"/>
      <c r="K1063" s="115"/>
      <c r="L1063" s="115"/>
      <c r="M1063" s="8"/>
      <c r="N1063" s="8" t="str">
        <f t="shared" si="50"/>
        <v>-</v>
      </c>
      <c r="O1063" s="126"/>
      <c r="P1063" s="127"/>
      <c r="Q1063" s="127"/>
      <c r="R1063" s="126"/>
      <c r="S1063" s="127"/>
      <c r="T1063" s="8"/>
      <c r="U1063" s="158"/>
      <c r="V1063" s="7"/>
      <c r="W1063" s="7"/>
      <c r="X1063" s="146"/>
      <c r="Y1063" s="7"/>
      <c r="Z1063" s="7"/>
      <c r="AA1063" s="7" t="str">
        <f>IFERROR((VLOOKUP(F1063,#REF!,2,FALSE)),"-")</f>
        <v>-</v>
      </c>
      <c r="AB1063" s="119" t="e">
        <f>CONCATENATE(F1063," - ",I1063," - ",#REF!,)</f>
        <v>#REF!</v>
      </c>
    </row>
    <row r="1064" spans="1:28" s="116" customFormat="1" ht="15">
      <c r="A1064" s="114"/>
      <c r="B1064" s="120"/>
      <c r="C1064" s="129" t="str">
        <f t="shared" si="48"/>
        <v>week-0</v>
      </c>
      <c r="D1064" s="120" t="str">
        <f t="shared" si="49"/>
        <v>Jan</v>
      </c>
      <c r="E1064" s="7"/>
      <c r="F1064" s="7"/>
      <c r="G1064" s="120"/>
      <c r="H1064" s="120"/>
      <c r="I1064" s="118"/>
      <c r="J1064" s="118"/>
      <c r="K1064" s="115"/>
      <c r="L1064" s="115"/>
      <c r="M1064" s="8"/>
      <c r="N1064" s="8" t="str">
        <f t="shared" si="50"/>
        <v>-</v>
      </c>
      <c r="O1064" s="126"/>
      <c r="P1064" s="127"/>
      <c r="Q1064" s="127"/>
      <c r="R1064" s="126"/>
      <c r="S1064" s="127"/>
      <c r="T1064" s="8"/>
      <c r="U1064" s="158"/>
      <c r="V1064" s="7"/>
      <c r="W1064" s="7"/>
      <c r="X1064" s="146"/>
      <c r="Y1064" s="7"/>
      <c r="Z1064" s="7"/>
      <c r="AA1064" s="7" t="str">
        <f>IFERROR((VLOOKUP(F1064,#REF!,2,FALSE)),"-")</f>
        <v>-</v>
      </c>
      <c r="AB1064" s="119" t="e">
        <f>CONCATENATE(F1064," - ",I1064," - ",#REF!,)</f>
        <v>#REF!</v>
      </c>
    </row>
    <row r="1065" spans="1:28" s="116" customFormat="1" ht="15">
      <c r="A1065" s="114"/>
      <c r="B1065" s="120"/>
      <c r="C1065" s="129" t="str">
        <f t="shared" si="48"/>
        <v>week-0</v>
      </c>
      <c r="D1065" s="120" t="str">
        <f t="shared" si="49"/>
        <v>Jan</v>
      </c>
      <c r="E1065" s="7"/>
      <c r="F1065" s="7"/>
      <c r="G1065" s="120"/>
      <c r="H1065" s="120"/>
      <c r="I1065" s="118"/>
      <c r="J1065" s="118"/>
      <c r="K1065" s="115"/>
      <c r="L1065" s="115"/>
      <c r="M1065" s="8"/>
      <c r="N1065" s="8" t="str">
        <f t="shared" si="50"/>
        <v>-</v>
      </c>
      <c r="O1065" s="126"/>
      <c r="P1065" s="127"/>
      <c r="Q1065" s="127"/>
      <c r="R1065" s="126"/>
      <c r="S1065" s="127"/>
      <c r="T1065" s="8"/>
      <c r="U1065" s="158"/>
      <c r="V1065" s="7"/>
      <c r="W1065" s="7"/>
      <c r="X1065" s="146"/>
      <c r="Y1065" s="7"/>
      <c r="Z1065" s="7"/>
      <c r="AA1065" s="7" t="str">
        <f>IFERROR((VLOOKUP(F1065,#REF!,2,FALSE)),"-")</f>
        <v>-</v>
      </c>
      <c r="AB1065" s="119" t="e">
        <f>CONCATENATE(F1065," - ",I1065," - ",#REF!,)</f>
        <v>#REF!</v>
      </c>
    </row>
    <row r="1066" spans="1:28" s="116" customFormat="1" ht="15">
      <c r="A1066" s="114"/>
      <c r="B1066" s="120"/>
      <c r="C1066" s="129" t="str">
        <f t="shared" si="48"/>
        <v>week-0</v>
      </c>
      <c r="D1066" s="120" t="str">
        <f t="shared" si="49"/>
        <v>Jan</v>
      </c>
      <c r="E1066" s="7"/>
      <c r="F1066" s="7"/>
      <c r="G1066" s="120"/>
      <c r="H1066" s="120"/>
      <c r="I1066" s="118"/>
      <c r="J1066" s="118"/>
      <c r="K1066" s="115"/>
      <c r="L1066" s="115"/>
      <c r="M1066" s="8"/>
      <c r="N1066" s="8" t="str">
        <f t="shared" si="50"/>
        <v>-</v>
      </c>
      <c r="O1066" s="126"/>
      <c r="P1066" s="127"/>
      <c r="Q1066" s="127"/>
      <c r="R1066" s="126"/>
      <c r="S1066" s="127"/>
      <c r="T1066" s="8"/>
      <c r="U1066" s="158"/>
      <c r="V1066" s="7"/>
      <c r="W1066" s="7"/>
      <c r="X1066" s="146"/>
      <c r="Y1066" s="7"/>
      <c r="Z1066" s="7"/>
      <c r="AA1066" s="7" t="str">
        <f>IFERROR((VLOOKUP(F1066,#REF!,2,FALSE)),"-")</f>
        <v>-</v>
      </c>
      <c r="AB1066" s="119" t="e">
        <f>CONCATENATE(F1066," - ",I1066," - ",#REF!,)</f>
        <v>#REF!</v>
      </c>
    </row>
    <row r="1067" spans="1:28" s="116" customFormat="1" ht="15">
      <c r="A1067" s="114"/>
      <c r="B1067" s="120"/>
      <c r="C1067" s="129" t="str">
        <f t="shared" si="48"/>
        <v>week-0</v>
      </c>
      <c r="D1067" s="120" t="str">
        <f t="shared" si="49"/>
        <v>Jan</v>
      </c>
      <c r="E1067" s="7"/>
      <c r="F1067" s="7"/>
      <c r="G1067" s="120"/>
      <c r="H1067" s="120"/>
      <c r="I1067" s="118"/>
      <c r="J1067" s="118"/>
      <c r="K1067" s="115"/>
      <c r="L1067" s="115"/>
      <c r="M1067" s="8"/>
      <c r="N1067" s="8" t="str">
        <f t="shared" si="50"/>
        <v>-</v>
      </c>
      <c r="O1067" s="126"/>
      <c r="P1067" s="127"/>
      <c r="Q1067" s="127"/>
      <c r="R1067" s="126"/>
      <c r="S1067" s="127"/>
      <c r="T1067" s="8"/>
      <c r="U1067" s="158"/>
      <c r="V1067" s="7"/>
      <c r="W1067" s="7"/>
      <c r="X1067" s="146"/>
      <c r="Y1067" s="7"/>
      <c r="Z1067" s="7"/>
      <c r="AA1067" s="7" t="str">
        <f>IFERROR((VLOOKUP(F1067,#REF!,2,FALSE)),"-")</f>
        <v>-</v>
      </c>
      <c r="AB1067" s="119" t="e">
        <f>CONCATENATE(F1067," - ",I1067," - ",#REF!,)</f>
        <v>#REF!</v>
      </c>
    </row>
    <row r="1068" spans="1:28" s="116" customFormat="1" ht="15">
      <c r="A1068" s="114"/>
      <c r="B1068" s="120"/>
      <c r="C1068" s="129" t="str">
        <f t="shared" si="48"/>
        <v>week-0</v>
      </c>
      <c r="D1068" s="120" t="str">
        <f t="shared" si="49"/>
        <v>Jan</v>
      </c>
      <c r="E1068" s="7"/>
      <c r="F1068" s="7"/>
      <c r="G1068" s="120"/>
      <c r="H1068" s="120"/>
      <c r="I1068" s="118"/>
      <c r="J1068" s="118"/>
      <c r="K1068" s="115"/>
      <c r="L1068" s="115"/>
      <c r="M1068" s="8"/>
      <c r="N1068" s="8" t="str">
        <f t="shared" si="50"/>
        <v>-</v>
      </c>
      <c r="O1068" s="126"/>
      <c r="P1068" s="127"/>
      <c r="Q1068" s="127"/>
      <c r="R1068" s="126"/>
      <c r="S1068" s="127"/>
      <c r="T1068" s="8"/>
      <c r="U1068" s="158"/>
      <c r="V1068" s="7"/>
      <c r="W1068" s="7"/>
      <c r="X1068" s="146"/>
      <c r="Y1068" s="7"/>
      <c r="Z1068" s="7"/>
      <c r="AA1068" s="7" t="str">
        <f>IFERROR((VLOOKUP(F1068,#REF!,2,FALSE)),"-")</f>
        <v>-</v>
      </c>
      <c r="AB1068" s="119" t="e">
        <f>CONCATENATE(F1068," - ",I1068," - ",#REF!,)</f>
        <v>#REF!</v>
      </c>
    </row>
    <row r="1069" spans="1:28" s="116" customFormat="1" ht="15">
      <c r="A1069" s="114"/>
      <c r="B1069" s="120"/>
      <c r="C1069" s="129" t="str">
        <f t="shared" si="48"/>
        <v>week-0</v>
      </c>
      <c r="D1069" s="120" t="str">
        <f t="shared" si="49"/>
        <v>Jan</v>
      </c>
      <c r="E1069" s="7"/>
      <c r="F1069" s="7"/>
      <c r="G1069" s="120"/>
      <c r="H1069" s="120"/>
      <c r="I1069" s="118"/>
      <c r="J1069" s="118"/>
      <c r="K1069" s="115"/>
      <c r="L1069" s="115"/>
      <c r="M1069" s="8"/>
      <c r="N1069" s="8" t="str">
        <f t="shared" si="50"/>
        <v>-</v>
      </c>
      <c r="O1069" s="126"/>
      <c r="P1069" s="127"/>
      <c r="Q1069" s="127"/>
      <c r="R1069" s="126"/>
      <c r="S1069" s="127"/>
      <c r="T1069" s="8"/>
      <c r="U1069" s="158"/>
      <c r="V1069" s="7"/>
      <c r="W1069" s="7"/>
      <c r="X1069" s="146"/>
      <c r="Y1069" s="7"/>
      <c r="Z1069" s="7"/>
      <c r="AA1069" s="7" t="str">
        <f>IFERROR((VLOOKUP(F1069,#REF!,2,FALSE)),"-")</f>
        <v>-</v>
      </c>
      <c r="AB1069" s="119" t="e">
        <f>CONCATENATE(F1069," - ",I1069," - ",#REF!,)</f>
        <v>#REF!</v>
      </c>
    </row>
    <row r="1070" spans="1:28" s="116" customFormat="1" ht="15">
      <c r="A1070" s="114"/>
      <c r="B1070" s="120"/>
      <c r="C1070" s="129" t="str">
        <f t="shared" si="48"/>
        <v>week-0</v>
      </c>
      <c r="D1070" s="120" t="str">
        <f t="shared" si="49"/>
        <v>Jan</v>
      </c>
      <c r="E1070" s="7"/>
      <c r="F1070" s="7"/>
      <c r="G1070" s="120"/>
      <c r="H1070" s="120"/>
      <c r="I1070" s="118"/>
      <c r="J1070" s="118"/>
      <c r="K1070" s="115"/>
      <c r="L1070" s="115"/>
      <c r="M1070" s="8"/>
      <c r="N1070" s="8" t="str">
        <f t="shared" si="50"/>
        <v>-</v>
      </c>
      <c r="O1070" s="126"/>
      <c r="P1070" s="127"/>
      <c r="Q1070" s="127"/>
      <c r="R1070" s="126"/>
      <c r="S1070" s="127"/>
      <c r="T1070" s="8"/>
      <c r="U1070" s="158"/>
      <c r="V1070" s="7"/>
      <c r="W1070" s="7"/>
      <c r="X1070" s="146"/>
      <c r="Y1070" s="7"/>
      <c r="Z1070" s="7"/>
      <c r="AA1070" s="7" t="str">
        <f>IFERROR((VLOOKUP(F1070,#REF!,2,FALSE)),"-")</f>
        <v>-</v>
      </c>
      <c r="AB1070" s="119" t="e">
        <f>CONCATENATE(F1070," - ",I1070," - ",#REF!,)</f>
        <v>#REF!</v>
      </c>
    </row>
    <row r="1071" spans="1:28" s="116" customFormat="1" ht="15">
      <c r="A1071" s="114"/>
      <c r="B1071" s="120"/>
      <c r="C1071" s="129" t="str">
        <f t="shared" si="48"/>
        <v>week-0</v>
      </c>
      <c r="D1071" s="120" t="str">
        <f t="shared" si="49"/>
        <v>Jan</v>
      </c>
      <c r="E1071" s="7"/>
      <c r="F1071" s="7"/>
      <c r="G1071" s="120"/>
      <c r="H1071" s="120"/>
      <c r="I1071" s="118"/>
      <c r="J1071" s="118"/>
      <c r="K1071" s="115"/>
      <c r="L1071" s="115"/>
      <c r="M1071" s="8"/>
      <c r="N1071" s="8" t="str">
        <f t="shared" si="50"/>
        <v>-</v>
      </c>
      <c r="O1071" s="126"/>
      <c r="P1071" s="127"/>
      <c r="Q1071" s="127"/>
      <c r="R1071" s="126"/>
      <c r="S1071" s="127"/>
      <c r="T1071" s="8"/>
      <c r="U1071" s="158"/>
      <c r="V1071" s="7"/>
      <c r="W1071" s="7"/>
      <c r="X1071" s="146"/>
      <c r="Y1071" s="7"/>
      <c r="Z1071" s="7"/>
      <c r="AA1071" s="7" t="str">
        <f>IFERROR((VLOOKUP(F1071,#REF!,2,FALSE)),"-")</f>
        <v>-</v>
      </c>
      <c r="AB1071" s="119" t="e">
        <f>CONCATENATE(F1071," - ",I1071," - ",#REF!,)</f>
        <v>#REF!</v>
      </c>
    </row>
    <row r="1072" spans="1:28" s="116" customFormat="1" ht="15">
      <c r="A1072" s="114"/>
      <c r="B1072" s="120"/>
      <c r="C1072" s="129" t="str">
        <f t="shared" si="48"/>
        <v>week-0</v>
      </c>
      <c r="D1072" s="120" t="str">
        <f t="shared" si="49"/>
        <v>Jan</v>
      </c>
      <c r="E1072" s="7"/>
      <c r="F1072" s="7"/>
      <c r="G1072" s="120"/>
      <c r="H1072" s="120"/>
      <c r="I1072" s="118"/>
      <c r="J1072" s="118"/>
      <c r="K1072" s="115"/>
      <c r="L1072" s="115"/>
      <c r="M1072" s="8"/>
      <c r="N1072" s="8" t="str">
        <f t="shared" si="50"/>
        <v>-</v>
      </c>
      <c r="O1072" s="127"/>
      <c r="P1072" s="127"/>
      <c r="Q1072" s="127"/>
      <c r="R1072" s="127"/>
      <c r="S1072" s="127"/>
      <c r="T1072" s="139"/>
      <c r="U1072" s="158"/>
      <c r="V1072" s="7"/>
      <c r="W1072" s="7"/>
      <c r="X1072" s="146"/>
      <c r="Y1072" s="7"/>
      <c r="Z1072" s="7"/>
      <c r="AA1072" s="7" t="str">
        <f>IFERROR((VLOOKUP(F1072,#REF!,2,FALSE)),"-")</f>
        <v>-</v>
      </c>
      <c r="AB1072" s="119" t="e">
        <f>CONCATENATE(F1072," - ",I1072," - ",#REF!,)</f>
        <v>#REF!</v>
      </c>
    </row>
    <row r="1073" spans="1:28" s="116" customFormat="1" ht="15">
      <c r="A1073" s="114"/>
      <c r="B1073" s="120"/>
      <c r="C1073" s="129" t="str">
        <f t="shared" si="48"/>
        <v>week-0</v>
      </c>
      <c r="D1073" s="120" t="str">
        <f t="shared" si="49"/>
        <v>Jan</v>
      </c>
      <c r="E1073" s="7"/>
      <c r="F1073" s="7"/>
      <c r="G1073" s="120"/>
      <c r="H1073" s="120"/>
      <c r="I1073" s="118"/>
      <c r="J1073" s="118"/>
      <c r="K1073" s="115"/>
      <c r="L1073" s="115"/>
      <c r="M1073" s="8"/>
      <c r="N1073" s="8" t="str">
        <f t="shared" si="50"/>
        <v>-</v>
      </c>
      <c r="O1073" s="126"/>
      <c r="P1073" s="127"/>
      <c r="Q1073" s="127"/>
      <c r="R1073" s="126"/>
      <c r="S1073" s="127"/>
      <c r="T1073" s="8"/>
      <c r="U1073" s="158"/>
      <c r="V1073" s="7"/>
      <c r="W1073" s="7"/>
      <c r="X1073" s="146"/>
      <c r="Y1073" s="7"/>
      <c r="Z1073" s="7"/>
      <c r="AA1073" s="7" t="str">
        <f>IFERROR((VLOOKUP(F1073,#REF!,2,FALSE)),"-")</f>
        <v>-</v>
      </c>
      <c r="AB1073" s="119" t="e">
        <f>CONCATENATE(F1073," - ",I1073," - ",#REF!,)</f>
        <v>#REF!</v>
      </c>
    </row>
    <row r="1074" spans="1:28" s="116" customFormat="1" ht="15">
      <c r="A1074" s="114"/>
      <c r="B1074" s="120"/>
      <c r="C1074" s="129" t="str">
        <f t="shared" si="48"/>
        <v>week-0</v>
      </c>
      <c r="D1074" s="120" t="str">
        <f t="shared" si="49"/>
        <v>Jan</v>
      </c>
      <c r="E1074" s="7"/>
      <c r="F1074" s="7"/>
      <c r="G1074" s="120"/>
      <c r="H1074" s="120"/>
      <c r="I1074" s="118"/>
      <c r="J1074" s="118"/>
      <c r="K1074" s="115"/>
      <c r="L1074" s="115"/>
      <c r="M1074" s="8"/>
      <c r="N1074" s="8" t="str">
        <f t="shared" si="50"/>
        <v>-</v>
      </c>
      <c r="O1074" s="126"/>
      <c r="P1074" s="127"/>
      <c r="Q1074" s="127"/>
      <c r="R1074" s="126"/>
      <c r="S1074" s="127"/>
      <c r="T1074" s="8"/>
      <c r="U1074" s="158"/>
      <c r="V1074" s="7"/>
      <c r="W1074" s="7"/>
      <c r="X1074" s="146"/>
      <c r="Y1074" s="7"/>
      <c r="Z1074" s="7"/>
      <c r="AA1074" s="7" t="str">
        <f>IFERROR((VLOOKUP(F1074,#REF!,2,FALSE)),"-")</f>
        <v>-</v>
      </c>
      <c r="AB1074" s="119" t="e">
        <f>CONCATENATE(F1074," - ",I1074," - ",#REF!,)</f>
        <v>#REF!</v>
      </c>
    </row>
    <row r="1075" spans="1:28" s="116" customFormat="1" ht="15">
      <c r="A1075" s="114"/>
      <c r="B1075" s="120"/>
      <c r="C1075" s="129" t="str">
        <f t="shared" si="48"/>
        <v>week-0</v>
      </c>
      <c r="D1075" s="120" t="str">
        <f t="shared" si="49"/>
        <v>Jan</v>
      </c>
      <c r="E1075" s="7"/>
      <c r="F1075" s="7"/>
      <c r="G1075" s="120"/>
      <c r="H1075" s="120"/>
      <c r="I1075" s="118"/>
      <c r="J1075" s="118"/>
      <c r="K1075" s="115"/>
      <c r="L1075" s="115"/>
      <c r="M1075" s="8"/>
      <c r="N1075" s="8" t="str">
        <f t="shared" si="50"/>
        <v>-</v>
      </c>
      <c r="O1075" s="126"/>
      <c r="P1075" s="127"/>
      <c r="Q1075" s="127"/>
      <c r="R1075" s="126"/>
      <c r="S1075" s="127"/>
      <c r="T1075" s="8"/>
      <c r="U1075" s="158"/>
      <c r="V1075" s="7"/>
      <c r="W1075" s="7"/>
      <c r="X1075" s="146"/>
      <c r="Y1075" s="7"/>
      <c r="Z1075" s="7"/>
      <c r="AA1075" s="7" t="str">
        <f>IFERROR((VLOOKUP(F1075,#REF!,2,FALSE)),"-")</f>
        <v>-</v>
      </c>
      <c r="AB1075" s="119" t="e">
        <f>CONCATENATE(F1075," - ",I1075," - ",#REF!,)</f>
        <v>#REF!</v>
      </c>
    </row>
    <row r="1076" spans="1:28" s="116" customFormat="1" ht="15">
      <c r="A1076" s="114"/>
      <c r="B1076" s="120"/>
      <c r="C1076" s="129" t="str">
        <f t="shared" si="48"/>
        <v>week-0</v>
      </c>
      <c r="D1076" s="120" t="str">
        <f t="shared" si="49"/>
        <v>Jan</v>
      </c>
      <c r="E1076" s="7"/>
      <c r="F1076" s="7"/>
      <c r="G1076" s="120"/>
      <c r="H1076" s="120"/>
      <c r="I1076" s="118"/>
      <c r="J1076" s="118"/>
      <c r="K1076" s="115"/>
      <c r="L1076" s="115"/>
      <c r="M1076" s="8"/>
      <c r="N1076" s="8" t="str">
        <f t="shared" si="50"/>
        <v>-</v>
      </c>
      <c r="O1076" s="126"/>
      <c r="P1076" s="127"/>
      <c r="Q1076" s="127"/>
      <c r="R1076" s="126"/>
      <c r="S1076" s="127"/>
      <c r="T1076" s="8"/>
      <c r="U1076" s="158"/>
      <c r="V1076" s="7"/>
      <c r="W1076" s="7"/>
      <c r="X1076" s="146"/>
      <c r="Y1076" s="7"/>
      <c r="Z1076" s="7"/>
      <c r="AA1076" s="7" t="str">
        <f>IFERROR((VLOOKUP(F1076,#REF!,2,FALSE)),"-")</f>
        <v>-</v>
      </c>
      <c r="AB1076" s="119" t="e">
        <f>CONCATENATE(F1076," - ",I1076," - ",#REF!,)</f>
        <v>#REF!</v>
      </c>
    </row>
    <row r="1077" spans="1:28" s="116" customFormat="1" ht="15">
      <c r="A1077" s="114"/>
      <c r="B1077" s="120"/>
      <c r="C1077" s="129" t="str">
        <f t="shared" si="48"/>
        <v>week-0</v>
      </c>
      <c r="D1077" s="120" t="str">
        <f t="shared" si="49"/>
        <v>Jan</v>
      </c>
      <c r="E1077" s="84"/>
      <c r="F1077" s="7"/>
      <c r="G1077" s="120"/>
      <c r="H1077" s="120"/>
      <c r="I1077" s="118"/>
      <c r="J1077" s="118"/>
      <c r="K1077" s="115"/>
      <c r="L1077" s="115"/>
      <c r="M1077" s="8"/>
      <c r="N1077" s="8" t="str">
        <f t="shared" si="50"/>
        <v>-</v>
      </c>
      <c r="O1077" s="127"/>
      <c r="P1077" s="127"/>
      <c r="Q1077" s="127"/>
      <c r="R1077" s="127"/>
      <c r="S1077" s="127"/>
      <c r="T1077" s="139"/>
      <c r="U1077" s="158"/>
      <c r="V1077" s="7"/>
      <c r="W1077" s="7"/>
      <c r="X1077" s="146"/>
      <c r="Y1077" s="7"/>
      <c r="Z1077" s="7"/>
      <c r="AA1077" s="7" t="str">
        <f>IFERROR((VLOOKUP(F1077,#REF!,2,FALSE)),"-")</f>
        <v>-</v>
      </c>
      <c r="AB1077" s="119" t="e">
        <f>CONCATENATE(F1077," - ",I1077," - ",#REF!,)</f>
        <v>#REF!</v>
      </c>
    </row>
    <row r="1078" spans="1:28" s="116" customFormat="1" ht="15">
      <c r="A1078" s="114"/>
      <c r="B1078" s="120"/>
      <c r="C1078" s="129" t="str">
        <f t="shared" si="48"/>
        <v>week-0</v>
      </c>
      <c r="D1078" s="120" t="str">
        <f t="shared" si="49"/>
        <v>Jan</v>
      </c>
      <c r="E1078" s="84"/>
      <c r="F1078" s="7"/>
      <c r="G1078" s="120"/>
      <c r="H1078" s="120"/>
      <c r="I1078" s="118"/>
      <c r="J1078" s="118"/>
      <c r="K1078" s="115"/>
      <c r="L1078" s="115"/>
      <c r="M1078" s="8"/>
      <c r="N1078" s="8" t="str">
        <f t="shared" si="50"/>
        <v>-</v>
      </c>
      <c r="O1078" s="126"/>
      <c r="P1078" s="127"/>
      <c r="Q1078" s="127"/>
      <c r="R1078" s="126"/>
      <c r="S1078" s="127"/>
      <c r="T1078" s="8"/>
      <c r="U1078" s="158"/>
      <c r="V1078" s="7"/>
      <c r="W1078" s="7"/>
      <c r="X1078" s="146"/>
      <c r="Y1078" s="7"/>
      <c r="Z1078" s="7"/>
      <c r="AA1078" s="7" t="str">
        <f>IFERROR((VLOOKUP(F1078,#REF!,2,FALSE)),"-")</f>
        <v>-</v>
      </c>
      <c r="AB1078" s="119" t="e">
        <f>CONCATENATE(F1078," - ",I1078," - ",#REF!,)</f>
        <v>#REF!</v>
      </c>
    </row>
    <row r="1079" spans="1:28" s="116" customFormat="1" ht="15">
      <c r="A1079" s="114"/>
      <c r="B1079" s="120"/>
      <c r="C1079" s="129" t="str">
        <f t="shared" si="48"/>
        <v>week-0</v>
      </c>
      <c r="D1079" s="120" t="str">
        <f t="shared" si="49"/>
        <v>Jan</v>
      </c>
      <c r="E1079" s="84"/>
      <c r="F1079" s="7"/>
      <c r="G1079" s="120"/>
      <c r="H1079" s="120"/>
      <c r="I1079" s="118"/>
      <c r="J1079" s="118"/>
      <c r="K1079" s="115"/>
      <c r="L1079" s="115"/>
      <c r="M1079" s="8"/>
      <c r="N1079" s="8" t="str">
        <f t="shared" si="50"/>
        <v>-</v>
      </c>
      <c r="O1079" s="126"/>
      <c r="P1079" s="127"/>
      <c r="Q1079" s="127"/>
      <c r="R1079" s="126"/>
      <c r="S1079" s="127"/>
      <c r="T1079" s="8"/>
      <c r="U1079" s="158"/>
      <c r="V1079" s="7"/>
      <c r="W1079" s="7"/>
      <c r="X1079" s="146"/>
      <c r="Y1079" s="7"/>
      <c r="Z1079" s="7"/>
      <c r="AA1079" s="7" t="str">
        <f>IFERROR((VLOOKUP(F1079,#REF!,2,FALSE)),"-")</f>
        <v>-</v>
      </c>
      <c r="AB1079" s="119" t="e">
        <f>CONCATENATE(F1079," - ",I1079," - ",#REF!,)</f>
        <v>#REF!</v>
      </c>
    </row>
    <row r="1080" spans="1:28" s="116" customFormat="1" ht="15">
      <c r="A1080" s="114"/>
      <c r="B1080" s="120"/>
      <c r="C1080" s="129" t="str">
        <f t="shared" si="48"/>
        <v>week-0</v>
      </c>
      <c r="D1080" s="120" t="str">
        <f t="shared" si="49"/>
        <v>Jan</v>
      </c>
      <c r="E1080" s="84"/>
      <c r="F1080" s="7"/>
      <c r="G1080" s="120"/>
      <c r="H1080" s="120"/>
      <c r="I1080" s="118"/>
      <c r="J1080" s="118"/>
      <c r="K1080" s="115"/>
      <c r="L1080" s="115"/>
      <c r="M1080" s="8"/>
      <c r="N1080" s="8" t="str">
        <f t="shared" si="50"/>
        <v>-</v>
      </c>
      <c r="O1080" s="126"/>
      <c r="P1080" s="127"/>
      <c r="Q1080" s="127"/>
      <c r="R1080" s="126"/>
      <c r="S1080" s="127"/>
      <c r="T1080" s="8"/>
      <c r="U1080" s="158"/>
      <c r="V1080" s="7"/>
      <c r="W1080" s="7"/>
      <c r="X1080" s="146"/>
      <c r="Y1080" s="7"/>
      <c r="Z1080" s="7"/>
      <c r="AA1080" s="7" t="str">
        <f>IFERROR((VLOOKUP(F1080,#REF!,2,FALSE)),"-")</f>
        <v>-</v>
      </c>
      <c r="AB1080" s="119" t="e">
        <f>CONCATENATE(F1080," - ",I1080," - ",#REF!,)</f>
        <v>#REF!</v>
      </c>
    </row>
    <row r="1081" spans="1:28" s="116" customFormat="1" ht="15">
      <c r="A1081" s="114"/>
      <c r="B1081" s="120"/>
      <c r="C1081" s="129" t="str">
        <f t="shared" si="48"/>
        <v>week-0</v>
      </c>
      <c r="D1081" s="120" t="str">
        <f t="shared" si="49"/>
        <v>Jan</v>
      </c>
      <c r="E1081" s="84"/>
      <c r="F1081" s="7"/>
      <c r="G1081" s="120"/>
      <c r="H1081" s="120"/>
      <c r="I1081" s="118"/>
      <c r="J1081" s="118"/>
      <c r="K1081" s="115"/>
      <c r="L1081" s="115"/>
      <c r="M1081" s="8"/>
      <c r="N1081" s="8" t="str">
        <f t="shared" si="50"/>
        <v>-</v>
      </c>
      <c r="O1081" s="126"/>
      <c r="P1081" s="127"/>
      <c r="Q1081" s="127"/>
      <c r="R1081" s="126"/>
      <c r="S1081" s="127"/>
      <c r="T1081" s="8"/>
      <c r="U1081" s="158"/>
      <c r="V1081" s="7"/>
      <c r="W1081" s="7"/>
      <c r="X1081" s="146"/>
      <c r="Y1081" s="7"/>
      <c r="Z1081" s="7"/>
      <c r="AA1081" s="7" t="str">
        <f>IFERROR((VLOOKUP(F1081,#REF!,2,FALSE)),"-")</f>
        <v>-</v>
      </c>
      <c r="AB1081" s="119" t="e">
        <f>CONCATENATE(F1081," - ",I1081," - ",#REF!,)</f>
        <v>#REF!</v>
      </c>
    </row>
    <row r="1082" spans="1:28" s="116" customFormat="1" ht="15">
      <c r="A1082" s="114"/>
      <c r="B1082" s="120"/>
      <c r="C1082" s="129" t="str">
        <f t="shared" si="48"/>
        <v>week-0</v>
      </c>
      <c r="D1082" s="120" t="str">
        <f t="shared" si="49"/>
        <v>Jan</v>
      </c>
      <c r="E1082" s="84"/>
      <c r="F1082" s="7"/>
      <c r="G1082" s="120"/>
      <c r="H1082" s="120"/>
      <c r="I1082" s="118"/>
      <c r="J1082" s="118"/>
      <c r="K1082" s="115"/>
      <c r="L1082" s="115"/>
      <c r="M1082" s="8"/>
      <c r="N1082" s="8" t="str">
        <f t="shared" si="50"/>
        <v>-</v>
      </c>
      <c r="O1082" s="126"/>
      <c r="P1082" s="127"/>
      <c r="Q1082" s="127"/>
      <c r="R1082" s="126"/>
      <c r="S1082" s="127"/>
      <c r="T1082" s="8"/>
      <c r="U1082" s="158"/>
      <c r="V1082" s="7"/>
      <c r="W1082" s="7"/>
      <c r="X1082" s="146"/>
      <c r="Y1082" s="7"/>
      <c r="Z1082" s="7"/>
      <c r="AA1082" s="7" t="str">
        <f>IFERROR((VLOOKUP(F1082,#REF!,2,FALSE)),"-")</f>
        <v>-</v>
      </c>
      <c r="AB1082" s="119" t="e">
        <f>CONCATENATE(F1082," - ",I1082," - ",#REF!,)</f>
        <v>#REF!</v>
      </c>
    </row>
    <row r="1083" spans="1:28" s="116" customFormat="1" ht="15">
      <c r="A1083" s="114"/>
      <c r="B1083" s="120"/>
      <c r="C1083" s="129" t="str">
        <f t="shared" si="48"/>
        <v>week-0</v>
      </c>
      <c r="D1083" s="120" t="str">
        <f t="shared" si="49"/>
        <v>Jan</v>
      </c>
      <c r="E1083" s="84"/>
      <c r="F1083" s="7"/>
      <c r="G1083" s="120"/>
      <c r="H1083" s="120"/>
      <c r="I1083" s="118"/>
      <c r="J1083" s="118"/>
      <c r="K1083" s="115"/>
      <c r="L1083" s="115"/>
      <c r="M1083" s="8"/>
      <c r="N1083" s="8" t="str">
        <f t="shared" si="50"/>
        <v>-</v>
      </c>
      <c r="O1083" s="127"/>
      <c r="P1083" s="127"/>
      <c r="Q1083" s="127"/>
      <c r="R1083" s="127"/>
      <c r="S1083" s="127"/>
      <c r="T1083" s="139"/>
      <c r="U1083" s="158"/>
      <c r="V1083" s="7"/>
      <c r="W1083" s="7"/>
      <c r="X1083" s="146"/>
      <c r="Y1083" s="7"/>
      <c r="Z1083" s="7"/>
      <c r="AA1083" s="7" t="str">
        <f>IFERROR((VLOOKUP(F1083,#REF!,2,FALSE)),"-")</f>
        <v>-</v>
      </c>
      <c r="AB1083" s="119" t="e">
        <f>CONCATENATE(F1083," - ",I1083," - ",#REF!,)</f>
        <v>#REF!</v>
      </c>
    </row>
    <row r="1084" spans="1:28" s="116" customFormat="1" ht="15">
      <c r="A1084" s="114"/>
      <c r="B1084" s="120"/>
      <c r="C1084" s="129" t="str">
        <f t="shared" si="48"/>
        <v>week-0</v>
      </c>
      <c r="D1084" s="120" t="str">
        <f t="shared" si="49"/>
        <v>Jan</v>
      </c>
      <c r="E1084" s="84"/>
      <c r="F1084" s="7"/>
      <c r="G1084" s="120"/>
      <c r="H1084" s="120"/>
      <c r="I1084" s="118"/>
      <c r="J1084" s="118"/>
      <c r="K1084" s="115"/>
      <c r="L1084" s="115"/>
      <c r="M1084" s="8"/>
      <c r="N1084" s="8" t="str">
        <f t="shared" si="50"/>
        <v>-</v>
      </c>
      <c r="O1084" s="126"/>
      <c r="P1084" s="127"/>
      <c r="Q1084" s="127"/>
      <c r="R1084" s="126"/>
      <c r="S1084" s="127"/>
      <c r="T1084" s="8"/>
      <c r="U1084" s="158"/>
      <c r="V1084" s="7"/>
      <c r="W1084" s="7"/>
      <c r="X1084" s="146"/>
      <c r="Y1084" s="7"/>
      <c r="Z1084" s="7"/>
      <c r="AA1084" s="7" t="str">
        <f>IFERROR((VLOOKUP(F1084,#REF!,2,FALSE)),"-")</f>
        <v>-</v>
      </c>
      <c r="AB1084" s="119" t="e">
        <f>CONCATENATE(F1084," - ",I1084," - ",#REF!,)</f>
        <v>#REF!</v>
      </c>
    </row>
    <row r="1085" spans="1:28" s="116" customFormat="1" ht="15">
      <c r="A1085" s="114"/>
      <c r="B1085" s="120"/>
      <c r="C1085" s="129" t="str">
        <f t="shared" si="48"/>
        <v>week-0</v>
      </c>
      <c r="D1085" s="120" t="str">
        <f t="shared" si="49"/>
        <v>Jan</v>
      </c>
      <c r="E1085" s="7"/>
      <c r="F1085" s="7"/>
      <c r="G1085" s="120"/>
      <c r="H1085" s="120"/>
      <c r="I1085" s="118"/>
      <c r="J1085" s="118"/>
      <c r="K1085" s="115"/>
      <c r="L1085" s="115"/>
      <c r="M1085" s="8"/>
      <c r="N1085" s="8" t="str">
        <f t="shared" si="50"/>
        <v>-</v>
      </c>
      <c r="O1085" s="126"/>
      <c r="P1085" s="127"/>
      <c r="Q1085" s="127"/>
      <c r="R1085" s="126"/>
      <c r="S1085" s="127"/>
      <c r="T1085" s="8"/>
      <c r="U1085" s="158"/>
      <c r="V1085" s="7"/>
      <c r="W1085" s="7"/>
      <c r="X1085" s="146"/>
      <c r="Y1085" s="7"/>
      <c r="Z1085" s="7"/>
      <c r="AA1085" s="7" t="str">
        <f>IFERROR((VLOOKUP(F1085,#REF!,2,FALSE)),"-")</f>
        <v>-</v>
      </c>
      <c r="AB1085" s="119" t="e">
        <f>CONCATENATE(F1085," - ",I1085," - ",#REF!,)</f>
        <v>#REF!</v>
      </c>
    </row>
    <row r="1086" spans="1:28" s="116" customFormat="1" ht="15">
      <c r="A1086" s="114"/>
      <c r="B1086" s="120"/>
      <c r="C1086" s="129" t="str">
        <f t="shared" si="48"/>
        <v>week-0</v>
      </c>
      <c r="D1086" s="120" t="str">
        <f t="shared" si="49"/>
        <v>Jan</v>
      </c>
      <c r="E1086" s="7"/>
      <c r="F1086" s="7"/>
      <c r="G1086" s="120"/>
      <c r="H1086" s="120"/>
      <c r="I1086" s="118"/>
      <c r="J1086" s="118"/>
      <c r="K1086" s="115"/>
      <c r="L1086" s="115"/>
      <c r="M1086" s="8"/>
      <c r="N1086" s="8" t="str">
        <f t="shared" si="50"/>
        <v>-</v>
      </c>
      <c r="O1086" s="126"/>
      <c r="P1086" s="127"/>
      <c r="Q1086" s="127"/>
      <c r="R1086" s="126"/>
      <c r="S1086" s="127"/>
      <c r="T1086" s="8"/>
      <c r="U1086" s="158"/>
      <c r="V1086" s="7"/>
      <c r="W1086" s="7"/>
      <c r="X1086" s="146"/>
      <c r="Y1086" s="7"/>
      <c r="Z1086" s="7"/>
      <c r="AA1086" s="7" t="str">
        <f>IFERROR((VLOOKUP(F1086,#REF!,2,FALSE)),"-")</f>
        <v>-</v>
      </c>
      <c r="AB1086" s="119" t="e">
        <f>CONCATENATE(F1086," - ",I1086," - ",#REF!,)</f>
        <v>#REF!</v>
      </c>
    </row>
    <row r="1087" spans="1:28" s="116" customFormat="1" ht="15">
      <c r="A1087" s="114"/>
      <c r="B1087" s="120"/>
      <c r="C1087" s="129" t="str">
        <f t="shared" si="48"/>
        <v>week-0</v>
      </c>
      <c r="D1087" s="120" t="str">
        <f t="shared" si="49"/>
        <v>Jan</v>
      </c>
      <c r="E1087" s="7"/>
      <c r="F1087" s="7"/>
      <c r="G1087" s="120"/>
      <c r="H1087" s="120"/>
      <c r="I1087" s="118"/>
      <c r="J1087" s="118"/>
      <c r="K1087" s="115"/>
      <c r="L1087" s="115"/>
      <c r="M1087" s="8"/>
      <c r="N1087" s="8" t="str">
        <f t="shared" si="50"/>
        <v>-</v>
      </c>
      <c r="O1087" s="126"/>
      <c r="P1087" s="127"/>
      <c r="Q1087" s="127"/>
      <c r="R1087" s="126"/>
      <c r="S1087" s="127"/>
      <c r="T1087" s="8"/>
      <c r="U1087" s="158"/>
      <c r="V1087" s="7"/>
      <c r="W1087" s="7"/>
      <c r="X1087" s="146"/>
      <c r="Y1087" s="7"/>
      <c r="Z1087" s="7"/>
      <c r="AA1087" s="7" t="str">
        <f>IFERROR((VLOOKUP(F1087,#REF!,2,FALSE)),"-")</f>
        <v>-</v>
      </c>
      <c r="AB1087" s="119" t="e">
        <f>CONCATENATE(F1087," - ",I1087," - ",#REF!,)</f>
        <v>#REF!</v>
      </c>
    </row>
    <row r="1088" spans="1:28" s="116" customFormat="1" ht="15">
      <c r="A1088" s="114"/>
      <c r="B1088" s="120"/>
      <c r="C1088" s="129" t="str">
        <f t="shared" si="48"/>
        <v>week-0</v>
      </c>
      <c r="D1088" s="120" t="str">
        <f t="shared" si="49"/>
        <v>Jan</v>
      </c>
      <c r="E1088" s="7"/>
      <c r="F1088" s="7"/>
      <c r="G1088" s="120"/>
      <c r="H1088" s="120"/>
      <c r="I1088" s="118"/>
      <c r="J1088" s="118"/>
      <c r="K1088" s="115"/>
      <c r="L1088" s="115"/>
      <c r="M1088" s="8"/>
      <c r="N1088" s="8" t="str">
        <f t="shared" si="50"/>
        <v>-</v>
      </c>
      <c r="O1088" s="126"/>
      <c r="P1088" s="127"/>
      <c r="Q1088" s="127"/>
      <c r="R1088" s="126"/>
      <c r="S1088" s="127"/>
      <c r="T1088" s="8"/>
      <c r="U1088" s="158"/>
      <c r="V1088" s="7"/>
      <c r="W1088" s="7"/>
      <c r="X1088" s="146"/>
      <c r="Y1088" s="7"/>
      <c r="Z1088" s="7"/>
      <c r="AA1088" s="7" t="str">
        <f>IFERROR((VLOOKUP(F1088,#REF!,2,FALSE)),"-")</f>
        <v>-</v>
      </c>
      <c r="AB1088" s="119" t="e">
        <f>CONCATENATE(F1088," - ",I1088," - ",#REF!,)</f>
        <v>#REF!</v>
      </c>
    </row>
    <row r="1089" spans="1:28" s="116" customFormat="1" ht="15">
      <c r="A1089" s="114"/>
      <c r="B1089" s="120"/>
      <c r="C1089" s="129" t="str">
        <f t="shared" si="48"/>
        <v>week-0</v>
      </c>
      <c r="D1089" s="120" t="str">
        <f t="shared" si="49"/>
        <v>Jan</v>
      </c>
      <c r="E1089" s="7"/>
      <c r="F1089" s="7"/>
      <c r="G1089" s="120"/>
      <c r="H1089" s="120"/>
      <c r="I1089" s="118"/>
      <c r="J1089" s="118"/>
      <c r="K1089" s="115"/>
      <c r="L1089" s="115"/>
      <c r="M1089" s="8"/>
      <c r="N1089" s="8" t="str">
        <f t="shared" si="50"/>
        <v>-</v>
      </c>
      <c r="O1089" s="126"/>
      <c r="P1089" s="127"/>
      <c r="Q1089" s="127"/>
      <c r="R1089" s="126"/>
      <c r="S1089" s="127"/>
      <c r="T1089" s="8"/>
      <c r="U1089" s="158"/>
      <c r="V1089" s="7"/>
      <c r="W1089" s="7"/>
      <c r="X1089" s="146"/>
      <c r="Y1089" s="7"/>
      <c r="Z1089" s="7"/>
      <c r="AA1089" s="7" t="str">
        <f>IFERROR((VLOOKUP(F1089,#REF!,2,FALSE)),"-")</f>
        <v>-</v>
      </c>
      <c r="AB1089" s="119" t="e">
        <f>CONCATENATE(F1089," - ",I1089," - ",#REF!,)</f>
        <v>#REF!</v>
      </c>
    </row>
    <row r="1090" spans="1:28" s="116" customFormat="1" ht="15">
      <c r="A1090" s="114"/>
      <c r="B1090" s="120"/>
      <c r="C1090" s="129" t="str">
        <f t="shared" si="48"/>
        <v>week-0</v>
      </c>
      <c r="D1090" s="120" t="str">
        <f t="shared" si="49"/>
        <v>Jan</v>
      </c>
      <c r="E1090" s="84"/>
      <c r="F1090" s="7"/>
      <c r="G1090" s="120"/>
      <c r="H1090" s="120"/>
      <c r="I1090" s="118"/>
      <c r="J1090" s="118"/>
      <c r="K1090" s="115"/>
      <c r="L1090" s="115"/>
      <c r="M1090" s="8"/>
      <c r="N1090" s="8" t="str">
        <f t="shared" si="50"/>
        <v>-</v>
      </c>
      <c r="O1090" s="126"/>
      <c r="P1090" s="127"/>
      <c r="Q1090" s="127"/>
      <c r="R1090" s="126"/>
      <c r="S1090" s="127"/>
      <c r="T1090" s="8"/>
      <c r="U1090" s="158"/>
      <c r="V1090" s="7"/>
      <c r="W1090" s="7"/>
      <c r="X1090" s="146"/>
      <c r="Y1090" s="7"/>
      <c r="Z1090" s="7"/>
      <c r="AA1090" s="7" t="str">
        <f>IFERROR((VLOOKUP(F1090,#REF!,2,FALSE)),"-")</f>
        <v>-</v>
      </c>
      <c r="AB1090" s="119" t="e">
        <f>CONCATENATE(F1090," - ",I1090," - ",#REF!,)</f>
        <v>#REF!</v>
      </c>
    </row>
    <row r="1091" spans="1:28" s="116" customFormat="1" ht="15">
      <c r="A1091" s="114"/>
      <c r="B1091" s="120"/>
      <c r="C1091" s="129" t="str">
        <f t="shared" si="48"/>
        <v>week-0</v>
      </c>
      <c r="D1091" s="120" t="str">
        <f t="shared" si="49"/>
        <v>Jan</v>
      </c>
      <c r="E1091" s="7"/>
      <c r="F1091" s="7"/>
      <c r="G1091" s="120"/>
      <c r="H1091" s="120"/>
      <c r="I1091" s="118"/>
      <c r="J1091" s="118"/>
      <c r="K1091" s="115"/>
      <c r="L1091" s="115"/>
      <c r="M1091" s="8"/>
      <c r="N1091" s="8" t="str">
        <f t="shared" si="50"/>
        <v>-</v>
      </c>
      <c r="O1091" s="126"/>
      <c r="P1091" s="127"/>
      <c r="Q1091" s="127"/>
      <c r="R1091" s="126"/>
      <c r="S1091" s="127"/>
      <c r="T1091" s="8"/>
      <c r="U1091" s="158"/>
      <c r="V1091" s="7"/>
      <c r="W1091" s="7"/>
      <c r="X1091" s="146"/>
      <c r="Y1091" s="7"/>
      <c r="Z1091" s="7"/>
      <c r="AA1091" s="7" t="str">
        <f>IFERROR((VLOOKUP(F1091,#REF!,2,FALSE)),"-")</f>
        <v>-</v>
      </c>
      <c r="AB1091" s="119" t="e">
        <f>CONCATENATE(F1091," - ",I1091," - ",#REF!,)</f>
        <v>#REF!</v>
      </c>
    </row>
    <row r="1092" spans="1:28" s="116" customFormat="1" ht="15">
      <c r="A1092" s="114"/>
      <c r="B1092" s="120"/>
      <c r="C1092" s="129" t="str">
        <f t="shared" ref="C1092:C1155" si="51">"week-"&amp;WEEKNUM(B1092)</f>
        <v>week-0</v>
      </c>
      <c r="D1092" s="120" t="str">
        <f t="shared" ref="D1092:D1155" si="52">TEXT(B1092,"mmm")</f>
        <v>Jan</v>
      </c>
      <c r="E1092" s="7"/>
      <c r="F1092" s="7"/>
      <c r="G1092" s="120"/>
      <c r="H1092" s="120"/>
      <c r="I1092" s="118"/>
      <c r="J1092" s="118"/>
      <c r="K1092" s="115"/>
      <c r="L1092" s="115"/>
      <c r="M1092" s="8"/>
      <c r="N1092" s="8" t="str">
        <f t="shared" ref="N1092:N1155" si="53">IF(ISBLANK(M1092),"-",(M1092/60))</f>
        <v>-</v>
      </c>
      <c r="O1092" s="126"/>
      <c r="P1092" s="127"/>
      <c r="Q1092" s="127"/>
      <c r="R1092" s="126"/>
      <c r="S1092" s="127"/>
      <c r="T1092" s="8"/>
      <c r="U1092" s="158"/>
      <c r="V1092" s="7"/>
      <c r="W1092" s="7"/>
      <c r="X1092" s="146"/>
      <c r="Y1092" s="7"/>
      <c r="Z1092" s="7"/>
      <c r="AA1092" s="7" t="str">
        <f>IFERROR((VLOOKUP(F1092,#REF!,2,FALSE)),"-")</f>
        <v>-</v>
      </c>
      <c r="AB1092" s="119" t="e">
        <f>CONCATENATE(F1092," - ",I1092," - ",#REF!,)</f>
        <v>#REF!</v>
      </c>
    </row>
    <row r="1093" spans="1:28" s="116" customFormat="1" ht="15">
      <c r="A1093" s="114"/>
      <c r="B1093" s="120"/>
      <c r="C1093" s="129" t="str">
        <f t="shared" si="51"/>
        <v>week-0</v>
      </c>
      <c r="D1093" s="120" t="str">
        <f t="shared" si="52"/>
        <v>Jan</v>
      </c>
      <c r="E1093" s="7"/>
      <c r="F1093" s="7"/>
      <c r="G1093" s="120"/>
      <c r="H1093" s="120"/>
      <c r="I1093" s="118"/>
      <c r="J1093" s="118"/>
      <c r="K1093" s="115"/>
      <c r="L1093" s="115"/>
      <c r="M1093" s="8"/>
      <c r="N1093" s="8" t="str">
        <f t="shared" si="53"/>
        <v>-</v>
      </c>
      <c r="O1093" s="126"/>
      <c r="P1093" s="127"/>
      <c r="Q1093" s="127"/>
      <c r="R1093" s="126"/>
      <c r="S1093" s="127"/>
      <c r="T1093" s="8"/>
      <c r="U1093" s="158"/>
      <c r="V1093" s="7"/>
      <c r="W1093" s="7"/>
      <c r="X1093" s="146"/>
      <c r="Y1093" s="7"/>
      <c r="Z1093" s="7"/>
      <c r="AA1093" s="7" t="str">
        <f>IFERROR((VLOOKUP(F1093,#REF!,2,FALSE)),"-")</f>
        <v>-</v>
      </c>
      <c r="AB1093" s="119" t="e">
        <f>CONCATENATE(F1093," - ",I1093," - ",#REF!,)</f>
        <v>#REF!</v>
      </c>
    </row>
    <row r="1094" spans="1:28" s="116" customFormat="1" ht="15">
      <c r="A1094" s="114"/>
      <c r="B1094" s="120"/>
      <c r="C1094" s="129" t="str">
        <f t="shared" si="51"/>
        <v>week-0</v>
      </c>
      <c r="D1094" s="120" t="str">
        <f t="shared" si="52"/>
        <v>Jan</v>
      </c>
      <c r="E1094" s="7"/>
      <c r="F1094" s="7"/>
      <c r="G1094" s="120"/>
      <c r="H1094" s="120"/>
      <c r="I1094" s="118"/>
      <c r="J1094" s="118"/>
      <c r="K1094" s="115"/>
      <c r="L1094" s="115"/>
      <c r="M1094" s="8"/>
      <c r="N1094" s="8" t="str">
        <f t="shared" si="53"/>
        <v>-</v>
      </c>
      <c r="O1094" s="126"/>
      <c r="P1094" s="127"/>
      <c r="Q1094" s="127"/>
      <c r="R1094" s="126"/>
      <c r="S1094" s="127"/>
      <c r="T1094" s="8"/>
      <c r="U1094" s="158"/>
      <c r="V1094" s="7"/>
      <c r="W1094" s="7"/>
      <c r="X1094" s="146"/>
      <c r="Y1094" s="7"/>
      <c r="Z1094" s="7"/>
      <c r="AA1094" s="7" t="str">
        <f>IFERROR((VLOOKUP(F1094,#REF!,2,FALSE)),"-")</f>
        <v>-</v>
      </c>
      <c r="AB1094" s="119" t="e">
        <f>CONCATENATE(F1094," - ",I1094," - ",#REF!,)</f>
        <v>#REF!</v>
      </c>
    </row>
    <row r="1095" spans="1:28" s="116" customFormat="1" ht="15">
      <c r="A1095" s="114"/>
      <c r="B1095" s="120"/>
      <c r="C1095" s="129" t="str">
        <f t="shared" si="51"/>
        <v>week-0</v>
      </c>
      <c r="D1095" s="120" t="str">
        <f t="shared" si="52"/>
        <v>Jan</v>
      </c>
      <c r="E1095" s="7"/>
      <c r="F1095" s="7"/>
      <c r="G1095" s="120"/>
      <c r="H1095" s="120"/>
      <c r="I1095" s="118"/>
      <c r="J1095" s="118"/>
      <c r="K1095" s="115"/>
      <c r="L1095" s="115"/>
      <c r="M1095" s="8"/>
      <c r="N1095" s="8" t="str">
        <f t="shared" si="53"/>
        <v>-</v>
      </c>
      <c r="O1095" s="126"/>
      <c r="P1095" s="127"/>
      <c r="Q1095" s="127"/>
      <c r="R1095" s="126"/>
      <c r="S1095" s="127"/>
      <c r="T1095" s="8"/>
      <c r="U1095" s="158"/>
      <c r="V1095" s="7"/>
      <c r="W1095" s="7"/>
      <c r="X1095" s="146"/>
      <c r="Y1095" s="7"/>
      <c r="Z1095" s="7"/>
      <c r="AA1095" s="7" t="str">
        <f>IFERROR((VLOOKUP(F1095,#REF!,2,FALSE)),"-")</f>
        <v>-</v>
      </c>
      <c r="AB1095" s="119" t="e">
        <f>CONCATENATE(F1095," - ",I1095," - ",#REF!,)</f>
        <v>#REF!</v>
      </c>
    </row>
    <row r="1096" spans="1:28" s="116" customFormat="1" ht="15">
      <c r="A1096" s="114"/>
      <c r="B1096" s="120"/>
      <c r="C1096" s="129" t="str">
        <f t="shared" si="51"/>
        <v>week-0</v>
      </c>
      <c r="D1096" s="120" t="str">
        <f t="shared" si="52"/>
        <v>Jan</v>
      </c>
      <c r="E1096" s="7"/>
      <c r="F1096" s="7"/>
      <c r="G1096" s="120"/>
      <c r="H1096" s="120"/>
      <c r="I1096" s="118"/>
      <c r="J1096" s="118"/>
      <c r="K1096" s="115"/>
      <c r="L1096" s="115"/>
      <c r="M1096" s="8"/>
      <c r="N1096" s="8" t="str">
        <f t="shared" si="53"/>
        <v>-</v>
      </c>
      <c r="O1096" s="126"/>
      <c r="P1096" s="127"/>
      <c r="Q1096" s="127"/>
      <c r="R1096" s="126"/>
      <c r="S1096" s="127"/>
      <c r="T1096" s="8"/>
      <c r="U1096" s="158"/>
      <c r="V1096" s="7"/>
      <c r="W1096" s="7"/>
      <c r="X1096" s="146"/>
      <c r="Y1096" s="7"/>
      <c r="Z1096" s="7"/>
      <c r="AA1096" s="7" t="str">
        <f>IFERROR((VLOOKUP(F1096,#REF!,2,FALSE)),"-")</f>
        <v>-</v>
      </c>
      <c r="AB1096" s="119" t="e">
        <f>CONCATENATE(F1096," - ",I1096," - ",#REF!,)</f>
        <v>#REF!</v>
      </c>
    </row>
    <row r="1097" spans="1:28" s="116" customFormat="1" ht="15">
      <c r="A1097" s="114"/>
      <c r="B1097" s="120"/>
      <c r="C1097" s="129" t="str">
        <f t="shared" si="51"/>
        <v>week-0</v>
      </c>
      <c r="D1097" s="120" t="str">
        <f t="shared" si="52"/>
        <v>Jan</v>
      </c>
      <c r="E1097" s="7"/>
      <c r="F1097" s="7"/>
      <c r="G1097" s="120"/>
      <c r="H1097" s="120"/>
      <c r="I1097" s="118"/>
      <c r="J1097" s="118"/>
      <c r="K1097" s="115"/>
      <c r="L1097" s="115"/>
      <c r="M1097" s="8"/>
      <c r="N1097" s="8" t="str">
        <f t="shared" si="53"/>
        <v>-</v>
      </c>
      <c r="O1097" s="126"/>
      <c r="P1097" s="127"/>
      <c r="Q1097" s="127"/>
      <c r="R1097" s="126"/>
      <c r="S1097" s="127"/>
      <c r="T1097" s="8"/>
      <c r="U1097" s="158"/>
      <c r="V1097" s="7"/>
      <c r="W1097" s="7"/>
      <c r="X1097" s="146"/>
      <c r="Y1097" s="7"/>
      <c r="Z1097" s="7"/>
      <c r="AA1097" s="7" t="str">
        <f>IFERROR((VLOOKUP(F1097,#REF!,2,FALSE)),"-")</f>
        <v>-</v>
      </c>
      <c r="AB1097" s="119" t="e">
        <f>CONCATENATE(F1097," - ",I1097," - ",#REF!,)</f>
        <v>#REF!</v>
      </c>
    </row>
    <row r="1098" spans="1:28" s="116" customFormat="1" ht="15">
      <c r="A1098" s="114"/>
      <c r="B1098" s="120"/>
      <c r="C1098" s="129" t="str">
        <f t="shared" si="51"/>
        <v>week-0</v>
      </c>
      <c r="D1098" s="120" t="str">
        <f t="shared" si="52"/>
        <v>Jan</v>
      </c>
      <c r="E1098" s="7"/>
      <c r="F1098" s="7"/>
      <c r="G1098" s="120"/>
      <c r="H1098" s="120"/>
      <c r="I1098" s="118"/>
      <c r="J1098" s="118"/>
      <c r="K1098" s="115"/>
      <c r="L1098" s="115"/>
      <c r="M1098" s="8"/>
      <c r="N1098" s="8" t="str">
        <f t="shared" si="53"/>
        <v>-</v>
      </c>
      <c r="O1098" s="126"/>
      <c r="P1098" s="127"/>
      <c r="Q1098" s="127"/>
      <c r="R1098" s="126"/>
      <c r="S1098" s="127"/>
      <c r="T1098" s="8"/>
      <c r="U1098" s="158"/>
      <c r="V1098" s="7"/>
      <c r="W1098" s="7"/>
      <c r="X1098" s="146"/>
      <c r="Y1098" s="7"/>
      <c r="Z1098" s="7"/>
      <c r="AA1098" s="7" t="str">
        <f>IFERROR((VLOOKUP(F1098,#REF!,2,FALSE)),"-")</f>
        <v>-</v>
      </c>
      <c r="AB1098" s="119" t="e">
        <f>CONCATENATE(F1098," - ",I1098," - ",#REF!,)</f>
        <v>#REF!</v>
      </c>
    </row>
    <row r="1099" spans="1:28" s="116" customFormat="1" ht="15">
      <c r="A1099" s="114"/>
      <c r="B1099" s="120"/>
      <c r="C1099" s="129" t="str">
        <f t="shared" si="51"/>
        <v>week-0</v>
      </c>
      <c r="D1099" s="120" t="str">
        <f t="shared" si="52"/>
        <v>Jan</v>
      </c>
      <c r="E1099" s="7"/>
      <c r="F1099" s="7"/>
      <c r="G1099" s="120"/>
      <c r="H1099" s="120"/>
      <c r="I1099" s="118"/>
      <c r="J1099" s="118"/>
      <c r="K1099" s="115"/>
      <c r="L1099" s="115"/>
      <c r="M1099" s="8"/>
      <c r="N1099" s="8" t="str">
        <f t="shared" si="53"/>
        <v>-</v>
      </c>
      <c r="O1099" s="126"/>
      <c r="P1099" s="127"/>
      <c r="Q1099" s="127"/>
      <c r="R1099" s="126"/>
      <c r="S1099" s="127"/>
      <c r="T1099" s="8"/>
      <c r="U1099" s="158"/>
      <c r="V1099" s="7"/>
      <c r="W1099" s="7"/>
      <c r="X1099" s="146"/>
      <c r="Y1099" s="7"/>
      <c r="Z1099" s="7"/>
      <c r="AA1099" s="7" t="str">
        <f>IFERROR((VLOOKUP(F1099,#REF!,2,FALSE)),"-")</f>
        <v>-</v>
      </c>
      <c r="AB1099" s="119" t="e">
        <f>CONCATENATE(F1099," - ",I1099," - ",#REF!,)</f>
        <v>#REF!</v>
      </c>
    </row>
    <row r="1100" spans="1:28" s="116" customFormat="1" ht="15">
      <c r="A1100" s="114"/>
      <c r="B1100" s="120"/>
      <c r="C1100" s="129" t="str">
        <f t="shared" si="51"/>
        <v>week-0</v>
      </c>
      <c r="D1100" s="120" t="str">
        <f t="shared" si="52"/>
        <v>Jan</v>
      </c>
      <c r="E1100" s="7"/>
      <c r="F1100" s="7"/>
      <c r="G1100" s="120"/>
      <c r="H1100" s="120"/>
      <c r="I1100" s="118"/>
      <c r="J1100" s="118"/>
      <c r="K1100" s="115"/>
      <c r="L1100" s="115"/>
      <c r="M1100" s="8"/>
      <c r="N1100" s="8" t="str">
        <f t="shared" si="53"/>
        <v>-</v>
      </c>
      <c r="O1100" s="126"/>
      <c r="P1100" s="127"/>
      <c r="Q1100" s="127"/>
      <c r="R1100" s="126"/>
      <c r="S1100" s="127"/>
      <c r="T1100" s="8"/>
      <c r="U1100" s="158"/>
      <c r="V1100" s="7"/>
      <c r="W1100" s="7"/>
      <c r="X1100" s="146"/>
      <c r="Y1100" s="7"/>
      <c r="Z1100" s="7"/>
      <c r="AA1100" s="7" t="str">
        <f>IFERROR((VLOOKUP(F1100,#REF!,2,FALSE)),"-")</f>
        <v>-</v>
      </c>
      <c r="AB1100" s="119" t="e">
        <f>CONCATENATE(F1100," - ",I1100," - ",#REF!,)</f>
        <v>#REF!</v>
      </c>
    </row>
    <row r="1101" spans="1:28" s="116" customFormat="1" ht="15">
      <c r="A1101" s="114"/>
      <c r="B1101" s="120"/>
      <c r="C1101" s="129" t="str">
        <f t="shared" si="51"/>
        <v>week-0</v>
      </c>
      <c r="D1101" s="120" t="str">
        <f t="shared" si="52"/>
        <v>Jan</v>
      </c>
      <c r="E1101" s="7"/>
      <c r="F1101" s="7"/>
      <c r="G1101" s="120"/>
      <c r="H1101" s="120"/>
      <c r="I1101" s="118"/>
      <c r="J1101" s="118"/>
      <c r="K1101" s="115"/>
      <c r="L1101" s="115"/>
      <c r="M1101" s="8"/>
      <c r="N1101" s="8" t="str">
        <f t="shared" si="53"/>
        <v>-</v>
      </c>
      <c r="O1101" s="126"/>
      <c r="P1101" s="127"/>
      <c r="Q1101" s="127"/>
      <c r="R1101" s="126"/>
      <c r="S1101" s="127"/>
      <c r="T1101" s="8"/>
      <c r="U1101" s="158"/>
      <c r="V1101" s="7"/>
      <c r="W1101" s="7"/>
      <c r="X1101" s="146"/>
      <c r="Y1101" s="7"/>
      <c r="Z1101" s="7"/>
      <c r="AA1101" s="7" t="str">
        <f>IFERROR((VLOOKUP(F1101,#REF!,2,FALSE)),"-")</f>
        <v>-</v>
      </c>
      <c r="AB1101" s="119" t="e">
        <f>CONCATENATE(F1101," - ",I1101," - ",#REF!,)</f>
        <v>#REF!</v>
      </c>
    </row>
    <row r="1102" spans="1:28" s="116" customFormat="1" ht="15">
      <c r="A1102" s="114"/>
      <c r="B1102" s="120"/>
      <c r="C1102" s="129" t="str">
        <f t="shared" si="51"/>
        <v>week-0</v>
      </c>
      <c r="D1102" s="120" t="str">
        <f t="shared" si="52"/>
        <v>Jan</v>
      </c>
      <c r="E1102" s="7"/>
      <c r="F1102" s="7"/>
      <c r="G1102" s="120"/>
      <c r="H1102" s="120"/>
      <c r="I1102" s="118"/>
      <c r="J1102" s="118"/>
      <c r="K1102" s="115"/>
      <c r="L1102" s="115"/>
      <c r="M1102" s="8"/>
      <c r="N1102" s="8" t="str">
        <f t="shared" si="53"/>
        <v>-</v>
      </c>
      <c r="O1102" s="126"/>
      <c r="P1102" s="127"/>
      <c r="Q1102" s="127"/>
      <c r="R1102" s="126"/>
      <c r="S1102" s="127"/>
      <c r="T1102" s="8"/>
      <c r="U1102" s="158"/>
      <c r="V1102" s="7"/>
      <c r="W1102" s="7"/>
      <c r="X1102" s="146"/>
      <c r="Y1102" s="7"/>
      <c r="Z1102" s="7"/>
      <c r="AA1102" s="7" t="str">
        <f>IFERROR((VLOOKUP(F1102,#REF!,2,FALSE)),"-")</f>
        <v>-</v>
      </c>
      <c r="AB1102" s="119" t="e">
        <f>CONCATENATE(F1102," - ",I1102," - ",#REF!,)</f>
        <v>#REF!</v>
      </c>
    </row>
    <row r="1103" spans="1:28" s="116" customFormat="1" ht="15">
      <c r="A1103" s="114"/>
      <c r="B1103" s="120"/>
      <c r="C1103" s="129" t="str">
        <f t="shared" si="51"/>
        <v>week-0</v>
      </c>
      <c r="D1103" s="120" t="str">
        <f t="shared" si="52"/>
        <v>Jan</v>
      </c>
      <c r="E1103" s="7"/>
      <c r="F1103" s="7"/>
      <c r="G1103" s="120"/>
      <c r="H1103" s="120"/>
      <c r="I1103" s="118"/>
      <c r="J1103" s="118"/>
      <c r="K1103" s="115"/>
      <c r="L1103" s="115"/>
      <c r="M1103" s="8"/>
      <c r="N1103" s="8" t="str">
        <f t="shared" si="53"/>
        <v>-</v>
      </c>
      <c r="O1103" s="126"/>
      <c r="P1103" s="127"/>
      <c r="Q1103" s="127"/>
      <c r="R1103" s="126"/>
      <c r="S1103" s="127"/>
      <c r="T1103" s="8"/>
      <c r="U1103" s="158"/>
      <c r="V1103" s="7"/>
      <c r="W1103" s="7"/>
      <c r="X1103" s="146"/>
      <c r="Y1103" s="7"/>
      <c r="Z1103" s="7"/>
      <c r="AA1103" s="7" t="str">
        <f>IFERROR((VLOOKUP(F1103,#REF!,2,FALSE)),"-")</f>
        <v>-</v>
      </c>
      <c r="AB1103" s="119" t="e">
        <f>CONCATENATE(F1103," - ",I1103," - ",#REF!,)</f>
        <v>#REF!</v>
      </c>
    </row>
    <row r="1104" spans="1:28" s="116" customFormat="1" ht="15">
      <c r="A1104" s="114"/>
      <c r="B1104" s="120"/>
      <c r="C1104" s="129" t="str">
        <f t="shared" si="51"/>
        <v>week-0</v>
      </c>
      <c r="D1104" s="120" t="str">
        <f t="shared" si="52"/>
        <v>Jan</v>
      </c>
      <c r="E1104" s="7"/>
      <c r="F1104" s="7"/>
      <c r="G1104" s="120"/>
      <c r="H1104" s="120"/>
      <c r="I1104" s="118"/>
      <c r="J1104" s="118"/>
      <c r="K1104" s="115"/>
      <c r="L1104" s="115"/>
      <c r="M1104" s="8"/>
      <c r="N1104" s="8" t="str">
        <f t="shared" si="53"/>
        <v>-</v>
      </c>
      <c r="O1104" s="126"/>
      <c r="P1104" s="127"/>
      <c r="Q1104" s="127"/>
      <c r="R1104" s="126"/>
      <c r="S1104" s="127"/>
      <c r="T1104" s="8"/>
      <c r="U1104" s="158"/>
      <c r="V1104" s="7"/>
      <c r="W1104" s="7"/>
      <c r="X1104" s="146"/>
      <c r="Y1104" s="7"/>
      <c r="Z1104" s="7"/>
      <c r="AA1104" s="7" t="str">
        <f>IFERROR((VLOOKUP(F1104,#REF!,2,FALSE)),"-")</f>
        <v>-</v>
      </c>
      <c r="AB1104" s="119" t="e">
        <f>CONCATENATE(F1104," - ",I1104," - ",#REF!,)</f>
        <v>#REF!</v>
      </c>
    </row>
    <row r="1105" spans="1:28" s="116" customFormat="1" ht="15">
      <c r="A1105" s="114"/>
      <c r="B1105" s="120"/>
      <c r="C1105" s="129" t="str">
        <f t="shared" si="51"/>
        <v>week-0</v>
      </c>
      <c r="D1105" s="120" t="str">
        <f t="shared" si="52"/>
        <v>Jan</v>
      </c>
      <c r="E1105" s="7"/>
      <c r="F1105" s="7"/>
      <c r="G1105" s="120"/>
      <c r="H1105" s="120"/>
      <c r="I1105" s="118"/>
      <c r="J1105" s="118"/>
      <c r="K1105" s="115"/>
      <c r="L1105" s="115"/>
      <c r="M1105" s="8"/>
      <c r="N1105" s="8" t="str">
        <f t="shared" si="53"/>
        <v>-</v>
      </c>
      <c r="O1105" s="126"/>
      <c r="P1105" s="127"/>
      <c r="Q1105" s="127"/>
      <c r="R1105" s="126"/>
      <c r="S1105" s="127"/>
      <c r="T1105" s="8"/>
      <c r="U1105" s="158"/>
      <c r="V1105" s="7"/>
      <c r="W1105" s="7"/>
      <c r="X1105" s="146"/>
      <c r="Y1105" s="7"/>
      <c r="Z1105" s="7"/>
      <c r="AA1105" s="7" t="str">
        <f>IFERROR((VLOOKUP(F1105,#REF!,2,FALSE)),"-")</f>
        <v>-</v>
      </c>
      <c r="AB1105" s="119" t="e">
        <f>CONCATENATE(F1105," - ",I1105," - ",#REF!,)</f>
        <v>#REF!</v>
      </c>
    </row>
    <row r="1106" spans="1:28" s="116" customFormat="1" ht="15">
      <c r="A1106" s="114"/>
      <c r="B1106" s="120"/>
      <c r="C1106" s="129" t="str">
        <f t="shared" si="51"/>
        <v>week-0</v>
      </c>
      <c r="D1106" s="120" t="str">
        <f t="shared" si="52"/>
        <v>Jan</v>
      </c>
      <c r="E1106" s="7"/>
      <c r="F1106" s="7"/>
      <c r="G1106" s="120"/>
      <c r="H1106" s="120"/>
      <c r="I1106" s="118"/>
      <c r="J1106" s="118"/>
      <c r="K1106" s="115"/>
      <c r="L1106" s="115"/>
      <c r="M1106" s="8"/>
      <c r="N1106" s="8" t="str">
        <f t="shared" si="53"/>
        <v>-</v>
      </c>
      <c r="O1106" s="126"/>
      <c r="P1106" s="127"/>
      <c r="Q1106" s="127"/>
      <c r="R1106" s="126"/>
      <c r="S1106" s="127"/>
      <c r="T1106" s="8"/>
      <c r="U1106" s="158"/>
      <c r="V1106" s="7"/>
      <c r="W1106" s="7"/>
      <c r="X1106" s="146"/>
      <c r="Y1106" s="7"/>
      <c r="Z1106" s="7"/>
      <c r="AA1106" s="7" t="str">
        <f>IFERROR((VLOOKUP(F1106,#REF!,2,FALSE)),"-")</f>
        <v>-</v>
      </c>
      <c r="AB1106" s="119" t="e">
        <f>CONCATENATE(F1106," - ",I1106," - ",#REF!,)</f>
        <v>#REF!</v>
      </c>
    </row>
    <row r="1107" spans="1:28" s="116" customFormat="1" ht="15">
      <c r="A1107" s="114"/>
      <c r="B1107" s="120"/>
      <c r="C1107" s="129" t="str">
        <f t="shared" si="51"/>
        <v>week-0</v>
      </c>
      <c r="D1107" s="120" t="str">
        <f t="shared" si="52"/>
        <v>Jan</v>
      </c>
      <c r="E1107" s="7"/>
      <c r="F1107" s="7"/>
      <c r="G1107" s="120"/>
      <c r="H1107" s="120"/>
      <c r="I1107" s="118"/>
      <c r="J1107" s="118"/>
      <c r="K1107" s="115"/>
      <c r="L1107" s="115"/>
      <c r="M1107" s="8"/>
      <c r="N1107" s="8" t="str">
        <f t="shared" si="53"/>
        <v>-</v>
      </c>
      <c r="O1107" s="126"/>
      <c r="P1107" s="127"/>
      <c r="Q1107" s="127"/>
      <c r="R1107" s="126"/>
      <c r="S1107" s="127"/>
      <c r="T1107" s="8"/>
      <c r="U1107" s="158"/>
      <c r="V1107" s="7"/>
      <c r="W1107" s="7"/>
      <c r="X1107" s="146"/>
      <c r="Y1107" s="7"/>
      <c r="Z1107" s="7"/>
      <c r="AA1107" s="7" t="str">
        <f>IFERROR((VLOOKUP(F1107,#REF!,2,FALSE)),"-")</f>
        <v>-</v>
      </c>
      <c r="AB1107" s="119" t="e">
        <f>CONCATENATE(F1107," - ",I1107," - ",#REF!,)</f>
        <v>#REF!</v>
      </c>
    </row>
    <row r="1108" spans="1:28" s="116" customFormat="1" ht="15">
      <c r="A1108" s="114"/>
      <c r="B1108" s="120"/>
      <c r="C1108" s="129" t="str">
        <f t="shared" si="51"/>
        <v>week-0</v>
      </c>
      <c r="D1108" s="120" t="str">
        <f t="shared" si="52"/>
        <v>Jan</v>
      </c>
      <c r="E1108" s="7"/>
      <c r="F1108" s="7"/>
      <c r="G1108" s="120"/>
      <c r="H1108" s="120"/>
      <c r="I1108" s="118"/>
      <c r="J1108" s="118"/>
      <c r="K1108" s="115"/>
      <c r="L1108" s="115"/>
      <c r="M1108" s="8"/>
      <c r="N1108" s="8" t="str">
        <f t="shared" si="53"/>
        <v>-</v>
      </c>
      <c r="O1108" s="126"/>
      <c r="P1108" s="127"/>
      <c r="Q1108" s="127"/>
      <c r="R1108" s="126"/>
      <c r="S1108" s="127"/>
      <c r="T1108" s="8"/>
      <c r="U1108" s="158"/>
      <c r="V1108" s="7"/>
      <c r="W1108" s="7"/>
      <c r="X1108" s="146"/>
      <c r="Y1108" s="7"/>
      <c r="Z1108" s="7"/>
      <c r="AA1108" s="7" t="str">
        <f>IFERROR((VLOOKUP(F1108,#REF!,2,FALSE)),"-")</f>
        <v>-</v>
      </c>
      <c r="AB1108" s="119" t="e">
        <f>CONCATENATE(F1108," - ",I1108," - ",#REF!,)</f>
        <v>#REF!</v>
      </c>
    </row>
    <row r="1109" spans="1:28" s="116" customFormat="1" ht="15">
      <c r="A1109" s="114"/>
      <c r="B1109" s="120"/>
      <c r="C1109" s="129" t="str">
        <f t="shared" si="51"/>
        <v>week-0</v>
      </c>
      <c r="D1109" s="120" t="str">
        <f t="shared" si="52"/>
        <v>Jan</v>
      </c>
      <c r="E1109" s="7"/>
      <c r="F1109" s="7"/>
      <c r="G1109" s="120"/>
      <c r="H1109" s="120"/>
      <c r="I1109" s="118"/>
      <c r="J1109" s="118"/>
      <c r="K1109" s="115"/>
      <c r="L1109" s="115"/>
      <c r="M1109" s="8"/>
      <c r="N1109" s="8" t="str">
        <f t="shared" si="53"/>
        <v>-</v>
      </c>
      <c r="O1109" s="126"/>
      <c r="P1109" s="127"/>
      <c r="Q1109" s="127"/>
      <c r="R1109" s="126"/>
      <c r="S1109" s="127"/>
      <c r="T1109" s="8"/>
      <c r="U1109" s="158"/>
      <c r="V1109" s="7"/>
      <c r="W1109" s="7"/>
      <c r="X1109" s="146"/>
      <c r="Y1109" s="7"/>
      <c r="Z1109" s="7"/>
      <c r="AA1109" s="7" t="str">
        <f>IFERROR((VLOOKUP(F1109,#REF!,2,FALSE)),"-")</f>
        <v>-</v>
      </c>
      <c r="AB1109" s="119" t="e">
        <f>CONCATENATE(F1109," - ",I1109," - ",#REF!,)</f>
        <v>#REF!</v>
      </c>
    </row>
    <row r="1110" spans="1:28" s="116" customFormat="1" ht="15">
      <c r="A1110" s="114"/>
      <c r="B1110" s="120"/>
      <c r="C1110" s="129" t="str">
        <f t="shared" si="51"/>
        <v>week-0</v>
      </c>
      <c r="D1110" s="120" t="str">
        <f t="shared" si="52"/>
        <v>Jan</v>
      </c>
      <c r="E1110" s="7"/>
      <c r="F1110" s="7"/>
      <c r="G1110" s="120"/>
      <c r="H1110" s="120"/>
      <c r="I1110" s="118"/>
      <c r="J1110" s="118"/>
      <c r="K1110" s="115"/>
      <c r="L1110" s="115"/>
      <c r="M1110" s="8"/>
      <c r="N1110" s="8" t="str">
        <f t="shared" si="53"/>
        <v>-</v>
      </c>
      <c r="O1110" s="126"/>
      <c r="P1110" s="127"/>
      <c r="Q1110" s="127"/>
      <c r="R1110" s="126"/>
      <c r="S1110" s="127"/>
      <c r="T1110" s="8"/>
      <c r="U1110" s="158"/>
      <c r="V1110" s="7"/>
      <c r="W1110" s="7"/>
      <c r="X1110" s="146"/>
      <c r="Y1110" s="7"/>
      <c r="Z1110" s="7"/>
      <c r="AA1110" s="7" t="str">
        <f>IFERROR((VLOOKUP(F1110,#REF!,2,FALSE)),"-")</f>
        <v>-</v>
      </c>
      <c r="AB1110" s="119" t="e">
        <f>CONCATENATE(F1110," - ",I1110," - ",#REF!,)</f>
        <v>#REF!</v>
      </c>
    </row>
    <row r="1111" spans="1:28" s="116" customFormat="1" ht="15">
      <c r="A1111" s="114"/>
      <c r="B1111" s="120"/>
      <c r="C1111" s="129" t="str">
        <f t="shared" si="51"/>
        <v>week-0</v>
      </c>
      <c r="D1111" s="120" t="str">
        <f t="shared" si="52"/>
        <v>Jan</v>
      </c>
      <c r="E1111" s="7"/>
      <c r="F1111" s="7"/>
      <c r="G1111" s="120"/>
      <c r="H1111" s="120"/>
      <c r="I1111" s="118"/>
      <c r="J1111" s="118"/>
      <c r="K1111" s="115"/>
      <c r="L1111" s="115"/>
      <c r="M1111" s="8"/>
      <c r="N1111" s="8" t="str">
        <f t="shared" si="53"/>
        <v>-</v>
      </c>
      <c r="O1111" s="126"/>
      <c r="P1111" s="127"/>
      <c r="Q1111" s="127"/>
      <c r="R1111" s="126"/>
      <c r="S1111" s="127"/>
      <c r="T1111" s="8"/>
      <c r="U1111" s="158"/>
      <c r="V1111" s="7"/>
      <c r="W1111" s="7"/>
      <c r="X1111" s="146"/>
      <c r="Y1111" s="7"/>
      <c r="Z1111" s="7"/>
      <c r="AA1111" s="7" t="str">
        <f>IFERROR((VLOOKUP(F1111,#REF!,2,FALSE)),"-")</f>
        <v>-</v>
      </c>
      <c r="AB1111" s="119" t="e">
        <f>CONCATENATE(F1111," - ",I1111," - ",#REF!,)</f>
        <v>#REF!</v>
      </c>
    </row>
    <row r="1112" spans="1:28" s="116" customFormat="1" ht="15">
      <c r="A1112" s="114"/>
      <c r="B1112" s="120"/>
      <c r="C1112" s="129" t="str">
        <f t="shared" si="51"/>
        <v>week-0</v>
      </c>
      <c r="D1112" s="120" t="str">
        <f t="shared" si="52"/>
        <v>Jan</v>
      </c>
      <c r="E1112" s="7"/>
      <c r="F1112" s="7"/>
      <c r="G1112" s="120"/>
      <c r="H1112" s="120"/>
      <c r="I1112" s="118"/>
      <c r="J1112" s="118"/>
      <c r="K1112" s="115"/>
      <c r="L1112" s="115"/>
      <c r="M1112" s="8"/>
      <c r="N1112" s="8" t="str">
        <f t="shared" si="53"/>
        <v>-</v>
      </c>
      <c r="O1112" s="126"/>
      <c r="P1112" s="127"/>
      <c r="Q1112" s="127"/>
      <c r="R1112" s="126"/>
      <c r="S1112" s="127"/>
      <c r="T1112" s="8"/>
      <c r="U1112" s="158"/>
      <c r="V1112" s="7"/>
      <c r="W1112" s="7"/>
      <c r="X1112" s="146"/>
      <c r="Y1112" s="7"/>
      <c r="Z1112" s="7"/>
      <c r="AA1112" s="7" t="str">
        <f>IFERROR((VLOOKUP(F1112,#REF!,2,FALSE)),"-")</f>
        <v>-</v>
      </c>
      <c r="AB1112" s="119" t="e">
        <f>CONCATENATE(F1112," - ",I1112," - ",#REF!,)</f>
        <v>#REF!</v>
      </c>
    </row>
    <row r="1113" spans="1:28" s="116" customFormat="1" ht="15">
      <c r="A1113" s="114"/>
      <c r="B1113" s="120"/>
      <c r="C1113" s="129" t="str">
        <f t="shared" si="51"/>
        <v>week-0</v>
      </c>
      <c r="D1113" s="120" t="str">
        <f t="shared" si="52"/>
        <v>Jan</v>
      </c>
      <c r="E1113" s="7"/>
      <c r="F1113" s="7"/>
      <c r="G1113" s="120"/>
      <c r="H1113" s="120"/>
      <c r="I1113" s="118"/>
      <c r="J1113" s="118"/>
      <c r="K1113" s="115"/>
      <c r="L1113" s="115"/>
      <c r="M1113" s="8"/>
      <c r="N1113" s="8" t="str">
        <f t="shared" si="53"/>
        <v>-</v>
      </c>
      <c r="O1113" s="126"/>
      <c r="P1113" s="127"/>
      <c r="Q1113" s="127"/>
      <c r="R1113" s="126"/>
      <c r="S1113" s="127"/>
      <c r="T1113" s="8"/>
      <c r="U1113" s="158"/>
      <c r="V1113" s="7"/>
      <c r="W1113" s="7"/>
      <c r="X1113" s="146"/>
      <c r="Y1113" s="7"/>
      <c r="Z1113" s="7"/>
      <c r="AA1113" s="7" t="str">
        <f>IFERROR((VLOOKUP(F1113,#REF!,2,FALSE)),"-")</f>
        <v>-</v>
      </c>
      <c r="AB1113" s="119" t="e">
        <f>CONCATENATE(F1113," - ",I1113," - ",#REF!,)</f>
        <v>#REF!</v>
      </c>
    </row>
    <row r="1114" spans="1:28" s="116" customFormat="1" ht="15">
      <c r="A1114" s="114"/>
      <c r="B1114" s="120"/>
      <c r="C1114" s="129" t="str">
        <f t="shared" si="51"/>
        <v>week-0</v>
      </c>
      <c r="D1114" s="120" t="str">
        <f t="shared" si="52"/>
        <v>Jan</v>
      </c>
      <c r="E1114" s="7"/>
      <c r="F1114" s="7"/>
      <c r="G1114" s="120"/>
      <c r="H1114" s="120"/>
      <c r="I1114" s="118"/>
      <c r="J1114" s="118"/>
      <c r="K1114" s="115"/>
      <c r="L1114" s="115"/>
      <c r="M1114" s="8"/>
      <c r="N1114" s="8" t="str">
        <f t="shared" si="53"/>
        <v>-</v>
      </c>
      <c r="O1114" s="126"/>
      <c r="P1114" s="127"/>
      <c r="Q1114" s="127"/>
      <c r="R1114" s="126"/>
      <c r="S1114" s="127"/>
      <c r="T1114" s="8"/>
      <c r="U1114" s="158"/>
      <c r="V1114" s="7"/>
      <c r="W1114" s="7"/>
      <c r="X1114" s="146"/>
      <c r="Y1114" s="7"/>
      <c r="Z1114" s="7"/>
      <c r="AA1114" s="7" t="str">
        <f>IFERROR((VLOOKUP(F1114,#REF!,2,FALSE)),"-")</f>
        <v>-</v>
      </c>
      <c r="AB1114" s="119" t="e">
        <f>CONCATENATE(F1114," - ",I1114," - ",#REF!,)</f>
        <v>#REF!</v>
      </c>
    </row>
    <row r="1115" spans="1:28" s="116" customFormat="1" ht="15">
      <c r="A1115" s="114"/>
      <c r="B1115" s="120"/>
      <c r="C1115" s="129" t="str">
        <f t="shared" si="51"/>
        <v>week-0</v>
      </c>
      <c r="D1115" s="120" t="str">
        <f t="shared" si="52"/>
        <v>Jan</v>
      </c>
      <c r="E1115" s="7"/>
      <c r="F1115" s="7"/>
      <c r="G1115" s="120"/>
      <c r="H1115" s="120"/>
      <c r="I1115" s="118"/>
      <c r="J1115" s="118"/>
      <c r="K1115" s="115"/>
      <c r="L1115" s="115"/>
      <c r="M1115" s="8"/>
      <c r="N1115" s="8" t="str">
        <f t="shared" si="53"/>
        <v>-</v>
      </c>
      <c r="O1115" s="126"/>
      <c r="P1115" s="127"/>
      <c r="Q1115" s="127"/>
      <c r="R1115" s="126"/>
      <c r="S1115" s="127"/>
      <c r="T1115" s="8"/>
      <c r="U1115" s="158"/>
      <c r="V1115" s="7"/>
      <c r="W1115" s="7"/>
      <c r="X1115" s="146"/>
      <c r="Y1115" s="7"/>
      <c r="Z1115" s="7"/>
      <c r="AA1115" s="7" t="str">
        <f>IFERROR((VLOOKUP(F1115,#REF!,2,FALSE)),"-")</f>
        <v>-</v>
      </c>
      <c r="AB1115" s="119" t="e">
        <f>CONCATENATE(F1115," - ",I1115," - ",#REF!,)</f>
        <v>#REF!</v>
      </c>
    </row>
    <row r="1116" spans="1:28" s="116" customFormat="1" ht="15">
      <c r="A1116" s="114"/>
      <c r="B1116" s="120"/>
      <c r="C1116" s="129" t="str">
        <f t="shared" si="51"/>
        <v>week-0</v>
      </c>
      <c r="D1116" s="120" t="str">
        <f t="shared" si="52"/>
        <v>Jan</v>
      </c>
      <c r="E1116" s="7"/>
      <c r="F1116" s="7"/>
      <c r="G1116" s="120"/>
      <c r="H1116" s="120"/>
      <c r="I1116" s="118"/>
      <c r="J1116" s="118"/>
      <c r="K1116" s="115"/>
      <c r="L1116" s="115"/>
      <c r="M1116" s="8"/>
      <c r="N1116" s="8" t="str">
        <f t="shared" si="53"/>
        <v>-</v>
      </c>
      <c r="O1116" s="126"/>
      <c r="P1116" s="127"/>
      <c r="Q1116" s="127"/>
      <c r="R1116" s="126"/>
      <c r="S1116" s="127"/>
      <c r="T1116" s="8"/>
      <c r="U1116" s="158"/>
      <c r="V1116" s="7"/>
      <c r="W1116" s="7"/>
      <c r="X1116" s="146"/>
      <c r="Y1116" s="7"/>
      <c r="Z1116" s="7"/>
      <c r="AA1116" s="7" t="str">
        <f>IFERROR((VLOOKUP(F1116,#REF!,2,FALSE)),"-")</f>
        <v>-</v>
      </c>
      <c r="AB1116" s="119" t="e">
        <f>CONCATENATE(F1116," - ",I1116," - ",#REF!,)</f>
        <v>#REF!</v>
      </c>
    </row>
    <row r="1117" spans="1:28" s="116" customFormat="1" ht="15">
      <c r="A1117" s="114"/>
      <c r="B1117" s="120"/>
      <c r="C1117" s="129" t="str">
        <f t="shared" si="51"/>
        <v>week-0</v>
      </c>
      <c r="D1117" s="120" t="str">
        <f t="shared" si="52"/>
        <v>Jan</v>
      </c>
      <c r="E1117" s="7"/>
      <c r="F1117" s="7"/>
      <c r="G1117" s="120"/>
      <c r="H1117" s="120"/>
      <c r="I1117" s="118"/>
      <c r="J1117" s="118"/>
      <c r="K1117" s="115"/>
      <c r="L1117" s="115"/>
      <c r="M1117" s="8"/>
      <c r="N1117" s="8" t="str">
        <f t="shared" si="53"/>
        <v>-</v>
      </c>
      <c r="O1117" s="126"/>
      <c r="P1117" s="127"/>
      <c r="Q1117" s="127"/>
      <c r="R1117" s="126"/>
      <c r="S1117" s="127"/>
      <c r="T1117" s="8"/>
      <c r="U1117" s="158"/>
      <c r="V1117" s="7"/>
      <c r="W1117" s="7"/>
      <c r="X1117" s="146"/>
      <c r="Y1117" s="7"/>
      <c r="Z1117" s="7"/>
      <c r="AA1117" s="7" t="str">
        <f>IFERROR((VLOOKUP(F1117,#REF!,2,FALSE)),"-")</f>
        <v>-</v>
      </c>
      <c r="AB1117" s="119" t="e">
        <f>CONCATENATE(F1117," - ",I1117," - ",#REF!,)</f>
        <v>#REF!</v>
      </c>
    </row>
    <row r="1118" spans="1:28" s="116" customFormat="1" ht="15">
      <c r="A1118" s="114"/>
      <c r="B1118" s="120"/>
      <c r="C1118" s="129" t="str">
        <f t="shared" si="51"/>
        <v>week-0</v>
      </c>
      <c r="D1118" s="120" t="str">
        <f t="shared" si="52"/>
        <v>Jan</v>
      </c>
      <c r="E1118" s="7"/>
      <c r="F1118" s="7"/>
      <c r="G1118" s="120"/>
      <c r="H1118" s="120"/>
      <c r="I1118" s="118"/>
      <c r="J1118" s="118"/>
      <c r="K1118" s="115"/>
      <c r="L1118" s="115"/>
      <c r="M1118" s="8"/>
      <c r="N1118" s="8" t="str">
        <f t="shared" si="53"/>
        <v>-</v>
      </c>
      <c r="O1118" s="126"/>
      <c r="P1118" s="127"/>
      <c r="Q1118" s="127"/>
      <c r="R1118" s="126"/>
      <c r="S1118" s="127"/>
      <c r="T1118" s="8"/>
      <c r="U1118" s="158"/>
      <c r="V1118" s="7"/>
      <c r="W1118" s="7"/>
      <c r="X1118" s="146"/>
      <c r="Y1118" s="7"/>
      <c r="Z1118" s="7"/>
      <c r="AA1118" s="7" t="str">
        <f>IFERROR((VLOOKUP(F1118,#REF!,2,FALSE)),"-")</f>
        <v>-</v>
      </c>
      <c r="AB1118" s="119" t="e">
        <f>CONCATENATE(F1118," - ",I1118," - ",#REF!,)</f>
        <v>#REF!</v>
      </c>
    </row>
    <row r="1119" spans="1:28" s="116" customFormat="1" ht="15">
      <c r="A1119" s="114"/>
      <c r="B1119" s="120"/>
      <c r="C1119" s="129" t="str">
        <f t="shared" si="51"/>
        <v>week-0</v>
      </c>
      <c r="D1119" s="120" t="str">
        <f t="shared" si="52"/>
        <v>Jan</v>
      </c>
      <c r="E1119" s="7"/>
      <c r="F1119" s="7"/>
      <c r="G1119" s="120"/>
      <c r="H1119" s="120"/>
      <c r="I1119" s="118"/>
      <c r="J1119" s="118"/>
      <c r="K1119" s="115"/>
      <c r="L1119" s="115"/>
      <c r="M1119" s="8"/>
      <c r="N1119" s="8" t="str">
        <f t="shared" si="53"/>
        <v>-</v>
      </c>
      <c r="O1119" s="126"/>
      <c r="P1119" s="127"/>
      <c r="Q1119" s="127"/>
      <c r="R1119" s="126"/>
      <c r="S1119" s="127"/>
      <c r="T1119" s="8"/>
      <c r="U1119" s="158"/>
      <c r="V1119" s="7"/>
      <c r="W1119" s="7"/>
      <c r="X1119" s="146"/>
      <c r="Y1119" s="7"/>
      <c r="Z1119" s="7"/>
      <c r="AA1119" s="7" t="str">
        <f>IFERROR((VLOOKUP(F1119,#REF!,2,FALSE)),"-")</f>
        <v>-</v>
      </c>
      <c r="AB1119" s="119" t="e">
        <f>CONCATENATE(F1119," - ",I1119," - ",#REF!,)</f>
        <v>#REF!</v>
      </c>
    </row>
    <row r="1120" spans="1:28" s="116" customFormat="1" ht="15">
      <c r="A1120" s="114"/>
      <c r="B1120" s="120"/>
      <c r="C1120" s="129" t="str">
        <f t="shared" si="51"/>
        <v>week-0</v>
      </c>
      <c r="D1120" s="120" t="str">
        <f t="shared" si="52"/>
        <v>Jan</v>
      </c>
      <c r="E1120" s="7"/>
      <c r="F1120" s="7"/>
      <c r="G1120" s="120"/>
      <c r="H1120" s="120"/>
      <c r="I1120" s="118"/>
      <c r="J1120" s="118"/>
      <c r="K1120" s="115"/>
      <c r="L1120" s="115"/>
      <c r="M1120" s="8"/>
      <c r="N1120" s="8" t="str">
        <f t="shared" si="53"/>
        <v>-</v>
      </c>
      <c r="O1120" s="126"/>
      <c r="P1120" s="127"/>
      <c r="Q1120" s="127"/>
      <c r="R1120" s="126"/>
      <c r="S1120" s="127"/>
      <c r="T1120" s="8"/>
      <c r="U1120" s="158"/>
      <c r="V1120" s="7"/>
      <c r="W1120" s="7"/>
      <c r="X1120" s="146"/>
      <c r="Y1120" s="7"/>
      <c r="Z1120" s="7"/>
      <c r="AA1120" s="7" t="str">
        <f>IFERROR((VLOOKUP(F1120,#REF!,2,FALSE)),"-")</f>
        <v>-</v>
      </c>
      <c r="AB1120" s="119" t="e">
        <f>CONCATENATE(F1120," - ",I1120," - ",#REF!,)</f>
        <v>#REF!</v>
      </c>
    </row>
    <row r="1121" spans="1:28" s="116" customFormat="1" ht="15">
      <c r="A1121" s="114"/>
      <c r="B1121" s="120"/>
      <c r="C1121" s="129" t="str">
        <f t="shared" si="51"/>
        <v>week-0</v>
      </c>
      <c r="D1121" s="120" t="str">
        <f t="shared" si="52"/>
        <v>Jan</v>
      </c>
      <c r="E1121" s="7"/>
      <c r="F1121" s="7"/>
      <c r="G1121" s="120"/>
      <c r="H1121" s="120"/>
      <c r="I1121" s="118"/>
      <c r="J1121" s="118"/>
      <c r="K1121" s="115"/>
      <c r="L1121" s="115"/>
      <c r="M1121" s="8"/>
      <c r="N1121" s="8" t="str">
        <f t="shared" si="53"/>
        <v>-</v>
      </c>
      <c r="O1121" s="126"/>
      <c r="P1121" s="127"/>
      <c r="Q1121" s="127"/>
      <c r="R1121" s="126"/>
      <c r="S1121" s="127"/>
      <c r="T1121" s="8"/>
      <c r="U1121" s="158"/>
      <c r="V1121" s="7"/>
      <c r="W1121" s="7"/>
      <c r="X1121" s="146"/>
      <c r="Y1121" s="7"/>
      <c r="Z1121" s="7"/>
      <c r="AA1121" s="7" t="str">
        <f>IFERROR((VLOOKUP(F1121,#REF!,2,FALSE)),"-")</f>
        <v>-</v>
      </c>
      <c r="AB1121" s="119" t="e">
        <f>CONCATENATE(F1121," - ",I1121," - ",#REF!,)</f>
        <v>#REF!</v>
      </c>
    </row>
    <row r="1122" spans="1:28" s="116" customFormat="1" ht="15">
      <c r="A1122" s="114"/>
      <c r="B1122" s="120"/>
      <c r="C1122" s="129" t="str">
        <f t="shared" si="51"/>
        <v>week-0</v>
      </c>
      <c r="D1122" s="120" t="str">
        <f t="shared" si="52"/>
        <v>Jan</v>
      </c>
      <c r="E1122" s="7"/>
      <c r="F1122" s="7"/>
      <c r="G1122" s="120"/>
      <c r="H1122" s="120"/>
      <c r="I1122" s="118"/>
      <c r="J1122" s="118"/>
      <c r="K1122" s="115"/>
      <c r="L1122" s="115"/>
      <c r="M1122" s="8"/>
      <c r="N1122" s="8" t="str">
        <f t="shared" si="53"/>
        <v>-</v>
      </c>
      <c r="O1122" s="126"/>
      <c r="P1122" s="127"/>
      <c r="Q1122" s="127"/>
      <c r="R1122" s="126"/>
      <c r="S1122" s="127"/>
      <c r="T1122" s="8"/>
      <c r="U1122" s="158"/>
      <c r="V1122" s="7"/>
      <c r="W1122" s="7"/>
      <c r="X1122" s="146"/>
      <c r="Y1122" s="7"/>
      <c r="Z1122" s="7"/>
      <c r="AA1122" s="7" t="str">
        <f>IFERROR((VLOOKUP(F1122,#REF!,2,FALSE)),"-")</f>
        <v>-</v>
      </c>
      <c r="AB1122" s="119" t="e">
        <f>CONCATENATE(F1122," - ",I1122," - ",#REF!,)</f>
        <v>#REF!</v>
      </c>
    </row>
    <row r="1123" spans="1:28" s="116" customFormat="1" ht="15">
      <c r="A1123" s="114"/>
      <c r="B1123" s="120"/>
      <c r="C1123" s="129" t="str">
        <f t="shared" si="51"/>
        <v>week-0</v>
      </c>
      <c r="D1123" s="120" t="str">
        <f t="shared" si="52"/>
        <v>Jan</v>
      </c>
      <c r="E1123" s="7"/>
      <c r="F1123" s="7"/>
      <c r="G1123" s="120"/>
      <c r="H1123" s="120"/>
      <c r="I1123" s="118"/>
      <c r="J1123" s="118"/>
      <c r="K1123" s="115"/>
      <c r="L1123" s="115"/>
      <c r="M1123" s="8"/>
      <c r="N1123" s="8" t="str">
        <f t="shared" si="53"/>
        <v>-</v>
      </c>
      <c r="O1123" s="126"/>
      <c r="P1123" s="127"/>
      <c r="Q1123" s="127"/>
      <c r="R1123" s="126"/>
      <c r="S1123" s="127"/>
      <c r="T1123" s="8"/>
      <c r="U1123" s="158"/>
      <c r="V1123" s="7"/>
      <c r="W1123" s="7"/>
      <c r="X1123" s="146"/>
      <c r="Y1123" s="7"/>
      <c r="Z1123" s="7"/>
      <c r="AA1123" s="7" t="str">
        <f>IFERROR((VLOOKUP(F1123,#REF!,2,FALSE)),"-")</f>
        <v>-</v>
      </c>
      <c r="AB1123" s="119" t="e">
        <f>CONCATENATE(F1123," - ",I1123," - ",#REF!,)</f>
        <v>#REF!</v>
      </c>
    </row>
    <row r="1124" spans="1:28" s="116" customFormat="1" ht="15">
      <c r="A1124" s="114"/>
      <c r="B1124" s="120"/>
      <c r="C1124" s="129" t="str">
        <f t="shared" si="51"/>
        <v>week-0</v>
      </c>
      <c r="D1124" s="120" t="str">
        <f t="shared" si="52"/>
        <v>Jan</v>
      </c>
      <c r="E1124" s="7"/>
      <c r="F1124" s="7"/>
      <c r="G1124" s="120"/>
      <c r="H1124" s="120"/>
      <c r="I1124" s="118"/>
      <c r="J1124" s="118"/>
      <c r="K1124" s="115"/>
      <c r="L1124" s="115"/>
      <c r="M1124" s="8"/>
      <c r="N1124" s="8" t="str">
        <f t="shared" si="53"/>
        <v>-</v>
      </c>
      <c r="O1124" s="126"/>
      <c r="P1124" s="127"/>
      <c r="Q1124" s="127"/>
      <c r="R1124" s="126"/>
      <c r="S1124" s="127"/>
      <c r="T1124" s="8"/>
      <c r="U1124" s="158"/>
      <c r="V1124" s="7"/>
      <c r="W1124" s="7"/>
      <c r="X1124" s="146"/>
      <c r="Y1124" s="7"/>
      <c r="Z1124" s="7"/>
      <c r="AA1124" s="7" t="str">
        <f>IFERROR((VLOOKUP(F1124,#REF!,2,FALSE)),"-")</f>
        <v>-</v>
      </c>
      <c r="AB1124" s="119" t="e">
        <f>CONCATENATE(F1124," - ",I1124," - ",#REF!,)</f>
        <v>#REF!</v>
      </c>
    </row>
    <row r="1125" spans="1:28" s="116" customFormat="1" ht="15">
      <c r="A1125" s="114"/>
      <c r="B1125" s="120"/>
      <c r="C1125" s="129" t="str">
        <f t="shared" si="51"/>
        <v>week-0</v>
      </c>
      <c r="D1125" s="120" t="str">
        <f t="shared" si="52"/>
        <v>Jan</v>
      </c>
      <c r="E1125" s="7"/>
      <c r="F1125" s="7"/>
      <c r="G1125" s="120"/>
      <c r="H1125" s="120"/>
      <c r="I1125" s="118"/>
      <c r="J1125" s="118"/>
      <c r="K1125" s="115"/>
      <c r="L1125" s="115"/>
      <c r="M1125" s="8"/>
      <c r="N1125" s="8" t="str">
        <f t="shared" si="53"/>
        <v>-</v>
      </c>
      <c r="O1125" s="126"/>
      <c r="P1125" s="127"/>
      <c r="Q1125" s="127"/>
      <c r="R1125" s="126"/>
      <c r="S1125" s="127"/>
      <c r="T1125" s="8"/>
      <c r="U1125" s="158"/>
      <c r="V1125" s="7"/>
      <c r="W1125" s="7"/>
      <c r="X1125" s="146"/>
      <c r="Y1125" s="7"/>
      <c r="Z1125" s="7"/>
      <c r="AA1125" s="7" t="str">
        <f>IFERROR((VLOOKUP(F1125,#REF!,2,FALSE)),"-")</f>
        <v>-</v>
      </c>
      <c r="AB1125" s="119" t="e">
        <f>CONCATENATE(F1125," - ",I1125," - ",#REF!,)</f>
        <v>#REF!</v>
      </c>
    </row>
    <row r="1126" spans="1:28" s="116" customFormat="1" ht="15">
      <c r="A1126" s="114"/>
      <c r="B1126" s="120"/>
      <c r="C1126" s="129" t="str">
        <f t="shared" si="51"/>
        <v>week-0</v>
      </c>
      <c r="D1126" s="120" t="str">
        <f t="shared" si="52"/>
        <v>Jan</v>
      </c>
      <c r="E1126" s="7"/>
      <c r="F1126" s="7"/>
      <c r="G1126" s="120"/>
      <c r="H1126" s="120"/>
      <c r="I1126" s="118"/>
      <c r="J1126" s="118"/>
      <c r="K1126" s="115"/>
      <c r="L1126" s="115"/>
      <c r="M1126" s="8"/>
      <c r="N1126" s="8" t="str">
        <f t="shared" si="53"/>
        <v>-</v>
      </c>
      <c r="O1126" s="126"/>
      <c r="P1126" s="127"/>
      <c r="Q1126" s="127"/>
      <c r="R1126" s="126"/>
      <c r="S1126" s="127"/>
      <c r="T1126" s="8"/>
      <c r="U1126" s="158"/>
      <c r="V1126" s="7"/>
      <c r="W1126" s="7"/>
      <c r="X1126" s="146"/>
      <c r="Y1126" s="7"/>
      <c r="Z1126" s="7"/>
      <c r="AA1126" s="7" t="str">
        <f>IFERROR((VLOOKUP(F1126,#REF!,2,FALSE)),"-")</f>
        <v>-</v>
      </c>
      <c r="AB1126" s="119" t="e">
        <f>CONCATENATE(F1126," - ",I1126," - ",#REF!,)</f>
        <v>#REF!</v>
      </c>
    </row>
    <row r="1127" spans="1:28" s="116" customFormat="1" ht="15">
      <c r="A1127" s="114"/>
      <c r="B1127" s="120"/>
      <c r="C1127" s="129" t="str">
        <f t="shared" si="51"/>
        <v>week-0</v>
      </c>
      <c r="D1127" s="120" t="str">
        <f t="shared" si="52"/>
        <v>Jan</v>
      </c>
      <c r="E1127" s="7"/>
      <c r="F1127" s="7"/>
      <c r="G1127" s="120"/>
      <c r="H1127" s="120"/>
      <c r="I1127" s="118"/>
      <c r="J1127" s="118"/>
      <c r="K1127" s="115"/>
      <c r="L1127" s="115"/>
      <c r="M1127" s="8"/>
      <c r="N1127" s="8" t="str">
        <f t="shared" si="53"/>
        <v>-</v>
      </c>
      <c r="O1127" s="126"/>
      <c r="P1127" s="127"/>
      <c r="Q1127" s="127"/>
      <c r="R1127" s="126"/>
      <c r="S1127" s="127"/>
      <c r="T1127" s="8"/>
      <c r="U1127" s="158"/>
      <c r="V1127" s="7"/>
      <c r="W1127" s="7"/>
      <c r="X1127" s="146"/>
      <c r="Y1127" s="7"/>
      <c r="Z1127" s="7"/>
      <c r="AA1127" s="7" t="str">
        <f>IFERROR((VLOOKUP(F1127,#REF!,2,FALSE)),"-")</f>
        <v>-</v>
      </c>
      <c r="AB1127" s="119" t="e">
        <f>CONCATENATE(F1127," - ",I1127," - ",#REF!,)</f>
        <v>#REF!</v>
      </c>
    </row>
    <row r="1128" spans="1:28" s="116" customFormat="1" ht="15">
      <c r="A1128" s="114"/>
      <c r="B1128" s="120"/>
      <c r="C1128" s="129" t="str">
        <f t="shared" si="51"/>
        <v>week-0</v>
      </c>
      <c r="D1128" s="120" t="str">
        <f t="shared" si="52"/>
        <v>Jan</v>
      </c>
      <c r="E1128" s="7"/>
      <c r="F1128" s="7"/>
      <c r="G1128" s="120"/>
      <c r="H1128" s="120"/>
      <c r="I1128" s="118"/>
      <c r="J1128" s="118"/>
      <c r="K1128" s="115"/>
      <c r="L1128" s="115"/>
      <c r="M1128" s="8"/>
      <c r="N1128" s="8" t="str">
        <f t="shared" si="53"/>
        <v>-</v>
      </c>
      <c r="O1128" s="126"/>
      <c r="P1128" s="127"/>
      <c r="Q1128" s="127"/>
      <c r="R1128" s="126"/>
      <c r="S1128" s="127"/>
      <c r="T1128" s="8"/>
      <c r="U1128" s="158"/>
      <c r="V1128" s="7"/>
      <c r="W1128" s="7"/>
      <c r="X1128" s="146"/>
      <c r="Y1128" s="7"/>
      <c r="Z1128" s="7"/>
      <c r="AA1128" s="7" t="str">
        <f>IFERROR((VLOOKUP(F1128,#REF!,2,FALSE)),"-")</f>
        <v>-</v>
      </c>
      <c r="AB1128" s="119" t="e">
        <f>CONCATENATE(F1128," - ",I1128," - ",#REF!,)</f>
        <v>#REF!</v>
      </c>
    </row>
    <row r="1129" spans="1:28" s="116" customFormat="1" ht="15">
      <c r="A1129" s="114"/>
      <c r="B1129" s="120"/>
      <c r="C1129" s="129" t="str">
        <f t="shared" si="51"/>
        <v>week-0</v>
      </c>
      <c r="D1129" s="120" t="str">
        <f t="shared" si="52"/>
        <v>Jan</v>
      </c>
      <c r="E1129" s="7"/>
      <c r="F1129" s="7"/>
      <c r="G1129" s="120"/>
      <c r="H1129" s="120"/>
      <c r="I1129" s="118"/>
      <c r="J1129" s="118"/>
      <c r="K1129" s="115"/>
      <c r="L1129" s="115"/>
      <c r="M1129" s="8"/>
      <c r="N1129" s="8" t="str">
        <f t="shared" si="53"/>
        <v>-</v>
      </c>
      <c r="O1129" s="126"/>
      <c r="P1129" s="127"/>
      <c r="Q1129" s="127"/>
      <c r="R1129" s="126"/>
      <c r="S1129" s="127"/>
      <c r="T1129" s="8"/>
      <c r="U1129" s="158"/>
      <c r="V1129" s="7"/>
      <c r="W1129" s="7"/>
      <c r="X1129" s="146"/>
      <c r="Y1129" s="7"/>
      <c r="Z1129" s="7"/>
      <c r="AA1129" s="7" t="str">
        <f>IFERROR((VLOOKUP(F1129,#REF!,2,FALSE)),"-")</f>
        <v>-</v>
      </c>
      <c r="AB1129" s="119" t="e">
        <f>CONCATENATE(F1129," - ",I1129," - ",#REF!,)</f>
        <v>#REF!</v>
      </c>
    </row>
    <row r="1130" spans="1:28" s="116" customFormat="1" ht="15">
      <c r="A1130" s="114"/>
      <c r="B1130" s="120"/>
      <c r="C1130" s="129" t="str">
        <f t="shared" si="51"/>
        <v>week-0</v>
      </c>
      <c r="D1130" s="120" t="str">
        <f t="shared" si="52"/>
        <v>Jan</v>
      </c>
      <c r="E1130" s="7"/>
      <c r="F1130" s="7"/>
      <c r="G1130" s="120"/>
      <c r="H1130" s="120"/>
      <c r="I1130" s="118"/>
      <c r="J1130" s="118"/>
      <c r="K1130" s="115"/>
      <c r="L1130" s="115"/>
      <c r="M1130" s="8"/>
      <c r="N1130" s="8" t="str">
        <f t="shared" si="53"/>
        <v>-</v>
      </c>
      <c r="O1130" s="126"/>
      <c r="P1130" s="127"/>
      <c r="Q1130" s="127"/>
      <c r="R1130" s="126"/>
      <c r="S1130" s="127"/>
      <c r="T1130" s="8"/>
      <c r="U1130" s="158"/>
      <c r="V1130" s="7"/>
      <c r="W1130" s="7"/>
      <c r="X1130" s="146"/>
      <c r="Y1130" s="7"/>
      <c r="Z1130" s="7"/>
      <c r="AA1130" s="7" t="str">
        <f>IFERROR((VLOOKUP(F1130,#REF!,2,FALSE)),"-")</f>
        <v>-</v>
      </c>
      <c r="AB1130" s="119" t="e">
        <f>CONCATENATE(F1130," - ",I1130," - ",#REF!,)</f>
        <v>#REF!</v>
      </c>
    </row>
    <row r="1131" spans="1:28" s="116" customFormat="1" ht="15">
      <c r="A1131" s="114"/>
      <c r="B1131" s="120"/>
      <c r="C1131" s="129" t="str">
        <f t="shared" si="51"/>
        <v>week-0</v>
      </c>
      <c r="D1131" s="120" t="str">
        <f t="shared" si="52"/>
        <v>Jan</v>
      </c>
      <c r="E1131" s="7"/>
      <c r="F1131" s="7"/>
      <c r="G1131" s="120"/>
      <c r="H1131" s="120"/>
      <c r="I1131" s="118"/>
      <c r="J1131" s="118"/>
      <c r="K1131" s="115"/>
      <c r="L1131" s="115"/>
      <c r="M1131" s="8"/>
      <c r="N1131" s="8" t="str">
        <f t="shared" si="53"/>
        <v>-</v>
      </c>
      <c r="O1131" s="126"/>
      <c r="P1131" s="127"/>
      <c r="Q1131" s="127"/>
      <c r="R1131" s="126"/>
      <c r="S1131" s="127"/>
      <c r="T1131" s="8"/>
      <c r="U1131" s="158"/>
      <c r="V1131" s="7"/>
      <c r="W1131" s="7"/>
      <c r="X1131" s="146"/>
      <c r="Y1131" s="7"/>
      <c r="Z1131" s="7"/>
      <c r="AA1131" s="7" t="str">
        <f>IFERROR((VLOOKUP(F1131,#REF!,2,FALSE)),"-")</f>
        <v>-</v>
      </c>
      <c r="AB1131" s="119" t="e">
        <f>CONCATENATE(F1131," - ",I1131," - ",#REF!,)</f>
        <v>#REF!</v>
      </c>
    </row>
    <row r="1132" spans="1:28" s="116" customFormat="1" ht="15">
      <c r="A1132" s="114"/>
      <c r="B1132" s="120"/>
      <c r="C1132" s="129" t="str">
        <f t="shared" si="51"/>
        <v>week-0</v>
      </c>
      <c r="D1132" s="120" t="str">
        <f t="shared" si="52"/>
        <v>Jan</v>
      </c>
      <c r="E1132" s="7"/>
      <c r="F1132" s="7"/>
      <c r="G1132" s="120"/>
      <c r="H1132" s="120"/>
      <c r="I1132" s="118"/>
      <c r="J1132" s="118"/>
      <c r="K1132" s="115"/>
      <c r="L1132" s="115"/>
      <c r="M1132" s="8"/>
      <c r="N1132" s="8" t="str">
        <f t="shared" si="53"/>
        <v>-</v>
      </c>
      <c r="O1132" s="126"/>
      <c r="P1132" s="127"/>
      <c r="Q1132" s="127"/>
      <c r="R1132" s="126"/>
      <c r="S1132" s="127"/>
      <c r="T1132" s="8"/>
      <c r="U1132" s="158"/>
      <c r="V1132" s="7"/>
      <c r="W1132" s="7"/>
      <c r="X1132" s="146"/>
      <c r="Y1132" s="7"/>
      <c r="Z1132" s="7"/>
      <c r="AA1132" s="7" t="str">
        <f>IFERROR((VLOOKUP(F1132,#REF!,2,FALSE)),"-")</f>
        <v>-</v>
      </c>
      <c r="AB1132" s="119" t="e">
        <f>CONCATENATE(F1132," - ",I1132," - ",#REF!,)</f>
        <v>#REF!</v>
      </c>
    </row>
    <row r="1133" spans="1:28" s="116" customFormat="1" ht="15">
      <c r="A1133" s="114"/>
      <c r="B1133" s="120"/>
      <c r="C1133" s="129" t="str">
        <f t="shared" si="51"/>
        <v>week-0</v>
      </c>
      <c r="D1133" s="120" t="str">
        <f t="shared" si="52"/>
        <v>Jan</v>
      </c>
      <c r="E1133" s="7"/>
      <c r="F1133" s="7"/>
      <c r="G1133" s="120"/>
      <c r="H1133" s="120"/>
      <c r="I1133" s="118"/>
      <c r="J1133" s="118"/>
      <c r="K1133" s="115"/>
      <c r="L1133" s="115"/>
      <c r="M1133" s="8"/>
      <c r="N1133" s="8" t="str">
        <f t="shared" si="53"/>
        <v>-</v>
      </c>
      <c r="O1133" s="126"/>
      <c r="P1133" s="127"/>
      <c r="Q1133" s="127"/>
      <c r="R1133" s="126"/>
      <c r="S1133" s="127"/>
      <c r="T1133" s="8"/>
      <c r="U1133" s="158"/>
      <c r="V1133" s="7"/>
      <c r="W1133" s="7"/>
      <c r="X1133" s="146"/>
      <c r="Y1133" s="7"/>
      <c r="Z1133" s="7"/>
      <c r="AA1133" s="7" t="str">
        <f>IFERROR((VLOOKUP(F1133,#REF!,2,FALSE)),"-")</f>
        <v>-</v>
      </c>
      <c r="AB1133" s="119" t="e">
        <f>CONCATENATE(F1133," - ",I1133," - ",#REF!,)</f>
        <v>#REF!</v>
      </c>
    </row>
    <row r="1134" spans="1:28" s="116" customFormat="1" ht="15">
      <c r="A1134" s="114"/>
      <c r="B1134" s="120"/>
      <c r="C1134" s="129" t="str">
        <f t="shared" si="51"/>
        <v>week-0</v>
      </c>
      <c r="D1134" s="120" t="str">
        <f t="shared" si="52"/>
        <v>Jan</v>
      </c>
      <c r="E1134" s="7"/>
      <c r="F1134" s="7"/>
      <c r="G1134" s="120"/>
      <c r="H1134" s="120"/>
      <c r="I1134" s="118"/>
      <c r="J1134" s="118"/>
      <c r="K1134" s="115"/>
      <c r="L1134" s="115"/>
      <c r="M1134" s="8"/>
      <c r="N1134" s="8" t="str">
        <f t="shared" si="53"/>
        <v>-</v>
      </c>
      <c r="O1134" s="126"/>
      <c r="P1134" s="127"/>
      <c r="Q1134" s="127"/>
      <c r="R1134" s="126"/>
      <c r="S1134" s="127"/>
      <c r="T1134" s="8"/>
      <c r="U1134" s="158"/>
      <c r="V1134" s="7"/>
      <c r="W1134" s="7"/>
      <c r="X1134" s="146"/>
      <c r="Y1134" s="7"/>
      <c r="Z1134" s="7"/>
      <c r="AA1134" s="7" t="str">
        <f>IFERROR((VLOOKUP(F1134,#REF!,2,FALSE)),"-")</f>
        <v>-</v>
      </c>
      <c r="AB1134" s="119" t="e">
        <f>CONCATENATE(F1134," - ",I1134," - ",#REF!,)</f>
        <v>#REF!</v>
      </c>
    </row>
    <row r="1135" spans="1:28" s="116" customFormat="1" ht="15">
      <c r="A1135" s="114"/>
      <c r="B1135" s="120"/>
      <c r="C1135" s="129" t="str">
        <f t="shared" si="51"/>
        <v>week-0</v>
      </c>
      <c r="D1135" s="120" t="str">
        <f t="shared" si="52"/>
        <v>Jan</v>
      </c>
      <c r="E1135" s="7"/>
      <c r="F1135" s="7"/>
      <c r="G1135" s="120"/>
      <c r="H1135" s="120"/>
      <c r="I1135" s="118"/>
      <c r="J1135" s="118"/>
      <c r="K1135" s="115"/>
      <c r="L1135" s="115"/>
      <c r="M1135" s="8"/>
      <c r="N1135" s="8" t="str">
        <f t="shared" si="53"/>
        <v>-</v>
      </c>
      <c r="O1135" s="126"/>
      <c r="P1135" s="127"/>
      <c r="Q1135" s="127"/>
      <c r="R1135" s="126"/>
      <c r="S1135" s="127"/>
      <c r="T1135" s="8"/>
      <c r="U1135" s="158"/>
      <c r="V1135" s="7"/>
      <c r="W1135" s="7"/>
      <c r="X1135" s="146"/>
      <c r="Y1135" s="7"/>
      <c r="Z1135" s="7"/>
      <c r="AA1135" s="7" t="str">
        <f>IFERROR((VLOOKUP(F1135,#REF!,2,FALSE)),"-")</f>
        <v>-</v>
      </c>
      <c r="AB1135" s="119" t="e">
        <f>CONCATENATE(F1135," - ",I1135," - ",#REF!,)</f>
        <v>#REF!</v>
      </c>
    </row>
    <row r="1136" spans="1:28" s="116" customFormat="1" ht="15">
      <c r="A1136" s="114"/>
      <c r="B1136" s="120"/>
      <c r="C1136" s="129" t="str">
        <f t="shared" si="51"/>
        <v>week-0</v>
      </c>
      <c r="D1136" s="120" t="str">
        <f t="shared" si="52"/>
        <v>Jan</v>
      </c>
      <c r="E1136" s="7"/>
      <c r="F1136" s="7"/>
      <c r="G1136" s="120"/>
      <c r="H1136" s="120"/>
      <c r="I1136" s="118"/>
      <c r="J1136" s="118"/>
      <c r="K1136" s="115"/>
      <c r="L1136" s="115"/>
      <c r="M1136" s="8"/>
      <c r="N1136" s="8" t="str">
        <f t="shared" si="53"/>
        <v>-</v>
      </c>
      <c r="O1136" s="126"/>
      <c r="P1136" s="127"/>
      <c r="Q1136" s="127"/>
      <c r="R1136" s="126"/>
      <c r="S1136" s="127"/>
      <c r="T1136" s="8"/>
      <c r="U1136" s="158"/>
      <c r="V1136" s="7"/>
      <c r="W1136" s="7"/>
      <c r="X1136" s="146"/>
      <c r="Y1136" s="7"/>
      <c r="Z1136" s="7"/>
      <c r="AA1136" s="7" t="str">
        <f>IFERROR((VLOOKUP(F1136,#REF!,2,FALSE)),"-")</f>
        <v>-</v>
      </c>
      <c r="AB1136" s="119" t="e">
        <f>CONCATENATE(F1136," - ",I1136," - ",#REF!,)</f>
        <v>#REF!</v>
      </c>
    </row>
    <row r="1137" spans="1:28" s="116" customFormat="1" ht="15">
      <c r="A1137" s="114"/>
      <c r="B1137" s="120"/>
      <c r="C1137" s="129" t="str">
        <f t="shared" si="51"/>
        <v>week-0</v>
      </c>
      <c r="D1137" s="120" t="str">
        <f t="shared" si="52"/>
        <v>Jan</v>
      </c>
      <c r="E1137" s="7"/>
      <c r="F1137" s="7"/>
      <c r="G1137" s="120"/>
      <c r="H1137" s="120"/>
      <c r="I1137" s="118"/>
      <c r="J1137" s="118"/>
      <c r="K1137" s="115"/>
      <c r="L1137" s="115"/>
      <c r="M1137" s="8"/>
      <c r="N1137" s="8" t="str">
        <f t="shared" si="53"/>
        <v>-</v>
      </c>
      <c r="O1137" s="126"/>
      <c r="P1137" s="127"/>
      <c r="Q1137" s="127"/>
      <c r="R1137" s="126"/>
      <c r="S1137" s="127"/>
      <c r="T1137" s="8"/>
      <c r="U1137" s="158"/>
      <c r="V1137" s="7"/>
      <c r="W1137" s="7"/>
      <c r="X1137" s="146"/>
      <c r="Y1137" s="7"/>
      <c r="Z1137" s="7"/>
      <c r="AA1137" s="7" t="str">
        <f>IFERROR((VLOOKUP(F1137,#REF!,2,FALSE)),"-")</f>
        <v>-</v>
      </c>
      <c r="AB1137" s="119" t="e">
        <f>CONCATENATE(F1137," - ",I1137," - ",#REF!,)</f>
        <v>#REF!</v>
      </c>
    </row>
    <row r="1138" spans="1:28" s="116" customFormat="1" ht="15">
      <c r="A1138" s="114"/>
      <c r="B1138" s="120"/>
      <c r="C1138" s="129" t="str">
        <f t="shared" si="51"/>
        <v>week-0</v>
      </c>
      <c r="D1138" s="120" t="str">
        <f t="shared" si="52"/>
        <v>Jan</v>
      </c>
      <c r="E1138" s="7"/>
      <c r="F1138" s="7"/>
      <c r="G1138" s="120"/>
      <c r="H1138" s="120"/>
      <c r="I1138" s="118"/>
      <c r="J1138" s="118"/>
      <c r="K1138" s="115"/>
      <c r="L1138" s="115"/>
      <c r="M1138" s="8"/>
      <c r="N1138" s="8" t="str">
        <f t="shared" si="53"/>
        <v>-</v>
      </c>
      <c r="O1138" s="126"/>
      <c r="P1138" s="127"/>
      <c r="Q1138" s="127"/>
      <c r="R1138" s="126"/>
      <c r="S1138" s="127"/>
      <c r="T1138" s="8"/>
      <c r="U1138" s="158"/>
      <c r="V1138" s="7"/>
      <c r="W1138" s="7"/>
      <c r="X1138" s="146"/>
      <c r="Y1138" s="7"/>
      <c r="Z1138" s="7"/>
      <c r="AA1138" s="7" t="str">
        <f>IFERROR((VLOOKUP(F1138,#REF!,2,FALSE)),"-")</f>
        <v>-</v>
      </c>
      <c r="AB1138" s="119" t="e">
        <f>CONCATENATE(F1138," - ",I1138," - ",#REF!,)</f>
        <v>#REF!</v>
      </c>
    </row>
    <row r="1139" spans="1:28" s="116" customFormat="1" ht="15">
      <c r="A1139" s="114"/>
      <c r="B1139" s="120"/>
      <c r="C1139" s="129" t="str">
        <f t="shared" si="51"/>
        <v>week-0</v>
      </c>
      <c r="D1139" s="120" t="str">
        <f t="shared" si="52"/>
        <v>Jan</v>
      </c>
      <c r="E1139" s="7"/>
      <c r="F1139" s="7"/>
      <c r="G1139" s="120"/>
      <c r="H1139" s="120"/>
      <c r="I1139" s="118"/>
      <c r="J1139" s="118"/>
      <c r="K1139" s="115"/>
      <c r="L1139" s="115"/>
      <c r="M1139" s="8"/>
      <c r="N1139" s="8" t="str">
        <f t="shared" si="53"/>
        <v>-</v>
      </c>
      <c r="O1139" s="126"/>
      <c r="P1139" s="127"/>
      <c r="Q1139" s="127"/>
      <c r="R1139" s="126"/>
      <c r="S1139" s="127"/>
      <c r="T1139" s="8"/>
      <c r="U1139" s="158"/>
      <c r="V1139" s="7"/>
      <c r="W1139" s="7"/>
      <c r="X1139" s="146"/>
      <c r="Y1139" s="7"/>
      <c r="Z1139" s="7"/>
      <c r="AA1139" s="7" t="str">
        <f>IFERROR((VLOOKUP(F1139,#REF!,2,FALSE)),"-")</f>
        <v>-</v>
      </c>
      <c r="AB1139" s="119" t="e">
        <f>CONCATENATE(F1139," - ",I1139," - ",#REF!,)</f>
        <v>#REF!</v>
      </c>
    </row>
    <row r="1140" spans="1:28" s="116" customFormat="1" ht="15">
      <c r="A1140" s="114"/>
      <c r="B1140" s="120"/>
      <c r="C1140" s="129" t="str">
        <f t="shared" si="51"/>
        <v>week-0</v>
      </c>
      <c r="D1140" s="120" t="str">
        <f t="shared" si="52"/>
        <v>Jan</v>
      </c>
      <c r="E1140" s="7"/>
      <c r="F1140" s="7"/>
      <c r="G1140" s="120"/>
      <c r="H1140" s="120"/>
      <c r="I1140" s="118"/>
      <c r="J1140" s="118"/>
      <c r="K1140" s="115"/>
      <c r="L1140" s="115"/>
      <c r="M1140" s="8"/>
      <c r="N1140" s="8" t="str">
        <f t="shared" si="53"/>
        <v>-</v>
      </c>
      <c r="O1140" s="126"/>
      <c r="P1140" s="127"/>
      <c r="Q1140" s="127"/>
      <c r="R1140" s="126"/>
      <c r="S1140" s="127"/>
      <c r="T1140" s="8"/>
      <c r="U1140" s="158"/>
      <c r="V1140" s="7"/>
      <c r="W1140" s="7"/>
      <c r="X1140" s="146"/>
      <c r="Y1140" s="7"/>
      <c r="Z1140" s="7"/>
      <c r="AA1140" s="7" t="str">
        <f>IFERROR((VLOOKUP(F1140,#REF!,2,FALSE)),"-")</f>
        <v>-</v>
      </c>
      <c r="AB1140" s="119" t="e">
        <f>CONCATENATE(F1140," - ",I1140," - ",#REF!,)</f>
        <v>#REF!</v>
      </c>
    </row>
    <row r="1141" spans="1:28" s="116" customFormat="1" ht="15">
      <c r="A1141" s="114"/>
      <c r="B1141" s="120"/>
      <c r="C1141" s="129" t="str">
        <f t="shared" si="51"/>
        <v>week-0</v>
      </c>
      <c r="D1141" s="120" t="str">
        <f t="shared" si="52"/>
        <v>Jan</v>
      </c>
      <c r="E1141" s="7"/>
      <c r="F1141" s="7"/>
      <c r="G1141" s="120"/>
      <c r="H1141" s="120"/>
      <c r="I1141" s="118"/>
      <c r="J1141" s="118"/>
      <c r="K1141" s="115"/>
      <c r="L1141" s="115"/>
      <c r="M1141" s="8"/>
      <c r="N1141" s="8" t="str">
        <f t="shared" si="53"/>
        <v>-</v>
      </c>
      <c r="O1141" s="126"/>
      <c r="P1141" s="127"/>
      <c r="Q1141" s="127"/>
      <c r="R1141" s="126"/>
      <c r="S1141" s="127"/>
      <c r="T1141" s="8"/>
      <c r="U1141" s="158"/>
      <c r="V1141" s="7"/>
      <c r="W1141" s="7"/>
      <c r="X1141" s="146"/>
      <c r="Y1141" s="7"/>
      <c r="Z1141" s="7"/>
      <c r="AA1141" s="7" t="str">
        <f>IFERROR((VLOOKUP(F1141,#REF!,2,FALSE)),"-")</f>
        <v>-</v>
      </c>
      <c r="AB1141" s="119" t="e">
        <f>CONCATENATE(F1141," - ",I1141," - ",#REF!,)</f>
        <v>#REF!</v>
      </c>
    </row>
    <row r="1142" spans="1:28" s="116" customFormat="1" ht="15">
      <c r="A1142" s="114"/>
      <c r="B1142" s="120"/>
      <c r="C1142" s="129" t="str">
        <f t="shared" si="51"/>
        <v>week-0</v>
      </c>
      <c r="D1142" s="120" t="str">
        <f t="shared" si="52"/>
        <v>Jan</v>
      </c>
      <c r="E1142" s="7"/>
      <c r="F1142" s="7"/>
      <c r="G1142" s="120"/>
      <c r="H1142" s="120"/>
      <c r="I1142" s="118"/>
      <c r="J1142" s="118"/>
      <c r="K1142" s="115"/>
      <c r="L1142" s="115"/>
      <c r="M1142" s="8"/>
      <c r="N1142" s="8" t="str">
        <f t="shared" si="53"/>
        <v>-</v>
      </c>
      <c r="O1142" s="126"/>
      <c r="P1142" s="127"/>
      <c r="Q1142" s="127"/>
      <c r="R1142" s="126"/>
      <c r="S1142" s="127"/>
      <c r="T1142" s="8"/>
      <c r="U1142" s="158"/>
      <c r="V1142" s="7"/>
      <c r="W1142" s="7"/>
      <c r="X1142" s="146"/>
      <c r="Y1142" s="7"/>
      <c r="Z1142" s="7"/>
      <c r="AA1142" s="7" t="str">
        <f>IFERROR((VLOOKUP(F1142,#REF!,2,FALSE)),"-")</f>
        <v>-</v>
      </c>
      <c r="AB1142" s="119" t="e">
        <f>CONCATENATE(F1142," - ",I1142," - ",#REF!,)</f>
        <v>#REF!</v>
      </c>
    </row>
    <row r="1143" spans="1:28" s="116" customFormat="1" ht="15">
      <c r="A1143" s="114"/>
      <c r="B1143" s="120"/>
      <c r="C1143" s="129" t="str">
        <f t="shared" si="51"/>
        <v>week-0</v>
      </c>
      <c r="D1143" s="120" t="str">
        <f t="shared" si="52"/>
        <v>Jan</v>
      </c>
      <c r="E1143" s="7"/>
      <c r="F1143" s="7"/>
      <c r="G1143" s="120"/>
      <c r="H1143" s="120"/>
      <c r="I1143" s="118"/>
      <c r="J1143" s="118"/>
      <c r="K1143" s="115"/>
      <c r="L1143" s="115"/>
      <c r="M1143" s="8"/>
      <c r="N1143" s="8" t="str">
        <f t="shared" si="53"/>
        <v>-</v>
      </c>
      <c r="O1143" s="126"/>
      <c r="P1143" s="127"/>
      <c r="Q1143" s="127"/>
      <c r="R1143" s="126"/>
      <c r="S1143" s="127"/>
      <c r="T1143" s="8"/>
      <c r="U1143" s="158"/>
      <c r="V1143" s="7"/>
      <c r="W1143" s="7"/>
      <c r="X1143" s="146"/>
      <c r="Y1143" s="7"/>
      <c r="Z1143" s="7"/>
      <c r="AA1143" s="7" t="str">
        <f>IFERROR((VLOOKUP(F1143,#REF!,2,FALSE)),"-")</f>
        <v>-</v>
      </c>
      <c r="AB1143" s="119" t="e">
        <f>CONCATENATE(F1143," - ",I1143," - ",#REF!,)</f>
        <v>#REF!</v>
      </c>
    </row>
    <row r="1144" spans="1:28" s="116" customFormat="1" ht="15">
      <c r="A1144" s="114"/>
      <c r="B1144" s="120"/>
      <c r="C1144" s="129" t="str">
        <f t="shared" si="51"/>
        <v>week-0</v>
      </c>
      <c r="D1144" s="120" t="str">
        <f t="shared" si="52"/>
        <v>Jan</v>
      </c>
      <c r="E1144" s="7"/>
      <c r="F1144" s="7"/>
      <c r="G1144" s="120"/>
      <c r="H1144" s="120"/>
      <c r="I1144" s="118"/>
      <c r="J1144" s="118"/>
      <c r="K1144" s="115"/>
      <c r="L1144" s="115"/>
      <c r="M1144" s="8"/>
      <c r="N1144" s="8" t="str">
        <f t="shared" si="53"/>
        <v>-</v>
      </c>
      <c r="O1144" s="126"/>
      <c r="P1144" s="127"/>
      <c r="Q1144" s="127"/>
      <c r="R1144" s="126"/>
      <c r="S1144" s="127"/>
      <c r="T1144" s="8"/>
      <c r="U1144" s="158"/>
      <c r="V1144" s="7"/>
      <c r="W1144" s="7"/>
      <c r="X1144" s="146"/>
      <c r="Y1144" s="7"/>
      <c r="Z1144" s="7"/>
      <c r="AA1144" s="7" t="str">
        <f>IFERROR((VLOOKUP(F1144,#REF!,2,FALSE)),"-")</f>
        <v>-</v>
      </c>
      <c r="AB1144" s="119" t="e">
        <f>CONCATENATE(F1144," - ",I1144," - ",#REF!,)</f>
        <v>#REF!</v>
      </c>
    </row>
    <row r="1145" spans="1:28" s="116" customFormat="1" ht="15">
      <c r="A1145" s="114"/>
      <c r="B1145" s="120"/>
      <c r="C1145" s="129" t="str">
        <f t="shared" si="51"/>
        <v>week-0</v>
      </c>
      <c r="D1145" s="120" t="str">
        <f t="shared" si="52"/>
        <v>Jan</v>
      </c>
      <c r="E1145" s="7"/>
      <c r="F1145" s="7"/>
      <c r="G1145" s="120"/>
      <c r="H1145" s="120"/>
      <c r="I1145" s="118"/>
      <c r="J1145" s="118"/>
      <c r="K1145" s="115"/>
      <c r="L1145" s="115"/>
      <c r="M1145" s="8"/>
      <c r="N1145" s="8" t="str">
        <f t="shared" si="53"/>
        <v>-</v>
      </c>
      <c r="O1145" s="126"/>
      <c r="P1145" s="127"/>
      <c r="Q1145" s="127"/>
      <c r="R1145" s="126"/>
      <c r="S1145" s="127"/>
      <c r="T1145" s="8"/>
      <c r="U1145" s="158"/>
      <c r="V1145" s="7"/>
      <c r="W1145" s="7"/>
      <c r="X1145" s="146"/>
      <c r="Y1145" s="7"/>
      <c r="Z1145" s="7"/>
      <c r="AA1145" s="7" t="str">
        <f>IFERROR((VLOOKUP(F1145,#REF!,2,FALSE)),"-")</f>
        <v>-</v>
      </c>
      <c r="AB1145" s="119" t="e">
        <f>CONCATENATE(F1145," - ",I1145," - ",#REF!,)</f>
        <v>#REF!</v>
      </c>
    </row>
    <row r="1146" spans="1:28" s="116" customFormat="1" ht="15">
      <c r="A1146" s="114"/>
      <c r="B1146" s="120"/>
      <c r="C1146" s="129" t="str">
        <f t="shared" si="51"/>
        <v>week-0</v>
      </c>
      <c r="D1146" s="120" t="str">
        <f t="shared" si="52"/>
        <v>Jan</v>
      </c>
      <c r="E1146" s="7"/>
      <c r="F1146" s="7"/>
      <c r="G1146" s="120"/>
      <c r="H1146" s="120"/>
      <c r="I1146" s="118"/>
      <c r="J1146" s="118"/>
      <c r="K1146" s="115"/>
      <c r="L1146" s="115"/>
      <c r="M1146" s="8"/>
      <c r="N1146" s="8" t="str">
        <f t="shared" si="53"/>
        <v>-</v>
      </c>
      <c r="O1146" s="126"/>
      <c r="P1146" s="127"/>
      <c r="Q1146" s="127"/>
      <c r="R1146" s="126"/>
      <c r="S1146" s="127"/>
      <c r="T1146" s="8"/>
      <c r="U1146" s="158"/>
      <c r="V1146" s="7"/>
      <c r="W1146" s="7"/>
      <c r="X1146" s="146"/>
      <c r="Y1146" s="7"/>
      <c r="Z1146" s="7"/>
      <c r="AA1146" s="7" t="str">
        <f>IFERROR((VLOOKUP(F1146,#REF!,2,FALSE)),"-")</f>
        <v>-</v>
      </c>
      <c r="AB1146" s="119" t="e">
        <f>CONCATENATE(F1146," - ",I1146," - ",#REF!,)</f>
        <v>#REF!</v>
      </c>
    </row>
    <row r="1147" spans="1:28" s="116" customFormat="1" ht="15">
      <c r="A1147" s="114"/>
      <c r="B1147" s="120"/>
      <c r="C1147" s="129" t="str">
        <f t="shared" si="51"/>
        <v>week-0</v>
      </c>
      <c r="D1147" s="120" t="str">
        <f t="shared" si="52"/>
        <v>Jan</v>
      </c>
      <c r="E1147" s="7"/>
      <c r="F1147" s="7"/>
      <c r="G1147" s="120"/>
      <c r="H1147" s="120"/>
      <c r="I1147" s="118"/>
      <c r="J1147" s="118"/>
      <c r="K1147" s="115"/>
      <c r="L1147" s="115"/>
      <c r="M1147" s="8"/>
      <c r="N1147" s="8" t="str">
        <f t="shared" si="53"/>
        <v>-</v>
      </c>
      <c r="O1147" s="126"/>
      <c r="P1147" s="127"/>
      <c r="Q1147" s="127"/>
      <c r="R1147" s="126"/>
      <c r="S1147" s="127"/>
      <c r="T1147" s="8"/>
      <c r="U1147" s="158"/>
      <c r="V1147" s="7"/>
      <c r="W1147" s="7"/>
      <c r="X1147" s="146"/>
      <c r="Y1147" s="7"/>
      <c r="Z1147" s="7"/>
      <c r="AA1147" s="7" t="str">
        <f>IFERROR((VLOOKUP(F1147,#REF!,2,FALSE)),"-")</f>
        <v>-</v>
      </c>
      <c r="AB1147" s="119" t="e">
        <f>CONCATENATE(F1147," - ",I1147," - ",#REF!,)</f>
        <v>#REF!</v>
      </c>
    </row>
    <row r="1148" spans="1:28" s="116" customFormat="1" ht="15">
      <c r="A1148" s="114"/>
      <c r="B1148" s="120"/>
      <c r="C1148" s="129" t="str">
        <f t="shared" si="51"/>
        <v>week-0</v>
      </c>
      <c r="D1148" s="120" t="str">
        <f t="shared" si="52"/>
        <v>Jan</v>
      </c>
      <c r="E1148" s="7"/>
      <c r="F1148" s="7"/>
      <c r="G1148" s="120"/>
      <c r="H1148" s="120"/>
      <c r="I1148" s="118"/>
      <c r="J1148" s="118"/>
      <c r="K1148" s="115"/>
      <c r="L1148" s="115"/>
      <c r="M1148" s="8"/>
      <c r="N1148" s="8" t="str">
        <f t="shared" si="53"/>
        <v>-</v>
      </c>
      <c r="O1148" s="126"/>
      <c r="P1148" s="127"/>
      <c r="Q1148" s="127"/>
      <c r="R1148" s="126"/>
      <c r="S1148" s="127"/>
      <c r="T1148" s="8"/>
      <c r="U1148" s="158"/>
      <c r="V1148" s="7"/>
      <c r="W1148" s="7"/>
      <c r="X1148" s="146"/>
      <c r="Y1148" s="7"/>
      <c r="Z1148" s="7"/>
      <c r="AA1148" s="7" t="str">
        <f>IFERROR((VLOOKUP(F1148,#REF!,2,FALSE)),"-")</f>
        <v>-</v>
      </c>
      <c r="AB1148" s="119" t="e">
        <f>CONCATENATE(F1148," - ",I1148," - ",#REF!,)</f>
        <v>#REF!</v>
      </c>
    </row>
    <row r="1149" spans="1:28" s="116" customFormat="1" ht="15">
      <c r="A1149" s="114"/>
      <c r="B1149" s="120"/>
      <c r="C1149" s="129" t="str">
        <f t="shared" si="51"/>
        <v>week-0</v>
      </c>
      <c r="D1149" s="120" t="str">
        <f t="shared" si="52"/>
        <v>Jan</v>
      </c>
      <c r="E1149" s="7"/>
      <c r="F1149" s="7"/>
      <c r="G1149" s="120"/>
      <c r="H1149" s="120"/>
      <c r="I1149" s="118"/>
      <c r="J1149" s="118"/>
      <c r="K1149" s="115"/>
      <c r="L1149" s="115"/>
      <c r="M1149" s="8"/>
      <c r="N1149" s="8" t="str">
        <f t="shared" si="53"/>
        <v>-</v>
      </c>
      <c r="O1149" s="126"/>
      <c r="P1149" s="127"/>
      <c r="Q1149" s="127"/>
      <c r="R1149" s="126"/>
      <c r="S1149" s="127"/>
      <c r="T1149" s="8"/>
      <c r="U1149" s="158"/>
      <c r="V1149" s="7"/>
      <c r="W1149" s="7"/>
      <c r="X1149" s="146"/>
      <c r="Y1149" s="7"/>
      <c r="Z1149" s="7"/>
      <c r="AA1149" s="7" t="str">
        <f>IFERROR((VLOOKUP(F1149,#REF!,2,FALSE)),"-")</f>
        <v>-</v>
      </c>
      <c r="AB1149" s="119" t="e">
        <f>CONCATENATE(F1149," - ",I1149," - ",#REF!,)</f>
        <v>#REF!</v>
      </c>
    </row>
    <row r="1150" spans="1:28" s="116" customFormat="1" ht="15">
      <c r="A1150" s="114"/>
      <c r="B1150" s="120"/>
      <c r="C1150" s="129" t="str">
        <f t="shared" si="51"/>
        <v>week-0</v>
      </c>
      <c r="D1150" s="120" t="str">
        <f t="shared" si="52"/>
        <v>Jan</v>
      </c>
      <c r="E1150" s="7"/>
      <c r="F1150" s="7"/>
      <c r="G1150" s="120"/>
      <c r="H1150" s="120"/>
      <c r="I1150" s="118"/>
      <c r="J1150" s="118"/>
      <c r="K1150" s="115"/>
      <c r="L1150" s="115"/>
      <c r="M1150" s="8"/>
      <c r="N1150" s="8" t="str">
        <f t="shared" si="53"/>
        <v>-</v>
      </c>
      <c r="O1150" s="126"/>
      <c r="P1150" s="127"/>
      <c r="Q1150" s="127"/>
      <c r="R1150" s="126"/>
      <c r="S1150" s="127"/>
      <c r="T1150" s="8"/>
      <c r="U1150" s="158"/>
      <c r="V1150" s="7"/>
      <c r="W1150" s="7"/>
      <c r="X1150" s="146"/>
      <c r="Y1150" s="7"/>
      <c r="Z1150" s="7"/>
      <c r="AA1150" s="7" t="str">
        <f>IFERROR((VLOOKUP(F1150,#REF!,2,FALSE)),"-")</f>
        <v>-</v>
      </c>
      <c r="AB1150" s="119" t="e">
        <f>CONCATENATE(F1150," - ",I1150," - ",#REF!,)</f>
        <v>#REF!</v>
      </c>
    </row>
    <row r="1151" spans="1:28" s="116" customFormat="1" ht="15">
      <c r="A1151" s="114"/>
      <c r="B1151" s="120"/>
      <c r="C1151" s="129" t="str">
        <f t="shared" si="51"/>
        <v>week-0</v>
      </c>
      <c r="D1151" s="120" t="str">
        <f t="shared" si="52"/>
        <v>Jan</v>
      </c>
      <c r="E1151" s="7"/>
      <c r="F1151" s="7"/>
      <c r="G1151" s="120"/>
      <c r="H1151" s="120"/>
      <c r="I1151" s="118"/>
      <c r="J1151" s="118"/>
      <c r="K1151" s="115"/>
      <c r="L1151" s="115"/>
      <c r="M1151" s="8"/>
      <c r="N1151" s="8" t="str">
        <f t="shared" si="53"/>
        <v>-</v>
      </c>
      <c r="O1151" s="126"/>
      <c r="P1151" s="127"/>
      <c r="Q1151" s="127"/>
      <c r="R1151" s="126"/>
      <c r="S1151" s="127"/>
      <c r="T1151" s="8"/>
      <c r="U1151" s="158"/>
      <c r="V1151" s="7"/>
      <c r="W1151" s="7"/>
      <c r="X1151" s="146"/>
      <c r="Y1151" s="7"/>
      <c r="Z1151" s="7"/>
      <c r="AA1151" s="7" t="str">
        <f>IFERROR((VLOOKUP(F1151,#REF!,2,FALSE)),"-")</f>
        <v>-</v>
      </c>
      <c r="AB1151" s="119" t="e">
        <f>CONCATENATE(F1151," - ",I1151," - ",#REF!,)</f>
        <v>#REF!</v>
      </c>
    </row>
    <row r="1152" spans="1:28" s="116" customFormat="1" ht="15">
      <c r="A1152" s="114"/>
      <c r="B1152" s="120"/>
      <c r="C1152" s="129" t="str">
        <f t="shared" si="51"/>
        <v>week-0</v>
      </c>
      <c r="D1152" s="120" t="str">
        <f t="shared" si="52"/>
        <v>Jan</v>
      </c>
      <c r="E1152" s="7"/>
      <c r="F1152" s="7"/>
      <c r="G1152" s="120"/>
      <c r="H1152" s="120"/>
      <c r="I1152" s="118"/>
      <c r="J1152" s="118"/>
      <c r="K1152" s="115"/>
      <c r="L1152" s="115"/>
      <c r="M1152" s="8"/>
      <c r="N1152" s="8" t="str">
        <f t="shared" si="53"/>
        <v>-</v>
      </c>
      <c r="O1152" s="126"/>
      <c r="P1152" s="127"/>
      <c r="Q1152" s="127"/>
      <c r="R1152" s="126"/>
      <c r="S1152" s="127"/>
      <c r="T1152" s="8"/>
      <c r="U1152" s="158"/>
      <c r="V1152" s="7"/>
      <c r="W1152" s="7"/>
      <c r="X1152" s="146"/>
      <c r="Y1152" s="7"/>
      <c r="Z1152" s="7"/>
      <c r="AA1152" s="7" t="str">
        <f>IFERROR((VLOOKUP(F1152,#REF!,2,FALSE)),"-")</f>
        <v>-</v>
      </c>
      <c r="AB1152" s="119" t="e">
        <f>CONCATENATE(F1152," - ",I1152," - ",#REF!,)</f>
        <v>#REF!</v>
      </c>
    </row>
    <row r="1153" spans="1:28" s="116" customFormat="1" ht="15">
      <c r="A1153" s="114"/>
      <c r="B1153" s="120"/>
      <c r="C1153" s="129" t="str">
        <f t="shared" si="51"/>
        <v>week-0</v>
      </c>
      <c r="D1153" s="120" t="str">
        <f t="shared" si="52"/>
        <v>Jan</v>
      </c>
      <c r="E1153" s="7"/>
      <c r="F1153" s="7"/>
      <c r="G1153" s="120"/>
      <c r="H1153" s="120"/>
      <c r="I1153" s="118"/>
      <c r="J1153" s="118"/>
      <c r="K1153" s="115"/>
      <c r="L1153" s="115"/>
      <c r="M1153" s="8"/>
      <c r="N1153" s="8" t="str">
        <f t="shared" si="53"/>
        <v>-</v>
      </c>
      <c r="O1153" s="126"/>
      <c r="P1153" s="127"/>
      <c r="Q1153" s="127"/>
      <c r="R1153" s="126"/>
      <c r="S1153" s="127"/>
      <c r="T1153" s="8"/>
      <c r="U1153" s="158"/>
      <c r="V1153" s="7"/>
      <c r="W1153" s="7"/>
      <c r="X1153" s="146"/>
      <c r="Y1153" s="7"/>
      <c r="Z1153" s="7"/>
      <c r="AA1153" s="7" t="str">
        <f>IFERROR((VLOOKUP(F1153,#REF!,2,FALSE)),"-")</f>
        <v>-</v>
      </c>
      <c r="AB1153" s="119" t="e">
        <f>CONCATENATE(F1153," - ",I1153," - ",#REF!,)</f>
        <v>#REF!</v>
      </c>
    </row>
    <row r="1154" spans="1:28" s="116" customFormat="1" ht="15">
      <c r="A1154" s="114"/>
      <c r="B1154" s="120"/>
      <c r="C1154" s="129" t="str">
        <f t="shared" si="51"/>
        <v>week-0</v>
      </c>
      <c r="D1154" s="120" t="str">
        <f t="shared" si="52"/>
        <v>Jan</v>
      </c>
      <c r="E1154" s="7"/>
      <c r="F1154" s="7"/>
      <c r="G1154" s="120"/>
      <c r="H1154" s="120"/>
      <c r="I1154" s="118"/>
      <c r="J1154" s="118"/>
      <c r="K1154" s="115"/>
      <c r="L1154" s="115"/>
      <c r="M1154" s="8"/>
      <c r="N1154" s="8" t="str">
        <f t="shared" si="53"/>
        <v>-</v>
      </c>
      <c r="O1154" s="126"/>
      <c r="P1154" s="127"/>
      <c r="Q1154" s="127"/>
      <c r="R1154" s="126"/>
      <c r="S1154" s="127"/>
      <c r="T1154" s="8"/>
      <c r="U1154" s="158"/>
      <c r="V1154" s="7"/>
      <c r="W1154" s="7"/>
      <c r="X1154" s="146"/>
      <c r="Y1154" s="7"/>
      <c r="Z1154" s="7"/>
      <c r="AA1154" s="7" t="str">
        <f>IFERROR((VLOOKUP(F1154,#REF!,2,FALSE)),"-")</f>
        <v>-</v>
      </c>
      <c r="AB1154" s="119" t="e">
        <f>CONCATENATE(F1154," - ",I1154," - ",#REF!,)</f>
        <v>#REF!</v>
      </c>
    </row>
    <row r="1155" spans="1:28" s="116" customFormat="1" ht="15">
      <c r="A1155" s="114"/>
      <c r="B1155" s="120"/>
      <c r="C1155" s="129" t="str">
        <f t="shared" si="51"/>
        <v>week-0</v>
      </c>
      <c r="D1155" s="120" t="str">
        <f t="shared" si="52"/>
        <v>Jan</v>
      </c>
      <c r="E1155" s="7"/>
      <c r="F1155" s="7"/>
      <c r="G1155" s="120"/>
      <c r="H1155" s="120"/>
      <c r="I1155" s="118"/>
      <c r="J1155" s="118"/>
      <c r="K1155" s="115"/>
      <c r="L1155" s="115"/>
      <c r="M1155" s="8"/>
      <c r="N1155" s="8" t="str">
        <f t="shared" si="53"/>
        <v>-</v>
      </c>
      <c r="O1155" s="126"/>
      <c r="P1155" s="127"/>
      <c r="Q1155" s="127"/>
      <c r="R1155" s="126"/>
      <c r="S1155" s="127"/>
      <c r="T1155" s="8"/>
      <c r="U1155" s="158"/>
      <c r="V1155" s="7"/>
      <c r="W1155" s="7"/>
      <c r="X1155" s="146"/>
      <c r="Y1155" s="7"/>
      <c r="Z1155" s="7"/>
      <c r="AA1155" s="7" t="str">
        <f>IFERROR((VLOOKUP(F1155,#REF!,2,FALSE)),"-")</f>
        <v>-</v>
      </c>
      <c r="AB1155" s="119" t="e">
        <f>CONCATENATE(F1155," - ",I1155," - ",#REF!,)</f>
        <v>#REF!</v>
      </c>
    </row>
    <row r="1156" spans="1:28" s="116" customFormat="1" ht="15">
      <c r="A1156" s="114"/>
      <c r="B1156" s="120"/>
      <c r="C1156" s="129" t="str">
        <f t="shared" ref="C1156:C1219" si="54">"week-"&amp;WEEKNUM(B1156)</f>
        <v>week-0</v>
      </c>
      <c r="D1156" s="120" t="str">
        <f t="shared" ref="D1156:D1219" si="55">TEXT(B1156,"mmm")</f>
        <v>Jan</v>
      </c>
      <c r="E1156" s="7"/>
      <c r="F1156" s="7"/>
      <c r="G1156" s="120"/>
      <c r="H1156" s="120"/>
      <c r="I1156" s="118"/>
      <c r="J1156" s="118"/>
      <c r="K1156" s="115"/>
      <c r="L1156" s="115"/>
      <c r="M1156" s="8"/>
      <c r="N1156" s="8" t="str">
        <f t="shared" ref="N1156:N1219" si="56">IF(ISBLANK(M1156),"-",(M1156/60))</f>
        <v>-</v>
      </c>
      <c r="O1156" s="126"/>
      <c r="P1156" s="127"/>
      <c r="Q1156" s="127"/>
      <c r="R1156" s="126"/>
      <c r="S1156" s="127"/>
      <c r="T1156" s="8"/>
      <c r="U1156" s="158"/>
      <c r="V1156" s="7"/>
      <c r="W1156" s="7"/>
      <c r="X1156" s="146"/>
      <c r="Y1156" s="7"/>
      <c r="Z1156" s="7"/>
      <c r="AA1156" s="7" t="str">
        <f>IFERROR((VLOOKUP(F1156,#REF!,2,FALSE)),"-")</f>
        <v>-</v>
      </c>
      <c r="AB1156" s="119" t="e">
        <f>CONCATENATE(F1156," - ",I1156," - ",#REF!,)</f>
        <v>#REF!</v>
      </c>
    </row>
    <row r="1157" spans="1:28" s="116" customFormat="1" ht="15">
      <c r="A1157" s="114"/>
      <c r="B1157" s="120"/>
      <c r="C1157" s="129" t="str">
        <f t="shared" si="54"/>
        <v>week-0</v>
      </c>
      <c r="D1157" s="120" t="str">
        <f t="shared" si="55"/>
        <v>Jan</v>
      </c>
      <c r="E1157" s="7"/>
      <c r="F1157" s="7"/>
      <c r="G1157" s="120"/>
      <c r="H1157" s="120"/>
      <c r="I1157" s="118"/>
      <c r="J1157" s="118"/>
      <c r="K1157" s="115"/>
      <c r="L1157" s="115"/>
      <c r="M1157" s="8"/>
      <c r="N1157" s="8" t="str">
        <f t="shared" si="56"/>
        <v>-</v>
      </c>
      <c r="O1157" s="126"/>
      <c r="P1157" s="127"/>
      <c r="Q1157" s="127"/>
      <c r="R1157" s="126"/>
      <c r="S1157" s="127"/>
      <c r="T1157" s="8"/>
      <c r="U1157" s="158"/>
      <c r="V1157" s="7"/>
      <c r="W1157" s="7"/>
      <c r="X1157" s="146"/>
      <c r="Y1157" s="7"/>
      <c r="Z1157" s="7"/>
      <c r="AA1157" s="7" t="str">
        <f>IFERROR((VLOOKUP(F1157,#REF!,2,FALSE)),"-")</f>
        <v>-</v>
      </c>
      <c r="AB1157" s="119" t="e">
        <f>CONCATENATE(F1157," - ",I1157," - ",#REF!,)</f>
        <v>#REF!</v>
      </c>
    </row>
    <row r="1158" spans="1:28" s="116" customFormat="1" ht="15">
      <c r="A1158" s="114"/>
      <c r="B1158" s="120"/>
      <c r="C1158" s="129" t="str">
        <f t="shared" si="54"/>
        <v>week-0</v>
      </c>
      <c r="D1158" s="120" t="str">
        <f t="shared" si="55"/>
        <v>Jan</v>
      </c>
      <c r="E1158" s="7"/>
      <c r="F1158" s="7"/>
      <c r="G1158" s="120"/>
      <c r="H1158" s="120"/>
      <c r="I1158" s="118"/>
      <c r="J1158" s="118"/>
      <c r="K1158" s="115"/>
      <c r="L1158" s="115"/>
      <c r="M1158" s="8"/>
      <c r="N1158" s="8" t="str">
        <f t="shared" si="56"/>
        <v>-</v>
      </c>
      <c r="O1158" s="126"/>
      <c r="P1158" s="127"/>
      <c r="Q1158" s="127"/>
      <c r="R1158" s="126"/>
      <c r="S1158" s="127"/>
      <c r="T1158" s="8"/>
      <c r="U1158" s="158"/>
      <c r="V1158" s="7"/>
      <c r="W1158" s="7"/>
      <c r="X1158" s="146"/>
      <c r="Y1158" s="7"/>
      <c r="Z1158" s="7"/>
      <c r="AA1158" s="7" t="str">
        <f>IFERROR((VLOOKUP(F1158,#REF!,2,FALSE)),"-")</f>
        <v>-</v>
      </c>
      <c r="AB1158" s="119" t="e">
        <f>CONCATENATE(F1158," - ",I1158," - ",#REF!,)</f>
        <v>#REF!</v>
      </c>
    </row>
    <row r="1159" spans="1:28" s="116" customFormat="1" ht="15">
      <c r="A1159" s="114"/>
      <c r="B1159" s="120"/>
      <c r="C1159" s="129" t="str">
        <f t="shared" si="54"/>
        <v>week-0</v>
      </c>
      <c r="D1159" s="120" t="str">
        <f t="shared" si="55"/>
        <v>Jan</v>
      </c>
      <c r="E1159" s="7"/>
      <c r="F1159" s="7"/>
      <c r="G1159" s="120"/>
      <c r="H1159" s="120"/>
      <c r="I1159" s="118"/>
      <c r="J1159" s="118"/>
      <c r="K1159" s="115"/>
      <c r="L1159" s="115"/>
      <c r="M1159" s="8"/>
      <c r="N1159" s="8" t="str">
        <f t="shared" si="56"/>
        <v>-</v>
      </c>
      <c r="O1159" s="126"/>
      <c r="P1159" s="127"/>
      <c r="Q1159" s="127"/>
      <c r="R1159" s="126"/>
      <c r="S1159" s="127"/>
      <c r="T1159" s="8"/>
      <c r="U1159" s="158"/>
      <c r="V1159" s="7"/>
      <c r="W1159" s="7"/>
      <c r="X1159" s="146"/>
      <c r="Y1159" s="7"/>
      <c r="Z1159" s="7"/>
      <c r="AA1159" s="7" t="str">
        <f>IFERROR((VLOOKUP(F1159,#REF!,2,FALSE)),"-")</f>
        <v>-</v>
      </c>
      <c r="AB1159" s="119" t="e">
        <f>CONCATENATE(F1159," - ",I1159," - ",#REF!,)</f>
        <v>#REF!</v>
      </c>
    </row>
    <row r="1160" spans="1:28" s="116" customFormat="1" ht="15">
      <c r="A1160" s="114"/>
      <c r="B1160" s="120"/>
      <c r="C1160" s="129" t="str">
        <f t="shared" si="54"/>
        <v>week-0</v>
      </c>
      <c r="D1160" s="120" t="str">
        <f t="shared" si="55"/>
        <v>Jan</v>
      </c>
      <c r="E1160" s="7"/>
      <c r="F1160" s="7"/>
      <c r="G1160" s="120"/>
      <c r="H1160" s="120"/>
      <c r="I1160" s="118"/>
      <c r="J1160" s="118"/>
      <c r="K1160" s="115"/>
      <c r="L1160" s="115"/>
      <c r="M1160" s="8"/>
      <c r="N1160" s="8" t="str">
        <f t="shared" si="56"/>
        <v>-</v>
      </c>
      <c r="O1160" s="126"/>
      <c r="P1160" s="127"/>
      <c r="Q1160" s="127"/>
      <c r="R1160" s="126"/>
      <c r="S1160" s="127"/>
      <c r="T1160" s="8"/>
      <c r="U1160" s="158"/>
      <c r="V1160" s="7"/>
      <c r="W1160" s="7"/>
      <c r="X1160" s="146"/>
      <c r="Y1160" s="7"/>
      <c r="Z1160" s="7"/>
      <c r="AA1160" s="7" t="str">
        <f>IFERROR((VLOOKUP(F1160,#REF!,2,FALSE)),"-")</f>
        <v>-</v>
      </c>
      <c r="AB1160" s="119" t="e">
        <f>CONCATENATE(F1160," - ",I1160," - ",#REF!,)</f>
        <v>#REF!</v>
      </c>
    </row>
    <row r="1161" spans="1:28" s="116" customFormat="1" ht="15">
      <c r="A1161" s="114"/>
      <c r="B1161" s="120"/>
      <c r="C1161" s="129" t="str">
        <f t="shared" si="54"/>
        <v>week-0</v>
      </c>
      <c r="D1161" s="120" t="str">
        <f t="shared" si="55"/>
        <v>Jan</v>
      </c>
      <c r="E1161" s="7"/>
      <c r="F1161" s="7"/>
      <c r="G1161" s="120"/>
      <c r="H1161" s="120"/>
      <c r="I1161" s="118"/>
      <c r="J1161" s="118"/>
      <c r="K1161" s="115"/>
      <c r="L1161" s="115"/>
      <c r="M1161" s="8"/>
      <c r="N1161" s="8" t="str">
        <f t="shared" si="56"/>
        <v>-</v>
      </c>
      <c r="O1161" s="126"/>
      <c r="P1161" s="127"/>
      <c r="Q1161" s="127"/>
      <c r="R1161" s="126"/>
      <c r="S1161" s="127"/>
      <c r="T1161" s="8"/>
      <c r="U1161" s="158"/>
      <c r="V1161" s="7"/>
      <c r="W1161" s="7"/>
      <c r="X1161" s="146"/>
      <c r="Y1161" s="7"/>
      <c r="Z1161" s="7"/>
      <c r="AA1161" s="7" t="str">
        <f>IFERROR((VLOOKUP(F1161,#REF!,2,FALSE)),"-")</f>
        <v>-</v>
      </c>
      <c r="AB1161" s="119" t="e">
        <f>CONCATENATE(F1161," - ",I1161," - ",#REF!,)</f>
        <v>#REF!</v>
      </c>
    </row>
    <row r="1162" spans="1:28" s="116" customFormat="1" ht="15">
      <c r="A1162" s="114"/>
      <c r="B1162" s="120"/>
      <c r="C1162" s="129" t="str">
        <f t="shared" si="54"/>
        <v>week-0</v>
      </c>
      <c r="D1162" s="120" t="str">
        <f t="shared" si="55"/>
        <v>Jan</v>
      </c>
      <c r="E1162" s="7"/>
      <c r="F1162" s="7"/>
      <c r="G1162" s="120"/>
      <c r="H1162" s="120"/>
      <c r="I1162" s="118"/>
      <c r="J1162" s="118"/>
      <c r="K1162" s="115"/>
      <c r="L1162" s="115"/>
      <c r="M1162" s="8"/>
      <c r="N1162" s="8" t="str">
        <f t="shared" si="56"/>
        <v>-</v>
      </c>
      <c r="O1162" s="126"/>
      <c r="P1162" s="127"/>
      <c r="Q1162" s="127"/>
      <c r="R1162" s="126"/>
      <c r="S1162" s="127"/>
      <c r="T1162" s="8"/>
      <c r="U1162" s="158"/>
      <c r="V1162" s="7"/>
      <c r="W1162" s="7"/>
      <c r="X1162" s="146"/>
      <c r="Y1162" s="7"/>
      <c r="Z1162" s="7"/>
      <c r="AA1162" s="7" t="str">
        <f>IFERROR((VLOOKUP(F1162,#REF!,2,FALSE)),"-")</f>
        <v>-</v>
      </c>
      <c r="AB1162" s="119" t="e">
        <f>CONCATENATE(F1162," - ",I1162," - ",#REF!,)</f>
        <v>#REF!</v>
      </c>
    </row>
    <row r="1163" spans="1:28" s="116" customFormat="1" ht="15">
      <c r="A1163" s="114"/>
      <c r="B1163" s="120"/>
      <c r="C1163" s="129" t="str">
        <f t="shared" si="54"/>
        <v>week-0</v>
      </c>
      <c r="D1163" s="120" t="str">
        <f t="shared" si="55"/>
        <v>Jan</v>
      </c>
      <c r="E1163" s="7"/>
      <c r="F1163" s="7"/>
      <c r="G1163" s="120"/>
      <c r="H1163" s="120"/>
      <c r="I1163" s="118"/>
      <c r="J1163" s="118"/>
      <c r="K1163" s="115"/>
      <c r="L1163" s="115"/>
      <c r="M1163" s="8"/>
      <c r="N1163" s="8" t="str">
        <f t="shared" si="56"/>
        <v>-</v>
      </c>
      <c r="O1163" s="126"/>
      <c r="P1163" s="127"/>
      <c r="Q1163" s="127"/>
      <c r="R1163" s="126"/>
      <c r="S1163" s="127"/>
      <c r="T1163" s="8"/>
      <c r="U1163" s="158"/>
      <c r="V1163" s="7"/>
      <c r="W1163" s="7"/>
      <c r="X1163" s="146"/>
      <c r="Y1163" s="7"/>
      <c r="Z1163" s="7"/>
      <c r="AA1163" s="7" t="str">
        <f>IFERROR((VLOOKUP(F1163,#REF!,2,FALSE)),"-")</f>
        <v>-</v>
      </c>
      <c r="AB1163" s="119" t="e">
        <f>CONCATENATE(F1163," - ",I1163," - ",#REF!,)</f>
        <v>#REF!</v>
      </c>
    </row>
    <row r="1164" spans="1:28" s="116" customFormat="1" ht="15">
      <c r="A1164" s="114"/>
      <c r="B1164" s="120"/>
      <c r="C1164" s="129" t="str">
        <f t="shared" si="54"/>
        <v>week-0</v>
      </c>
      <c r="D1164" s="120" t="str">
        <f t="shared" si="55"/>
        <v>Jan</v>
      </c>
      <c r="E1164" s="7"/>
      <c r="F1164" s="7"/>
      <c r="G1164" s="120"/>
      <c r="H1164" s="120"/>
      <c r="I1164" s="118"/>
      <c r="J1164" s="118"/>
      <c r="K1164" s="115"/>
      <c r="L1164" s="115"/>
      <c r="M1164" s="8"/>
      <c r="N1164" s="8" t="str">
        <f t="shared" si="56"/>
        <v>-</v>
      </c>
      <c r="O1164" s="126"/>
      <c r="P1164" s="127"/>
      <c r="Q1164" s="127"/>
      <c r="R1164" s="126"/>
      <c r="S1164" s="127"/>
      <c r="T1164" s="8"/>
      <c r="U1164" s="158"/>
      <c r="V1164" s="7"/>
      <c r="W1164" s="7"/>
      <c r="X1164" s="146"/>
      <c r="Y1164" s="7"/>
      <c r="Z1164" s="7"/>
      <c r="AA1164" s="7" t="str">
        <f>IFERROR((VLOOKUP(F1164,#REF!,2,FALSE)),"-")</f>
        <v>-</v>
      </c>
      <c r="AB1164" s="119" t="e">
        <f>CONCATENATE(F1164," - ",I1164," - ",#REF!,)</f>
        <v>#REF!</v>
      </c>
    </row>
    <row r="1165" spans="1:28" s="116" customFormat="1" ht="15">
      <c r="A1165" s="114"/>
      <c r="B1165" s="120"/>
      <c r="C1165" s="129" t="str">
        <f t="shared" si="54"/>
        <v>week-0</v>
      </c>
      <c r="D1165" s="120" t="str">
        <f t="shared" si="55"/>
        <v>Jan</v>
      </c>
      <c r="E1165" s="7"/>
      <c r="F1165" s="7"/>
      <c r="G1165" s="120"/>
      <c r="H1165" s="120"/>
      <c r="I1165" s="118"/>
      <c r="J1165" s="118"/>
      <c r="K1165" s="115"/>
      <c r="L1165" s="115"/>
      <c r="M1165" s="8"/>
      <c r="N1165" s="8" t="str">
        <f t="shared" si="56"/>
        <v>-</v>
      </c>
      <c r="O1165" s="126"/>
      <c r="P1165" s="127"/>
      <c r="Q1165" s="127"/>
      <c r="R1165" s="126"/>
      <c r="S1165" s="127"/>
      <c r="T1165" s="8"/>
      <c r="U1165" s="158"/>
      <c r="V1165" s="7"/>
      <c r="W1165" s="7"/>
      <c r="X1165" s="146"/>
      <c r="Y1165" s="7"/>
      <c r="Z1165" s="7"/>
      <c r="AA1165" s="7" t="str">
        <f>IFERROR((VLOOKUP(F1165,#REF!,2,FALSE)),"-")</f>
        <v>-</v>
      </c>
      <c r="AB1165" s="119" t="e">
        <f>CONCATENATE(F1165," - ",I1165," - ",#REF!,)</f>
        <v>#REF!</v>
      </c>
    </row>
    <row r="1166" spans="1:28" s="116" customFormat="1" ht="15">
      <c r="A1166" s="114"/>
      <c r="B1166" s="120"/>
      <c r="C1166" s="129" t="str">
        <f t="shared" si="54"/>
        <v>week-0</v>
      </c>
      <c r="D1166" s="120" t="str">
        <f t="shared" si="55"/>
        <v>Jan</v>
      </c>
      <c r="E1166" s="7"/>
      <c r="F1166" s="7"/>
      <c r="G1166" s="120"/>
      <c r="H1166" s="120"/>
      <c r="I1166" s="118"/>
      <c r="J1166" s="118"/>
      <c r="K1166" s="115"/>
      <c r="L1166" s="115"/>
      <c r="M1166" s="8"/>
      <c r="N1166" s="8" t="str">
        <f t="shared" si="56"/>
        <v>-</v>
      </c>
      <c r="O1166" s="126"/>
      <c r="P1166" s="127"/>
      <c r="Q1166" s="127"/>
      <c r="R1166" s="126"/>
      <c r="S1166" s="127"/>
      <c r="T1166" s="8"/>
      <c r="U1166" s="158"/>
      <c r="V1166" s="7"/>
      <c r="W1166" s="7"/>
      <c r="X1166" s="146"/>
      <c r="Y1166" s="7"/>
      <c r="Z1166" s="7"/>
      <c r="AA1166" s="7" t="str">
        <f>IFERROR((VLOOKUP(F1166,#REF!,2,FALSE)),"-")</f>
        <v>-</v>
      </c>
      <c r="AB1166" s="119" t="e">
        <f>CONCATENATE(F1166," - ",I1166," - ",#REF!,)</f>
        <v>#REF!</v>
      </c>
    </row>
    <row r="1167" spans="1:28" s="116" customFormat="1" ht="15">
      <c r="A1167" s="114"/>
      <c r="B1167" s="120"/>
      <c r="C1167" s="129" t="str">
        <f t="shared" si="54"/>
        <v>week-0</v>
      </c>
      <c r="D1167" s="120" t="str">
        <f t="shared" si="55"/>
        <v>Jan</v>
      </c>
      <c r="E1167" s="7"/>
      <c r="F1167" s="7"/>
      <c r="G1167" s="120"/>
      <c r="H1167" s="120"/>
      <c r="I1167" s="118"/>
      <c r="J1167" s="118"/>
      <c r="K1167" s="115"/>
      <c r="L1167" s="115"/>
      <c r="M1167" s="8"/>
      <c r="N1167" s="8" t="str">
        <f t="shared" si="56"/>
        <v>-</v>
      </c>
      <c r="O1167" s="126"/>
      <c r="P1167" s="127"/>
      <c r="Q1167" s="127"/>
      <c r="R1167" s="126"/>
      <c r="S1167" s="127"/>
      <c r="T1167" s="8"/>
      <c r="U1167" s="158"/>
      <c r="V1167" s="7"/>
      <c r="W1167" s="7"/>
      <c r="X1167" s="146"/>
      <c r="Y1167" s="7"/>
      <c r="Z1167" s="7"/>
      <c r="AA1167" s="7" t="str">
        <f>IFERROR((VLOOKUP(F1167,#REF!,2,FALSE)),"-")</f>
        <v>-</v>
      </c>
      <c r="AB1167" s="119" t="e">
        <f>CONCATENATE(F1167," - ",I1167," - ",#REF!,)</f>
        <v>#REF!</v>
      </c>
    </row>
    <row r="1168" spans="1:28" s="116" customFormat="1" ht="15">
      <c r="A1168" s="114"/>
      <c r="B1168" s="120"/>
      <c r="C1168" s="129" t="str">
        <f t="shared" si="54"/>
        <v>week-0</v>
      </c>
      <c r="D1168" s="120" t="str">
        <f t="shared" si="55"/>
        <v>Jan</v>
      </c>
      <c r="E1168" s="7"/>
      <c r="F1168" s="7"/>
      <c r="G1168" s="120"/>
      <c r="H1168" s="120"/>
      <c r="I1168" s="118"/>
      <c r="J1168" s="118"/>
      <c r="K1168" s="115"/>
      <c r="L1168" s="115"/>
      <c r="M1168" s="8"/>
      <c r="N1168" s="8" t="str">
        <f t="shared" si="56"/>
        <v>-</v>
      </c>
      <c r="O1168" s="126"/>
      <c r="P1168" s="127"/>
      <c r="Q1168" s="127"/>
      <c r="R1168" s="126"/>
      <c r="S1168" s="127"/>
      <c r="T1168" s="8"/>
      <c r="U1168" s="158"/>
      <c r="V1168" s="7"/>
      <c r="W1168" s="7"/>
      <c r="X1168" s="146"/>
      <c r="Y1168" s="7"/>
      <c r="Z1168" s="7"/>
      <c r="AA1168" s="7" t="str">
        <f>IFERROR((VLOOKUP(F1168,#REF!,2,FALSE)),"-")</f>
        <v>-</v>
      </c>
      <c r="AB1168" s="119" t="e">
        <f>CONCATENATE(F1168," - ",I1168," - ",#REF!,)</f>
        <v>#REF!</v>
      </c>
    </row>
    <row r="1169" spans="1:28" s="116" customFormat="1" ht="15">
      <c r="A1169" s="114"/>
      <c r="B1169" s="120"/>
      <c r="C1169" s="129" t="str">
        <f t="shared" si="54"/>
        <v>week-0</v>
      </c>
      <c r="D1169" s="120" t="str">
        <f t="shared" si="55"/>
        <v>Jan</v>
      </c>
      <c r="E1169" s="7"/>
      <c r="F1169" s="7"/>
      <c r="G1169" s="120"/>
      <c r="H1169" s="120"/>
      <c r="I1169" s="118"/>
      <c r="J1169" s="118"/>
      <c r="K1169" s="115"/>
      <c r="L1169" s="115"/>
      <c r="M1169" s="8"/>
      <c r="N1169" s="8" t="str">
        <f t="shared" si="56"/>
        <v>-</v>
      </c>
      <c r="O1169" s="126"/>
      <c r="P1169" s="127"/>
      <c r="Q1169" s="127"/>
      <c r="R1169" s="126"/>
      <c r="S1169" s="127"/>
      <c r="T1169" s="8"/>
      <c r="U1169" s="158"/>
      <c r="V1169" s="7"/>
      <c r="W1169" s="7"/>
      <c r="X1169" s="146"/>
      <c r="Y1169" s="7"/>
      <c r="Z1169" s="7"/>
      <c r="AA1169" s="7" t="str">
        <f>IFERROR((VLOOKUP(F1169,#REF!,2,FALSE)),"-")</f>
        <v>-</v>
      </c>
      <c r="AB1169" s="119" t="e">
        <f>CONCATENATE(F1169," - ",I1169," - ",#REF!,)</f>
        <v>#REF!</v>
      </c>
    </row>
    <row r="1170" spans="1:28" s="116" customFormat="1" ht="15">
      <c r="A1170" s="114"/>
      <c r="B1170" s="120"/>
      <c r="C1170" s="129" t="str">
        <f t="shared" si="54"/>
        <v>week-0</v>
      </c>
      <c r="D1170" s="120" t="str">
        <f t="shared" si="55"/>
        <v>Jan</v>
      </c>
      <c r="E1170" s="7"/>
      <c r="F1170" s="7"/>
      <c r="G1170" s="120"/>
      <c r="H1170" s="120"/>
      <c r="I1170" s="118"/>
      <c r="J1170" s="118"/>
      <c r="K1170" s="115"/>
      <c r="L1170" s="115"/>
      <c r="M1170" s="8"/>
      <c r="N1170" s="8" t="str">
        <f t="shared" si="56"/>
        <v>-</v>
      </c>
      <c r="O1170" s="126"/>
      <c r="P1170" s="127"/>
      <c r="Q1170" s="127"/>
      <c r="R1170" s="126"/>
      <c r="S1170" s="127"/>
      <c r="T1170" s="8"/>
      <c r="U1170" s="158"/>
      <c r="V1170" s="7"/>
      <c r="W1170" s="7"/>
      <c r="X1170" s="146"/>
      <c r="Y1170" s="7"/>
      <c r="Z1170" s="7"/>
      <c r="AA1170" s="7" t="str">
        <f>IFERROR((VLOOKUP(F1170,#REF!,2,FALSE)),"-")</f>
        <v>-</v>
      </c>
      <c r="AB1170" s="119" t="e">
        <f>CONCATENATE(F1170," - ",I1170," - ",#REF!,)</f>
        <v>#REF!</v>
      </c>
    </row>
    <row r="1171" spans="1:28" s="116" customFormat="1" ht="15">
      <c r="A1171" s="114"/>
      <c r="B1171" s="120"/>
      <c r="C1171" s="129" t="str">
        <f t="shared" si="54"/>
        <v>week-0</v>
      </c>
      <c r="D1171" s="120" t="str">
        <f t="shared" si="55"/>
        <v>Jan</v>
      </c>
      <c r="E1171" s="7"/>
      <c r="F1171" s="7"/>
      <c r="G1171" s="120"/>
      <c r="H1171" s="120"/>
      <c r="I1171" s="118"/>
      <c r="J1171" s="118"/>
      <c r="K1171" s="115"/>
      <c r="L1171" s="115"/>
      <c r="M1171" s="8"/>
      <c r="N1171" s="8" t="str">
        <f t="shared" si="56"/>
        <v>-</v>
      </c>
      <c r="O1171" s="127"/>
      <c r="P1171" s="127"/>
      <c r="Q1171" s="127"/>
      <c r="R1171" s="127"/>
      <c r="S1171" s="127"/>
      <c r="T1171" s="139"/>
      <c r="U1171" s="158"/>
      <c r="V1171" s="7"/>
      <c r="W1171" s="7"/>
      <c r="X1171" s="146"/>
      <c r="Y1171" s="7"/>
      <c r="Z1171" s="7"/>
      <c r="AA1171" s="7" t="str">
        <f>IFERROR((VLOOKUP(F1171,#REF!,2,FALSE)),"-")</f>
        <v>-</v>
      </c>
      <c r="AB1171" s="119" t="e">
        <f>CONCATENATE(F1171," - ",I1171," - ",#REF!,)</f>
        <v>#REF!</v>
      </c>
    </row>
    <row r="1172" spans="1:28" s="116" customFormat="1" ht="15">
      <c r="A1172" s="114"/>
      <c r="B1172" s="120"/>
      <c r="C1172" s="129" t="str">
        <f t="shared" si="54"/>
        <v>week-0</v>
      </c>
      <c r="D1172" s="120" t="str">
        <f t="shared" si="55"/>
        <v>Jan</v>
      </c>
      <c r="E1172" s="7"/>
      <c r="F1172" s="7"/>
      <c r="G1172" s="120"/>
      <c r="H1172" s="120"/>
      <c r="I1172" s="118"/>
      <c r="J1172" s="118"/>
      <c r="K1172" s="115"/>
      <c r="L1172" s="115"/>
      <c r="M1172" s="8"/>
      <c r="N1172" s="8" t="str">
        <f t="shared" si="56"/>
        <v>-</v>
      </c>
      <c r="O1172" s="126"/>
      <c r="P1172" s="127"/>
      <c r="Q1172" s="127"/>
      <c r="R1172" s="126"/>
      <c r="S1172" s="127"/>
      <c r="T1172" s="8"/>
      <c r="U1172" s="158"/>
      <c r="V1172" s="7"/>
      <c r="W1172" s="7"/>
      <c r="X1172" s="146"/>
      <c r="Y1172" s="7"/>
      <c r="Z1172" s="7"/>
      <c r="AA1172" s="7" t="str">
        <f>IFERROR((VLOOKUP(F1172,#REF!,2,FALSE)),"-")</f>
        <v>-</v>
      </c>
      <c r="AB1172" s="119" t="e">
        <f>CONCATENATE(F1172," - ",I1172," - ",#REF!,)</f>
        <v>#REF!</v>
      </c>
    </row>
    <row r="1173" spans="1:28" s="116" customFormat="1" ht="15">
      <c r="A1173" s="114"/>
      <c r="B1173" s="120"/>
      <c r="C1173" s="129" t="str">
        <f t="shared" si="54"/>
        <v>week-0</v>
      </c>
      <c r="D1173" s="120" t="str">
        <f t="shared" si="55"/>
        <v>Jan</v>
      </c>
      <c r="E1173" s="7"/>
      <c r="F1173" s="7"/>
      <c r="G1173" s="120"/>
      <c r="H1173" s="120"/>
      <c r="I1173" s="118"/>
      <c r="J1173" s="118"/>
      <c r="K1173" s="115"/>
      <c r="L1173" s="115"/>
      <c r="M1173" s="8"/>
      <c r="N1173" s="8" t="str">
        <f t="shared" si="56"/>
        <v>-</v>
      </c>
      <c r="O1173" s="126"/>
      <c r="P1173" s="127"/>
      <c r="Q1173" s="127"/>
      <c r="R1173" s="126"/>
      <c r="S1173" s="127"/>
      <c r="T1173" s="8"/>
      <c r="U1173" s="158"/>
      <c r="V1173" s="7"/>
      <c r="W1173" s="7"/>
      <c r="X1173" s="146"/>
      <c r="Y1173" s="7"/>
      <c r="Z1173" s="7"/>
      <c r="AA1173" s="7" t="str">
        <f>IFERROR((VLOOKUP(F1173,#REF!,2,FALSE)),"-")</f>
        <v>-</v>
      </c>
      <c r="AB1173" s="119" t="e">
        <f>CONCATENATE(F1173," - ",I1173," - ",#REF!,)</f>
        <v>#REF!</v>
      </c>
    </row>
    <row r="1174" spans="1:28" s="116" customFormat="1" ht="15">
      <c r="A1174" s="114"/>
      <c r="B1174" s="120"/>
      <c r="C1174" s="129" t="str">
        <f t="shared" si="54"/>
        <v>week-0</v>
      </c>
      <c r="D1174" s="120" t="str">
        <f t="shared" si="55"/>
        <v>Jan</v>
      </c>
      <c r="E1174" s="7"/>
      <c r="F1174" s="7"/>
      <c r="G1174" s="120"/>
      <c r="H1174" s="120"/>
      <c r="I1174" s="118"/>
      <c r="J1174" s="118"/>
      <c r="K1174" s="115"/>
      <c r="L1174" s="115"/>
      <c r="M1174" s="8"/>
      <c r="N1174" s="8" t="str">
        <f t="shared" si="56"/>
        <v>-</v>
      </c>
      <c r="O1174" s="126"/>
      <c r="P1174" s="127"/>
      <c r="Q1174" s="127"/>
      <c r="R1174" s="126"/>
      <c r="S1174" s="127"/>
      <c r="T1174" s="8"/>
      <c r="U1174" s="158"/>
      <c r="V1174" s="7"/>
      <c r="W1174" s="7"/>
      <c r="X1174" s="146"/>
      <c r="Y1174" s="7"/>
      <c r="Z1174" s="7"/>
      <c r="AA1174" s="7" t="str">
        <f>IFERROR((VLOOKUP(F1174,#REF!,2,FALSE)),"-")</f>
        <v>-</v>
      </c>
      <c r="AB1174" s="119" t="e">
        <f>CONCATENATE(F1174," - ",I1174," - ",#REF!,)</f>
        <v>#REF!</v>
      </c>
    </row>
    <row r="1175" spans="1:28" s="116" customFormat="1" ht="15">
      <c r="A1175" s="114"/>
      <c r="B1175" s="120"/>
      <c r="C1175" s="129" t="str">
        <f t="shared" si="54"/>
        <v>week-0</v>
      </c>
      <c r="D1175" s="120" t="str">
        <f t="shared" si="55"/>
        <v>Jan</v>
      </c>
      <c r="E1175" s="7"/>
      <c r="F1175" s="7"/>
      <c r="G1175" s="120"/>
      <c r="H1175" s="120"/>
      <c r="I1175" s="118"/>
      <c r="J1175" s="118"/>
      <c r="K1175" s="115"/>
      <c r="L1175" s="115"/>
      <c r="M1175" s="8"/>
      <c r="N1175" s="8" t="str">
        <f t="shared" si="56"/>
        <v>-</v>
      </c>
      <c r="O1175" s="126"/>
      <c r="P1175" s="127"/>
      <c r="Q1175" s="127"/>
      <c r="R1175" s="126"/>
      <c r="S1175" s="127"/>
      <c r="T1175" s="8"/>
      <c r="U1175" s="158"/>
      <c r="V1175" s="7"/>
      <c r="W1175" s="7"/>
      <c r="X1175" s="146"/>
      <c r="Y1175" s="7"/>
      <c r="Z1175" s="7"/>
      <c r="AA1175" s="7" t="str">
        <f>IFERROR((VLOOKUP(F1175,#REF!,2,FALSE)),"-")</f>
        <v>-</v>
      </c>
      <c r="AB1175" s="119" t="e">
        <f>CONCATENATE(F1175," - ",I1175," - ",#REF!,)</f>
        <v>#REF!</v>
      </c>
    </row>
    <row r="1176" spans="1:28" s="116" customFormat="1" ht="15">
      <c r="A1176" s="114"/>
      <c r="B1176" s="120"/>
      <c r="C1176" s="129" t="str">
        <f t="shared" si="54"/>
        <v>week-0</v>
      </c>
      <c r="D1176" s="120" t="str">
        <f t="shared" si="55"/>
        <v>Jan</v>
      </c>
      <c r="E1176" s="7"/>
      <c r="F1176" s="7"/>
      <c r="G1176" s="120"/>
      <c r="H1176" s="120"/>
      <c r="I1176" s="118"/>
      <c r="J1176" s="118"/>
      <c r="K1176" s="115"/>
      <c r="L1176" s="115"/>
      <c r="M1176" s="8"/>
      <c r="N1176" s="8" t="str">
        <f t="shared" si="56"/>
        <v>-</v>
      </c>
      <c r="O1176" s="126"/>
      <c r="P1176" s="127"/>
      <c r="Q1176" s="127"/>
      <c r="R1176" s="126"/>
      <c r="S1176" s="127"/>
      <c r="T1176" s="8"/>
      <c r="U1176" s="158"/>
      <c r="V1176" s="7"/>
      <c r="W1176" s="7"/>
      <c r="X1176" s="146"/>
      <c r="Y1176" s="7"/>
      <c r="Z1176" s="7"/>
      <c r="AA1176" s="7" t="str">
        <f>IFERROR((VLOOKUP(F1176,#REF!,2,FALSE)),"-")</f>
        <v>-</v>
      </c>
      <c r="AB1176" s="119" t="e">
        <f>CONCATENATE(F1176," - ",I1176," - ",#REF!,)</f>
        <v>#REF!</v>
      </c>
    </row>
    <row r="1177" spans="1:28" s="116" customFormat="1" ht="15">
      <c r="A1177" s="114"/>
      <c r="B1177" s="120"/>
      <c r="C1177" s="129" t="str">
        <f t="shared" si="54"/>
        <v>week-0</v>
      </c>
      <c r="D1177" s="120" t="str">
        <f t="shared" si="55"/>
        <v>Jan</v>
      </c>
      <c r="E1177" s="7"/>
      <c r="F1177" s="7"/>
      <c r="G1177" s="120"/>
      <c r="H1177" s="120"/>
      <c r="I1177" s="118"/>
      <c r="J1177" s="118"/>
      <c r="K1177" s="115"/>
      <c r="L1177" s="115"/>
      <c r="M1177" s="8"/>
      <c r="N1177" s="8" t="str">
        <f t="shared" si="56"/>
        <v>-</v>
      </c>
      <c r="O1177" s="126"/>
      <c r="P1177" s="127"/>
      <c r="Q1177" s="127"/>
      <c r="R1177" s="126"/>
      <c r="S1177" s="127"/>
      <c r="T1177" s="8"/>
      <c r="U1177" s="158"/>
      <c r="V1177" s="7"/>
      <c r="W1177" s="7"/>
      <c r="X1177" s="146"/>
      <c r="Y1177" s="7"/>
      <c r="Z1177" s="7"/>
      <c r="AA1177" s="7" t="str">
        <f>IFERROR((VLOOKUP(F1177,#REF!,2,FALSE)),"-")</f>
        <v>-</v>
      </c>
      <c r="AB1177" s="119" t="e">
        <f>CONCATENATE(F1177," - ",I1177," - ",#REF!,)</f>
        <v>#REF!</v>
      </c>
    </row>
    <row r="1178" spans="1:28" s="116" customFormat="1" ht="15">
      <c r="A1178" s="114"/>
      <c r="B1178" s="120"/>
      <c r="C1178" s="129" t="str">
        <f t="shared" si="54"/>
        <v>week-0</v>
      </c>
      <c r="D1178" s="120" t="str">
        <f t="shared" si="55"/>
        <v>Jan</v>
      </c>
      <c r="E1178" s="7"/>
      <c r="F1178" s="7"/>
      <c r="G1178" s="120"/>
      <c r="H1178" s="120"/>
      <c r="I1178" s="118"/>
      <c r="J1178" s="118"/>
      <c r="K1178" s="115"/>
      <c r="L1178" s="115"/>
      <c r="M1178" s="8"/>
      <c r="N1178" s="8" t="str">
        <f t="shared" si="56"/>
        <v>-</v>
      </c>
      <c r="O1178" s="126"/>
      <c r="P1178" s="127"/>
      <c r="Q1178" s="127"/>
      <c r="R1178" s="126"/>
      <c r="S1178" s="127"/>
      <c r="T1178" s="8"/>
      <c r="U1178" s="158"/>
      <c r="V1178" s="7"/>
      <c r="W1178" s="7"/>
      <c r="X1178" s="146"/>
      <c r="Y1178" s="7"/>
      <c r="Z1178" s="7"/>
      <c r="AA1178" s="7" t="str">
        <f>IFERROR((VLOOKUP(F1178,#REF!,2,FALSE)),"-")</f>
        <v>-</v>
      </c>
      <c r="AB1178" s="119" t="e">
        <f>CONCATENATE(F1178," - ",I1178," - ",#REF!,)</f>
        <v>#REF!</v>
      </c>
    </row>
    <row r="1179" spans="1:28" s="116" customFormat="1" ht="15">
      <c r="A1179" s="114"/>
      <c r="B1179" s="120"/>
      <c r="C1179" s="129" t="str">
        <f t="shared" si="54"/>
        <v>week-0</v>
      </c>
      <c r="D1179" s="120" t="str">
        <f t="shared" si="55"/>
        <v>Jan</v>
      </c>
      <c r="E1179" s="7"/>
      <c r="F1179" s="7"/>
      <c r="G1179" s="120"/>
      <c r="H1179" s="120"/>
      <c r="I1179" s="118"/>
      <c r="J1179" s="118"/>
      <c r="K1179" s="115"/>
      <c r="L1179" s="115"/>
      <c r="M1179" s="8"/>
      <c r="N1179" s="8" t="str">
        <f t="shared" si="56"/>
        <v>-</v>
      </c>
      <c r="O1179" s="126"/>
      <c r="P1179" s="127"/>
      <c r="Q1179" s="127"/>
      <c r="R1179" s="126"/>
      <c r="S1179" s="127"/>
      <c r="T1179" s="8"/>
      <c r="U1179" s="158"/>
      <c r="V1179" s="7"/>
      <c r="W1179" s="7"/>
      <c r="X1179" s="146"/>
      <c r="Y1179" s="7"/>
      <c r="Z1179" s="7"/>
      <c r="AA1179" s="7" t="str">
        <f>IFERROR((VLOOKUP(F1179,#REF!,2,FALSE)),"-")</f>
        <v>-</v>
      </c>
      <c r="AB1179" s="119" t="e">
        <f>CONCATENATE(F1179," - ",I1179," - ",#REF!,)</f>
        <v>#REF!</v>
      </c>
    </row>
    <row r="1180" spans="1:28" s="116" customFormat="1" ht="15">
      <c r="A1180" s="114"/>
      <c r="B1180" s="120"/>
      <c r="C1180" s="129" t="str">
        <f t="shared" si="54"/>
        <v>week-0</v>
      </c>
      <c r="D1180" s="120" t="str">
        <f t="shared" si="55"/>
        <v>Jan</v>
      </c>
      <c r="E1180" s="7"/>
      <c r="F1180" s="7"/>
      <c r="G1180" s="120"/>
      <c r="H1180" s="120"/>
      <c r="I1180" s="118"/>
      <c r="J1180" s="118"/>
      <c r="K1180" s="115"/>
      <c r="L1180" s="115"/>
      <c r="M1180" s="8"/>
      <c r="N1180" s="8" t="str">
        <f t="shared" si="56"/>
        <v>-</v>
      </c>
      <c r="O1180" s="126"/>
      <c r="P1180" s="127"/>
      <c r="Q1180" s="127"/>
      <c r="R1180" s="126"/>
      <c r="S1180" s="127"/>
      <c r="T1180" s="8"/>
      <c r="U1180" s="158"/>
      <c r="V1180" s="7"/>
      <c r="W1180" s="7"/>
      <c r="X1180" s="146"/>
      <c r="Y1180" s="7"/>
      <c r="Z1180" s="7"/>
      <c r="AA1180" s="7" t="str">
        <f>IFERROR((VLOOKUP(F1180,#REF!,2,FALSE)),"-")</f>
        <v>-</v>
      </c>
      <c r="AB1180" s="119" t="e">
        <f>CONCATENATE(F1180," - ",I1180," - ",#REF!,)</f>
        <v>#REF!</v>
      </c>
    </row>
    <row r="1181" spans="1:28" s="116" customFormat="1" ht="15">
      <c r="A1181" s="114"/>
      <c r="B1181" s="120"/>
      <c r="C1181" s="129" t="str">
        <f t="shared" si="54"/>
        <v>week-0</v>
      </c>
      <c r="D1181" s="120" t="str">
        <f t="shared" si="55"/>
        <v>Jan</v>
      </c>
      <c r="E1181" s="7"/>
      <c r="F1181" s="7"/>
      <c r="G1181" s="120"/>
      <c r="H1181" s="120"/>
      <c r="I1181" s="118"/>
      <c r="J1181" s="118"/>
      <c r="K1181" s="115"/>
      <c r="L1181" s="115"/>
      <c r="M1181" s="8"/>
      <c r="N1181" s="8" t="str">
        <f t="shared" si="56"/>
        <v>-</v>
      </c>
      <c r="O1181" s="126"/>
      <c r="P1181" s="127"/>
      <c r="Q1181" s="127"/>
      <c r="R1181" s="126"/>
      <c r="S1181" s="127"/>
      <c r="T1181" s="8"/>
      <c r="U1181" s="158"/>
      <c r="V1181" s="7"/>
      <c r="W1181" s="7"/>
      <c r="X1181" s="146"/>
      <c r="Y1181" s="7"/>
      <c r="Z1181" s="7"/>
      <c r="AA1181" s="7" t="str">
        <f>IFERROR((VLOOKUP(F1181,#REF!,2,FALSE)),"-")</f>
        <v>-</v>
      </c>
      <c r="AB1181" s="119" t="e">
        <f>CONCATENATE(F1181," - ",I1181," - ",#REF!,)</f>
        <v>#REF!</v>
      </c>
    </row>
    <row r="1182" spans="1:28" s="116" customFormat="1" ht="15">
      <c r="A1182" s="114"/>
      <c r="B1182" s="120"/>
      <c r="C1182" s="129" t="str">
        <f t="shared" si="54"/>
        <v>week-0</v>
      </c>
      <c r="D1182" s="120" t="str">
        <f t="shared" si="55"/>
        <v>Jan</v>
      </c>
      <c r="E1182" s="7"/>
      <c r="F1182" s="7"/>
      <c r="G1182" s="120"/>
      <c r="H1182" s="120"/>
      <c r="I1182" s="118"/>
      <c r="J1182" s="118"/>
      <c r="K1182" s="115"/>
      <c r="L1182" s="115"/>
      <c r="M1182" s="8"/>
      <c r="N1182" s="8" t="str">
        <f t="shared" si="56"/>
        <v>-</v>
      </c>
      <c r="O1182" s="126"/>
      <c r="P1182" s="127"/>
      <c r="Q1182" s="127"/>
      <c r="R1182" s="126"/>
      <c r="S1182" s="127"/>
      <c r="T1182" s="8"/>
      <c r="U1182" s="158"/>
      <c r="V1182" s="7"/>
      <c r="W1182" s="7"/>
      <c r="X1182" s="146"/>
      <c r="Y1182" s="7"/>
      <c r="Z1182" s="7"/>
      <c r="AA1182" s="7" t="str">
        <f>IFERROR((VLOOKUP(F1182,#REF!,2,FALSE)),"-")</f>
        <v>-</v>
      </c>
      <c r="AB1182" s="119" t="e">
        <f>CONCATENATE(F1182," - ",I1182," - ",#REF!,)</f>
        <v>#REF!</v>
      </c>
    </row>
    <row r="1183" spans="1:28" s="116" customFormat="1" ht="15">
      <c r="A1183" s="114"/>
      <c r="B1183" s="120"/>
      <c r="C1183" s="129" t="str">
        <f t="shared" si="54"/>
        <v>week-0</v>
      </c>
      <c r="D1183" s="120" t="str">
        <f t="shared" si="55"/>
        <v>Jan</v>
      </c>
      <c r="E1183" s="7"/>
      <c r="F1183" s="7"/>
      <c r="G1183" s="120"/>
      <c r="H1183" s="120"/>
      <c r="I1183" s="118"/>
      <c r="J1183" s="118"/>
      <c r="K1183" s="115"/>
      <c r="L1183" s="115"/>
      <c r="M1183" s="8"/>
      <c r="N1183" s="8" t="str">
        <f t="shared" si="56"/>
        <v>-</v>
      </c>
      <c r="O1183" s="126"/>
      <c r="P1183" s="127"/>
      <c r="Q1183" s="127"/>
      <c r="R1183" s="126"/>
      <c r="S1183" s="127"/>
      <c r="T1183" s="8"/>
      <c r="U1183" s="158"/>
      <c r="V1183" s="7"/>
      <c r="W1183" s="7"/>
      <c r="X1183" s="146"/>
      <c r="Y1183" s="7"/>
      <c r="Z1183" s="7"/>
      <c r="AA1183" s="7" t="str">
        <f>IFERROR((VLOOKUP(F1183,#REF!,2,FALSE)),"-")</f>
        <v>-</v>
      </c>
      <c r="AB1183" s="119" t="e">
        <f>CONCATENATE(F1183," - ",I1183," - ",#REF!,)</f>
        <v>#REF!</v>
      </c>
    </row>
    <row r="1184" spans="1:28" s="116" customFormat="1" ht="15">
      <c r="A1184" s="114"/>
      <c r="B1184" s="120"/>
      <c r="C1184" s="129" t="str">
        <f t="shared" si="54"/>
        <v>week-0</v>
      </c>
      <c r="D1184" s="120" t="str">
        <f t="shared" si="55"/>
        <v>Jan</v>
      </c>
      <c r="E1184" s="7"/>
      <c r="F1184" s="7"/>
      <c r="G1184" s="120"/>
      <c r="H1184" s="120"/>
      <c r="I1184" s="118"/>
      <c r="J1184" s="118"/>
      <c r="K1184" s="115"/>
      <c r="L1184" s="115"/>
      <c r="M1184" s="8"/>
      <c r="N1184" s="8" t="str">
        <f t="shared" si="56"/>
        <v>-</v>
      </c>
      <c r="O1184" s="126"/>
      <c r="P1184" s="127"/>
      <c r="Q1184" s="127"/>
      <c r="R1184" s="126"/>
      <c r="S1184" s="127"/>
      <c r="T1184" s="8"/>
      <c r="U1184" s="158"/>
      <c r="V1184" s="7"/>
      <c r="W1184" s="7"/>
      <c r="X1184" s="146"/>
      <c r="Y1184" s="7"/>
      <c r="Z1184" s="7"/>
      <c r="AA1184" s="7" t="str">
        <f>IFERROR((VLOOKUP(F1184,#REF!,2,FALSE)),"-")</f>
        <v>-</v>
      </c>
      <c r="AB1184" s="119" t="e">
        <f>CONCATENATE(F1184," - ",I1184," - ",#REF!,)</f>
        <v>#REF!</v>
      </c>
    </row>
    <row r="1185" spans="1:28" s="116" customFormat="1" ht="15">
      <c r="A1185" s="114"/>
      <c r="B1185" s="120"/>
      <c r="C1185" s="129" t="str">
        <f t="shared" si="54"/>
        <v>week-0</v>
      </c>
      <c r="D1185" s="120" t="str">
        <f t="shared" si="55"/>
        <v>Jan</v>
      </c>
      <c r="E1185" s="7"/>
      <c r="F1185" s="7"/>
      <c r="G1185" s="120"/>
      <c r="H1185" s="120"/>
      <c r="I1185" s="118"/>
      <c r="J1185" s="118"/>
      <c r="K1185" s="115"/>
      <c r="L1185" s="115"/>
      <c r="M1185" s="8"/>
      <c r="N1185" s="8" t="str">
        <f t="shared" si="56"/>
        <v>-</v>
      </c>
      <c r="O1185" s="126"/>
      <c r="P1185" s="127"/>
      <c r="Q1185" s="127"/>
      <c r="R1185" s="126"/>
      <c r="S1185" s="127"/>
      <c r="T1185" s="8"/>
      <c r="U1185" s="158"/>
      <c r="V1185" s="7"/>
      <c r="W1185" s="7"/>
      <c r="X1185" s="146"/>
      <c r="Y1185" s="7"/>
      <c r="Z1185" s="7"/>
      <c r="AA1185" s="7" t="str">
        <f>IFERROR((VLOOKUP(F1185,#REF!,2,FALSE)),"-")</f>
        <v>-</v>
      </c>
      <c r="AB1185" s="119" t="e">
        <f>CONCATENATE(F1185," - ",I1185," - ",#REF!,)</f>
        <v>#REF!</v>
      </c>
    </row>
    <row r="1186" spans="1:28" s="116" customFormat="1" ht="15">
      <c r="A1186" s="114"/>
      <c r="B1186" s="120"/>
      <c r="C1186" s="129" t="str">
        <f t="shared" si="54"/>
        <v>week-0</v>
      </c>
      <c r="D1186" s="120" t="str">
        <f t="shared" si="55"/>
        <v>Jan</v>
      </c>
      <c r="E1186" s="7"/>
      <c r="F1186" s="7"/>
      <c r="G1186" s="120"/>
      <c r="H1186" s="120"/>
      <c r="I1186" s="118"/>
      <c r="J1186" s="118"/>
      <c r="K1186" s="115"/>
      <c r="L1186" s="115"/>
      <c r="M1186" s="8"/>
      <c r="N1186" s="8" t="str">
        <f t="shared" si="56"/>
        <v>-</v>
      </c>
      <c r="O1186" s="126"/>
      <c r="P1186" s="127"/>
      <c r="Q1186" s="127"/>
      <c r="R1186" s="126"/>
      <c r="S1186" s="127"/>
      <c r="T1186" s="8"/>
      <c r="U1186" s="158"/>
      <c r="V1186" s="7"/>
      <c r="W1186" s="7"/>
      <c r="X1186" s="146"/>
      <c r="Y1186" s="7"/>
      <c r="Z1186" s="7"/>
      <c r="AA1186" s="7" t="str">
        <f>IFERROR((VLOOKUP(F1186,#REF!,2,FALSE)),"-")</f>
        <v>-</v>
      </c>
      <c r="AB1186" s="119" t="str">
        <f>CONCATENATE(F1186," - ",I1186," - ",O1186,)</f>
        <v xml:space="preserve"> -  - </v>
      </c>
    </row>
    <row r="1187" spans="1:28" s="116" customFormat="1" ht="15">
      <c r="A1187" s="114"/>
      <c r="B1187" s="120"/>
      <c r="C1187" s="129" t="str">
        <f t="shared" si="54"/>
        <v>week-0</v>
      </c>
      <c r="D1187" s="120" t="str">
        <f t="shared" si="55"/>
        <v>Jan</v>
      </c>
      <c r="E1187" s="7"/>
      <c r="F1187" s="7"/>
      <c r="G1187" s="120"/>
      <c r="H1187" s="120"/>
      <c r="I1187" s="118"/>
      <c r="J1187" s="118"/>
      <c r="K1187" s="115"/>
      <c r="L1187" s="115"/>
      <c r="M1187" s="8"/>
      <c r="N1187" s="8" t="str">
        <f t="shared" si="56"/>
        <v>-</v>
      </c>
      <c r="O1187" s="126"/>
      <c r="P1187" s="127"/>
      <c r="Q1187" s="127"/>
      <c r="R1187" s="126"/>
      <c r="S1187" s="127"/>
      <c r="T1187" s="8"/>
      <c r="U1187" s="158"/>
      <c r="V1187" s="7"/>
      <c r="W1187" s="7"/>
      <c r="X1187" s="146"/>
      <c r="Y1187" s="7"/>
      <c r="Z1187" s="7"/>
      <c r="AA1187" s="7"/>
      <c r="AB1187" s="119" t="str">
        <f>CONCATENATE(F1187," - ",I1187," - ",O1187,)</f>
        <v xml:space="preserve"> -  - </v>
      </c>
    </row>
    <row r="1188" spans="1:28" s="116" customFormat="1" ht="15">
      <c r="A1188" s="114"/>
      <c r="B1188" s="120"/>
      <c r="C1188" s="129" t="str">
        <f t="shared" si="54"/>
        <v>week-0</v>
      </c>
      <c r="D1188" s="120" t="str">
        <f t="shared" si="55"/>
        <v>Jan</v>
      </c>
      <c r="E1188" s="7"/>
      <c r="F1188" s="7"/>
      <c r="G1188" s="120"/>
      <c r="H1188" s="120"/>
      <c r="I1188" s="118"/>
      <c r="J1188" s="118"/>
      <c r="K1188" s="115"/>
      <c r="L1188" s="115"/>
      <c r="M1188" s="8"/>
      <c r="N1188" s="8" t="str">
        <f t="shared" si="56"/>
        <v>-</v>
      </c>
      <c r="O1188" s="126"/>
      <c r="P1188" s="127"/>
      <c r="Q1188" s="127"/>
      <c r="R1188" s="126"/>
      <c r="S1188" s="127"/>
      <c r="T1188" s="8"/>
      <c r="U1188" s="158"/>
      <c r="V1188" s="7"/>
      <c r="W1188" s="7"/>
      <c r="X1188" s="146"/>
      <c r="Y1188" s="7"/>
      <c r="Z1188" s="7"/>
      <c r="AA1188" s="7" t="str">
        <f>IFERROR((VLOOKUP(F1188,#REF!,2,FALSE)),"-")</f>
        <v>-</v>
      </c>
      <c r="AB1188" s="119" t="e">
        <f>CONCATENATE(F1188," - ",I1188," - ",#REF!,)</f>
        <v>#REF!</v>
      </c>
    </row>
    <row r="1189" spans="1:28" s="116" customFormat="1" ht="15">
      <c r="A1189" s="114"/>
      <c r="B1189" s="120"/>
      <c r="C1189" s="129" t="str">
        <f t="shared" si="54"/>
        <v>week-0</v>
      </c>
      <c r="D1189" s="120" t="str">
        <f t="shared" si="55"/>
        <v>Jan</v>
      </c>
      <c r="E1189" s="7"/>
      <c r="F1189" s="7"/>
      <c r="G1189" s="120"/>
      <c r="H1189" s="120"/>
      <c r="I1189" s="118"/>
      <c r="J1189" s="118"/>
      <c r="K1189" s="115"/>
      <c r="L1189" s="115"/>
      <c r="M1189" s="8"/>
      <c r="N1189" s="8" t="str">
        <f t="shared" si="56"/>
        <v>-</v>
      </c>
      <c r="O1189" s="126"/>
      <c r="P1189" s="127"/>
      <c r="Q1189" s="127"/>
      <c r="R1189" s="126"/>
      <c r="S1189" s="127"/>
      <c r="T1189" s="8"/>
      <c r="U1189" s="158"/>
      <c r="V1189" s="7"/>
      <c r="W1189" s="7"/>
      <c r="X1189" s="146"/>
      <c r="Y1189" s="7"/>
      <c r="Z1189" s="7"/>
      <c r="AA1189" s="7" t="str">
        <f>IFERROR((VLOOKUP(F1189,#REF!,2,FALSE)),"-")</f>
        <v>-</v>
      </c>
      <c r="AB1189" s="119" t="e">
        <f>CONCATENATE(F1189," - ",I1189," - ",#REF!,)</f>
        <v>#REF!</v>
      </c>
    </row>
    <row r="1190" spans="1:28" s="116" customFormat="1" ht="15">
      <c r="A1190" s="114"/>
      <c r="B1190" s="120"/>
      <c r="C1190" s="129" t="str">
        <f t="shared" si="54"/>
        <v>week-0</v>
      </c>
      <c r="D1190" s="120" t="str">
        <f t="shared" si="55"/>
        <v>Jan</v>
      </c>
      <c r="E1190" s="7"/>
      <c r="F1190" s="7"/>
      <c r="G1190" s="120"/>
      <c r="H1190" s="120"/>
      <c r="I1190" s="118"/>
      <c r="J1190" s="118"/>
      <c r="K1190" s="115"/>
      <c r="L1190" s="115"/>
      <c r="M1190" s="8"/>
      <c r="N1190" s="8" t="str">
        <f t="shared" si="56"/>
        <v>-</v>
      </c>
      <c r="O1190" s="126"/>
      <c r="P1190" s="127"/>
      <c r="Q1190" s="127"/>
      <c r="R1190" s="126"/>
      <c r="S1190" s="127"/>
      <c r="T1190" s="8"/>
      <c r="U1190" s="158"/>
      <c r="V1190" s="7"/>
      <c r="W1190" s="7"/>
      <c r="X1190" s="146"/>
      <c r="Y1190" s="7"/>
      <c r="Z1190" s="7"/>
      <c r="AA1190" s="7" t="str">
        <f>IFERROR((VLOOKUP(F1190,#REF!,2,FALSE)),"-")</f>
        <v>-</v>
      </c>
      <c r="AB1190" s="119" t="e">
        <f>CONCATENATE(F1190," - ",I1190," - ",#REF!,)</f>
        <v>#REF!</v>
      </c>
    </row>
    <row r="1191" spans="1:28" s="116" customFormat="1" ht="15">
      <c r="A1191" s="114"/>
      <c r="B1191" s="120"/>
      <c r="C1191" s="129" t="str">
        <f t="shared" si="54"/>
        <v>week-0</v>
      </c>
      <c r="D1191" s="120" t="str">
        <f t="shared" si="55"/>
        <v>Jan</v>
      </c>
      <c r="E1191" s="7"/>
      <c r="F1191" s="7"/>
      <c r="G1191" s="120"/>
      <c r="H1191" s="120"/>
      <c r="I1191" s="118"/>
      <c r="J1191" s="118"/>
      <c r="K1191" s="115"/>
      <c r="L1191" s="115"/>
      <c r="M1191" s="8"/>
      <c r="N1191" s="8" t="str">
        <f t="shared" si="56"/>
        <v>-</v>
      </c>
      <c r="O1191" s="126"/>
      <c r="P1191" s="127"/>
      <c r="Q1191" s="127"/>
      <c r="R1191" s="126"/>
      <c r="S1191" s="127"/>
      <c r="T1191" s="8"/>
      <c r="U1191" s="158"/>
      <c r="V1191" s="7"/>
      <c r="W1191" s="7"/>
      <c r="X1191" s="146"/>
      <c r="Y1191" s="7"/>
      <c r="Z1191" s="7"/>
      <c r="AA1191" s="7" t="str">
        <f>IFERROR((VLOOKUP(F1191,#REF!,2,FALSE)),"-")</f>
        <v>-</v>
      </c>
      <c r="AB1191" s="119" t="e">
        <f>CONCATENATE(F1191," - ",I1191," - ",#REF!,)</f>
        <v>#REF!</v>
      </c>
    </row>
    <row r="1192" spans="1:28" s="116" customFormat="1" ht="15">
      <c r="A1192" s="114"/>
      <c r="B1192" s="120"/>
      <c r="C1192" s="129" t="str">
        <f t="shared" si="54"/>
        <v>week-0</v>
      </c>
      <c r="D1192" s="120" t="str">
        <f t="shared" si="55"/>
        <v>Jan</v>
      </c>
      <c r="E1192" s="7"/>
      <c r="F1192" s="7"/>
      <c r="G1192" s="120"/>
      <c r="H1192" s="120"/>
      <c r="I1192" s="118"/>
      <c r="J1192" s="118"/>
      <c r="K1192" s="115"/>
      <c r="L1192" s="115"/>
      <c r="M1192" s="8"/>
      <c r="N1192" s="8" t="str">
        <f t="shared" si="56"/>
        <v>-</v>
      </c>
      <c r="O1192" s="126"/>
      <c r="P1192" s="127"/>
      <c r="Q1192" s="127"/>
      <c r="R1192" s="126"/>
      <c r="S1192" s="127"/>
      <c r="T1192" s="8"/>
      <c r="U1192" s="158"/>
      <c r="V1192" s="7"/>
      <c r="W1192" s="7"/>
      <c r="X1192" s="146"/>
      <c r="Y1192" s="7"/>
      <c r="Z1192" s="7"/>
      <c r="AA1192" s="7" t="str">
        <f>IFERROR((VLOOKUP(F1192,#REF!,2,FALSE)),"-")</f>
        <v>-</v>
      </c>
      <c r="AB1192" s="119" t="e">
        <f>CONCATENATE(F1192," - ",I1192," - ",#REF!,)</f>
        <v>#REF!</v>
      </c>
    </row>
    <row r="1193" spans="1:28" s="116" customFormat="1" ht="15">
      <c r="A1193" s="114"/>
      <c r="B1193" s="120"/>
      <c r="C1193" s="129" t="str">
        <f t="shared" si="54"/>
        <v>week-0</v>
      </c>
      <c r="D1193" s="120" t="str">
        <f t="shared" si="55"/>
        <v>Jan</v>
      </c>
      <c r="E1193" s="7"/>
      <c r="F1193" s="7"/>
      <c r="G1193" s="120"/>
      <c r="H1193" s="120"/>
      <c r="I1193" s="118"/>
      <c r="J1193" s="118"/>
      <c r="K1193" s="115"/>
      <c r="L1193" s="115"/>
      <c r="M1193" s="8"/>
      <c r="N1193" s="8" t="str">
        <f t="shared" si="56"/>
        <v>-</v>
      </c>
      <c r="O1193" s="126"/>
      <c r="P1193" s="127"/>
      <c r="Q1193" s="127"/>
      <c r="R1193" s="126"/>
      <c r="S1193" s="127"/>
      <c r="T1193" s="8"/>
      <c r="U1193" s="158"/>
      <c r="V1193" s="7"/>
      <c r="W1193" s="7"/>
      <c r="X1193" s="146"/>
      <c r="Y1193" s="7"/>
      <c r="Z1193" s="7"/>
      <c r="AA1193" s="7" t="str">
        <f>IFERROR((VLOOKUP(F1193,#REF!,2,FALSE)),"-")</f>
        <v>-</v>
      </c>
      <c r="AB1193" s="119" t="e">
        <f>CONCATENATE(F1193," - ",I1193," - ",#REF!,)</f>
        <v>#REF!</v>
      </c>
    </row>
    <row r="1194" spans="1:28" s="116" customFormat="1" ht="15">
      <c r="A1194" s="114"/>
      <c r="B1194" s="120"/>
      <c r="C1194" s="129" t="str">
        <f t="shared" si="54"/>
        <v>week-0</v>
      </c>
      <c r="D1194" s="120" t="str">
        <f t="shared" si="55"/>
        <v>Jan</v>
      </c>
      <c r="E1194" s="7"/>
      <c r="F1194" s="7"/>
      <c r="G1194" s="120"/>
      <c r="H1194" s="120"/>
      <c r="I1194" s="118"/>
      <c r="J1194" s="118"/>
      <c r="K1194" s="115"/>
      <c r="L1194" s="115"/>
      <c r="M1194" s="8"/>
      <c r="N1194" s="8" t="str">
        <f t="shared" si="56"/>
        <v>-</v>
      </c>
      <c r="O1194" s="126"/>
      <c r="P1194" s="127"/>
      <c r="Q1194" s="127"/>
      <c r="R1194" s="126"/>
      <c r="S1194" s="127"/>
      <c r="T1194" s="8"/>
      <c r="U1194" s="158"/>
      <c r="V1194" s="7"/>
      <c r="W1194" s="7"/>
      <c r="X1194" s="146"/>
      <c r="Y1194" s="7"/>
      <c r="Z1194" s="7"/>
      <c r="AA1194" s="7" t="str">
        <f>IFERROR((VLOOKUP(F1194,#REF!,2,FALSE)),"-")</f>
        <v>-</v>
      </c>
      <c r="AB1194" s="119" t="e">
        <f>CONCATENATE(F1194," - ",I1194," - ",#REF!,)</f>
        <v>#REF!</v>
      </c>
    </row>
    <row r="1195" spans="1:28" s="116" customFormat="1" ht="15">
      <c r="A1195" s="114"/>
      <c r="B1195" s="120"/>
      <c r="C1195" s="129" t="str">
        <f t="shared" si="54"/>
        <v>week-0</v>
      </c>
      <c r="D1195" s="120" t="str">
        <f t="shared" si="55"/>
        <v>Jan</v>
      </c>
      <c r="E1195" s="7"/>
      <c r="F1195" s="7"/>
      <c r="G1195" s="120"/>
      <c r="H1195" s="120"/>
      <c r="I1195" s="118"/>
      <c r="J1195" s="118"/>
      <c r="K1195" s="115"/>
      <c r="L1195" s="115"/>
      <c r="M1195" s="8"/>
      <c r="N1195" s="8" t="str">
        <f t="shared" si="56"/>
        <v>-</v>
      </c>
      <c r="O1195" s="126"/>
      <c r="P1195" s="127"/>
      <c r="Q1195" s="127"/>
      <c r="R1195" s="126"/>
      <c r="S1195" s="127"/>
      <c r="T1195" s="8"/>
      <c r="U1195" s="158"/>
      <c r="V1195" s="7"/>
      <c r="W1195" s="7"/>
      <c r="X1195" s="146"/>
      <c r="Y1195" s="7"/>
      <c r="Z1195" s="7"/>
      <c r="AA1195" s="7" t="str">
        <f>IFERROR((VLOOKUP(F1195,#REF!,2,FALSE)),"-")</f>
        <v>-</v>
      </c>
      <c r="AB1195" s="119" t="e">
        <f>CONCATENATE(F1195," - ",I1195," - ",#REF!,)</f>
        <v>#REF!</v>
      </c>
    </row>
    <row r="1196" spans="1:28" s="116" customFormat="1" ht="15">
      <c r="A1196" s="114"/>
      <c r="B1196" s="120"/>
      <c r="C1196" s="129" t="str">
        <f t="shared" si="54"/>
        <v>week-0</v>
      </c>
      <c r="D1196" s="120" t="str">
        <f t="shared" si="55"/>
        <v>Jan</v>
      </c>
      <c r="E1196" s="7"/>
      <c r="F1196" s="7"/>
      <c r="G1196" s="120"/>
      <c r="H1196" s="120"/>
      <c r="I1196" s="118"/>
      <c r="J1196" s="118"/>
      <c r="K1196" s="115"/>
      <c r="L1196" s="115"/>
      <c r="M1196" s="8"/>
      <c r="N1196" s="8" t="str">
        <f t="shared" si="56"/>
        <v>-</v>
      </c>
      <c r="O1196" s="126"/>
      <c r="P1196" s="127"/>
      <c r="Q1196" s="127"/>
      <c r="R1196" s="126"/>
      <c r="S1196" s="127"/>
      <c r="T1196" s="8"/>
      <c r="U1196" s="158"/>
      <c r="V1196" s="7"/>
      <c r="W1196" s="7"/>
      <c r="X1196" s="146"/>
      <c r="Y1196" s="7"/>
      <c r="Z1196" s="7"/>
      <c r="AA1196" s="7" t="str">
        <f>IFERROR((VLOOKUP(F1196,#REF!,2,FALSE)),"-")</f>
        <v>-</v>
      </c>
      <c r="AB1196" s="119" t="e">
        <f>CONCATENATE(F1196," - ",I1196," - ",#REF!,)</f>
        <v>#REF!</v>
      </c>
    </row>
    <row r="1197" spans="1:28" s="116" customFormat="1" ht="15">
      <c r="A1197" s="114"/>
      <c r="B1197" s="120"/>
      <c r="C1197" s="129" t="str">
        <f t="shared" si="54"/>
        <v>week-0</v>
      </c>
      <c r="D1197" s="120" t="str">
        <f t="shared" si="55"/>
        <v>Jan</v>
      </c>
      <c r="E1197" s="7"/>
      <c r="F1197" s="7"/>
      <c r="G1197" s="120"/>
      <c r="H1197" s="120"/>
      <c r="I1197" s="118"/>
      <c r="J1197" s="118"/>
      <c r="K1197" s="115"/>
      <c r="L1197" s="115"/>
      <c r="M1197" s="8"/>
      <c r="N1197" s="8" t="str">
        <f t="shared" si="56"/>
        <v>-</v>
      </c>
      <c r="O1197" s="126"/>
      <c r="P1197" s="127"/>
      <c r="Q1197" s="127"/>
      <c r="R1197" s="126"/>
      <c r="S1197" s="127"/>
      <c r="T1197" s="8"/>
      <c r="U1197" s="158"/>
      <c r="V1197" s="7"/>
      <c r="W1197" s="7"/>
      <c r="X1197" s="146"/>
      <c r="Y1197" s="7"/>
      <c r="Z1197" s="7"/>
      <c r="AA1197" s="7" t="str">
        <f>IFERROR((VLOOKUP(F1197,#REF!,2,FALSE)),"-")</f>
        <v>-</v>
      </c>
      <c r="AB1197" s="119" t="e">
        <f>CONCATENATE(F1197," - ",I1197," - ",#REF!,)</f>
        <v>#REF!</v>
      </c>
    </row>
    <row r="1198" spans="1:28" s="116" customFormat="1" ht="15">
      <c r="A1198" s="114"/>
      <c r="B1198" s="120"/>
      <c r="C1198" s="129" t="str">
        <f t="shared" si="54"/>
        <v>week-0</v>
      </c>
      <c r="D1198" s="120" t="str">
        <f t="shared" si="55"/>
        <v>Jan</v>
      </c>
      <c r="E1198" s="7"/>
      <c r="F1198" s="7"/>
      <c r="G1198" s="120"/>
      <c r="H1198" s="120"/>
      <c r="I1198" s="118"/>
      <c r="J1198" s="118"/>
      <c r="K1198" s="115"/>
      <c r="L1198" s="115"/>
      <c r="M1198" s="8"/>
      <c r="N1198" s="8" t="str">
        <f t="shared" si="56"/>
        <v>-</v>
      </c>
      <c r="O1198" s="126"/>
      <c r="P1198" s="127"/>
      <c r="Q1198" s="127"/>
      <c r="R1198" s="126"/>
      <c r="S1198" s="127"/>
      <c r="T1198" s="8"/>
      <c r="U1198" s="158"/>
      <c r="V1198" s="7"/>
      <c r="W1198" s="7"/>
      <c r="X1198" s="146"/>
      <c r="Y1198" s="7"/>
      <c r="Z1198" s="7"/>
      <c r="AA1198" s="7" t="str">
        <f>IFERROR((VLOOKUP(F1198,#REF!,2,FALSE)),"-")</f>
        <v>-</v>
      </c>
      <c r="AB1198" s="119" t="e">
        <f>CONCATENATE(F1198," - ",I1198," - ",#REF!,)</f>
        <v>#REF!</v>
      </c>
    </row>
    <row r="1199" spans="1:28" s="116" customFormat="1" ht="15">
      <c r="A1199" s="114"/>
      <c r="B1199" s="120"/>
      <c r="C1199" s="129" t="str">
        <f t="shared" si="54"/>
        <v>week-0</v>
      </c>
      <c r="D1199" s="120" t="str">
        <f t="shared" si="55"/>
        <v>Jan</v>
      </c>
      <c r="E1199" s="7"/>
      <c r="F1199" s="7"/>
      <c r="G1199" s="120"/>
      <c r="H1199" s="120"/>
      <c r="I1199" s="118"/>
      <c r="J1199" s="118"/>
      <c r="K1199" s="115"/>
      <c r="L1199" s="115"/>
      <c r="M1199" s="8"/>
      <c r="N1199" s="8" t="str">
        <f t="shared" si="56"/>
        <v>-</v>
      </c>
      <c r="O1199" s="126"/>
      <c r="P1199" s="127"/>
      <c r="Q1199" s="127"/>
      <c r="R1199" s="126"/>
      <c r="S1199" s="127"/>
      <c r="T1199" s="8"/>
      <c r="U1199" s="158"/>
      <c r="V1199" s="7"/>
      <c r="W1199" s="7"/>
      <c r="X1199" s="146"/>
      <c r="Y1199" s="7"/>
      <c r="Z1199" s="7"/>
      <c r="AA1199" s="7" t="str">
        <f>IFERROR((VLOOKUP(F1199,#REF!,2,FALSE)),"-")</f>
        <v>-</v>
      </c>
      <c r="AB1199" s="119" t="e">
        <f>CONCATENATE(F1199," - ",I1199," - ",#REF!,)</f>
        <v>#REF!</v>
      </c>
    </row>
    <row r="1200" spans="1:28" s="116" customFormat="1" ht="15">
      <c r="A1200" s="114"/>
      <c r="B1200" s="120"/>
      <c r="C1200" s="129" t="str">
        <f t="shared" si="54"/>
        <v>week-0</v>
      </c>
      <c r="D1200" s="120" t="str">
        <f t="shared" si="55"/>
        <v>Jan</v>
      </c>
      <c r="E1200" s="7"/>
      <c r="F1200" s="7"/>
      <c r="G1200" s="120"/>
      <c r="H1200" s="120"/>
      <c r="I1200" s="118"/>
      <c r="J1200" s="118"/>
      <c r="K1200" s="115"/>
      <c r="L1200" s="115"/>
      <c r="M1200" s="8"/>
      <c r="N1200" s="8" t="str">
        <f t="shared" si="56"/>
        <v>-</v>
      </c>
      <c r="O1200" s="126"/>
      <c r="P1200" s="127"/>
      <c r="Q1200" s="127"/>
      <c r="R1200" s="126"/>
      <c r="S1200" s="127"/>
      <c r="T1200" s="8"/>
      <c r="U1200" s="158"/>
      <c r="V1200" s="7"/>
      <c r="W1200" s="7"/>
      <c r="X1200" s="146"/>
      <c r="Y1200" s="7"/>
      <c r="Z1200" s="7"/>
      <c r="AA1200" s="7" t="str">
        <f>IFERROR((VLOOKUP(F1200,#REF!,2,FALSE)),"-")</f>
        <v>-</v>
      </c>
      <c r="AB1200" s="119" t="e">
        <f>CONCATENATE(F1200," - ",I1200," - ",#REF!,)</f>
        <v>#REF!</v>
      </c>
    </row>
    <row r="1201" spans="1:28" s="116" customFormat="1" ht="15">
      <c r="A1201" s="114"/>
      <c r="B1201" s="120"/>
      <c r="C1201" s="129" t="str">
        <f t="shared" si="54"/>
        <v>week-0</v>
      </c>
      <c r="D1201" s="120" t="str">
        <f t="shared" si="55"/>
        <v>Jan</v>
      </c>
      <c r="E1201" s="7"/>
      <c r="F1201" s="7"/>
      <c r="G1201" s="120"/>
      <c r="H1201" s="120"/>
      <c r="I1201" s="118"/>
      <c r="J1201" s="118"/>
      <c r="K1201" s="115"/>
      <c r="L1201" s="115"/>
      <c r="M1201" s="8"/>
      <c r="N1201" s="8" t="str">
        <f t="shared" si="56"/>
        <v>-</v>
      </c>
      <c r="O1201" s="126"/>
      <c r="P1201" s="127"/>
      <c r="Q1201" s="127"/>
      <c r="R1201" s="126"/>
      <c r="S1201" s="127"/>
      <c r="T1201" s="8"/>
      <c r="U1201" s="158"/>
      <c r="V1201" s="7"/>
      <c r="W1201" s="7"/>
      <c r="X1201" s="146"/>
      <c r="Y1201" s="7"/>
      <c r="Z1201" s="7"/>
      <c r="AA1201" s="7" t="str">
        <f>IFERROR((VLOOKUP(F1201,#REF!,2,FALSE)),"-")</f>
        <v>-</v>
      </c>
      <c r="AB1201" s="119" t="e">
        <f>CONCATENATE(F1201," - ",I1201," - ",#REF!,)</f>
        <v>#REF!</v>
      </c>
    </row>
    <row r="1202" spans="1:28" s="116" customFormat="1" ht="15">
      <c r="A1202" s="114"/>
      <c r="B1202" s="120"/>
      <c r="C1202" s="129" t="str">
        <f t="shared" si="54"/>
        <v>week-0</v>
      </c>
      <c r="D1202" s="120" t="str">
        <f t="shared" si="55"/>
        <v>Jan</v>
      </c>
      <c r="E1202" s="7"/>
      <c r="F1202" s="7"/>
      <c r="G1202" s="120"/>
      <c r="H1202" s="120"/>
      <c r="I1202" s="118"/>
      <c r="J1202" s="118"/>
      <c r="K1202" s="115"/>
      <c r="L1202" s="115"/>
      <c r="M1202" s="8"/>
      <c r="N1202" s="8" t="str">
        <f t="shared" si="56"/>
        <v>-</v>
      </c>
      <c r="O1202" s="126"/>
      <c r="P1202" s="127"/>
      <c r="Q1202" s="127"/>
      <c r="R1202" s="126"/>
      <c r="S1202" s="127"/>
      <c r="T1202" s="8"/>
      <c r="U1202" s="158"/>
      <c r="V1202" s="7"/>
      <c r="W1202" s="7"/>
      <c r="X1202" s="146"/>
      <c r="Y1202" s="7"/>
      <c r="Z1202" s="7"/>
      <c r="AA1202" s="7" t="str">
        <f>IFERROR((VLOOKUP(F1202,#REF!,2,FALSE)),"-")</f>
        <v>-</v>
      </c>
      <c r="AB1202" s="119" t="e">
        <f>CONCATENATE(F1202," - ",I1202," - ",#REF!,)</f>
        <v>#REF!</v>
      </c>
    </row>
    <row r="1203" spans="1:28" s="116" customFormat="1" ht="15">
      <c r="A1203" s="114"/>
      <c r="B1203" s="120"/>
      <c r="C1203" s="129" t="str">
        <f t="shared" si="54"/>
        <v>week-0</v>
      </c>
      <c r="D1203" s="120" t="str">
        <f t="shared" si="55"/>
        <v>Jan</v>
      </c>
      <c r="E1203" s="7"/>
      <c r="F1203" s="7"/>
      <c r="G1203" s="120"/>
      <c r="H1203" s="120"/>
      <c r="I1203" s="118"/>
      <c r="J1203" s="118"/>
      <c r="K1203" s="115"/>
      <c r="L1203" s="115"/>
      <c r="M1203" s="8"/>
      <c r="N1203" s="8" t="str">
        <f t="shared" si="56"/>
        <v>-</v>
      </c>
      <c r="O1203" s="126"/>
      <c r="P1203" s="127"/>
      <c r="Q1203" s="127"/>
      <c r="R1203" s="126"/>
      <c r="S1203" s="127"/>
      <c r="T1203" s="8"/>
      <c r="U1203" s="158"/>
      <c r="V1203" s="7"/>
      <c r="W1203" s="7"/>
      <c r="X1203" s="146"/>
      <c r="Y1203" s="7"/>
      <c r="Z1203" s="7"/>
      <c r="AA1203" s="7" t="str">
        <f>IFERROR((VLOOKUP(F1203,#REF!,2,FALSE)),"-")</f>
        <v>-</v>
      </c>
      <c r="AB1203" s="119" t="e">
        <f>CONCATENATE(F1203," - ",I1203," - ",#REF!,)</f>
        <v>#REF!</v>
      </c>
    </row>
    <row r="1204" spans="1:28" s="116" customFormat="1" ht="15">
      <c r="A1204" s="114"/>
      <c r="B1204" s="120"/>
      <c r="C1204" s="129" t="str">
        <f t="shared" si="54"/>
        <v>week-0</v>
      </c>
      <c r="D1204" s="120" t="str">
        <f t="shared" si="55"/>
        <v>Jan</v>
      </c>
      <c r="E1204" s="7"/>
      <c r="F1204" s="7"/>
      <c r="G1204" s="120"/>
      <c r="H1204" s="120"/>
      <c r="I1204" s="118"/>
      <c r="J1204" s="118"/>
      <c r="K1204" s="115"/>
      <c r="L1204" s="115"/>
      <c r="M1204" s="8"/>
      <c r="N1204" s="8" t="str">
        <f t="shared" si="56"/>
        <v>-</v>
      </c>
      <c r="O1204" s="126"/>
      <c r="P1204" s="127"/>
      <c r="Q1204" s="127"/>
      <c r="R1204" s="126"/>
      <c r="S1204" s="127"/>
      <c r="T1204" s="8"/>
      <c r="U1204" s="158"/>
      <c r="V1204" s="7"/>
      <c r="W1204" s="7"/>
      <c r="X1204" s="146"/>
      <c r="Y1204" s="7"/>
      <c r="Z1204" s="7"/>
      <c r="AA1204" s="7" t="str">
        <f>IFERROR((VLOOKUP(F1204,#REF!,2,FALSE)),"-")</f>
        <v>-</v>
      </c>
      <c r="AB1204" s="119" t="e">
        <f>CONCATENATE(F1204," - ",I1204," - ",#REF!,)</f>
        <v>#REF!</v>
      </c>
    </row>
    <row r="1205" spans="1:28" s="116" customFormat="1" ht="15">
      <c r="A1205" s="114"/>
      <c r="B1205" s="120"/>
      <c r="C1205" s="129" t="str">
        <f t="shared" si="54"/>
        <v>week-0</v>
      </c>
      <c r="D1205" s="120" t="str">
        <f t="shared" si="55"/>
        <v>Jan</v>
      </c>
      <c r="E1205" s="7"/>
      <c r="F1205" s="7"/>
      <c r="G1205" s="120"/>
      <c r="H1205" s="120"/>
      <c r="I1205" s="118"/>
      <c r="J1205" s="118"/>
      <c r="K1205" s="115"/>
      <c r="L1205" s="115"/>
      <c r="M1205" s="8"/>
      <c r="N1205" s="8" t="str">
        <f t="shared" si="56"/>
        <v>-</v>
      </c>
      <c r="O1205" s="126"/>
      <c r="P1205" s="127"/>
      <c r="Q1205" s="127"/>
      <c r="R1205" s="126"/>
      <c r="S1205" s="127"/>
      <c r="T1205" s="8"/>
      <c r="U1205" s="158"/>
      <c r="V1205" s="7"/>
      <c r="W1205" s="7"/>
      <c r="X1205" s="146"/>
      <c r="Y1205" s="7"/>
      <c r="Z1205" s="7"/>
      <c r="AA1205" s="7" t="str">
        <f>IFERROR((VLOOKUP(F1205,#REF!,2,FALSE)),"-")</f>
        <v>-</v>
      </c>
      <c r="AB1205" s="119" t="e">
        <f>CONCATENATE(F1205," - ",I1205," - ",#REF!,)</f>
        <v>#REF!</v>
      </c>
    </row>
    <row r="1206" spans="1:28" s="116" customFormat="1" ht="15">
      <c r="A1206" s="114"/>
      <c r="B1206" s="120"/>
      <c r="C1206" s="129" t="str">
        <f t="shared" si="54"/>
        <v>week-0</v>
      </c>
      <c r="D1206" s="120" t="str">
        <f t="shared" si="55"/>
        <v>Jan</v>
      </c>
      <c r="E1206" s="7"/>
      <c r="F1206" s="7"/>
      <c r="G1206" s="120"/>
      <c r="H1206" s="120"/>
      <c r="I1206" s="118"/>
      <c r="J1206" s="118"/>
      <c r="K1206" s="115"/>
      <c r="L1206" s="115"/>
      <c r="M1206" s="8"/>
      <c r="N1206" s="8" t="str">
        <f t="shared" si="56"/>
        <v>-</v>
      </c>
      <c r="O1206" s="126"/>
      <c r="P1206" s="127"/>
      <c r="Q1206" s="127"/>
      <c r="R1206" s="126"/>
      <c r="S1206" s="127"/>
      <c r="T1206" s="8"/>
      <c r="U1206" s="158"/>
      <c r="V1206" s="7"/>
      <c r="W1206" s="7"/>
      <c r="X1206" s="146"/>
      <c r="Y1206" s="7"/>
      <c r="Z1206" s="7"/>
      <c r="AA1206" s="7" t="str">
        <f>IFERROR((VLOOKUP(F1206,#REF!,2,FALSE)),"-")</f>
        <v>-</v>
      </c>
      <c r="AB1206" s="119" t="e">
        <f>CONCATENATE(F1206," - ",I1206," - ",#REF!,)</f>
        <v>#REF!</v>
      </c>
    </row>
    <row r="1207" spans="1:28" s="116" customFormat="1" ht="15">
      <c r="A1207" s="114"/>
      <c r="B1207" s="120"/>
      <c r="C1207" s="129" t="str">
        <f t="shared" si="54"/>
        <v>week-0</v>
      </c>
      <c r="D1207" s="120" t="str">
        <f t="shared" si="55"/>
        <v>Jan</v>
      </c>
      <c r="E1207" s="7"/>
      <c r="F1207" s="7"/>
      <c r="G1207" s="120"/>
      <c r="H1207" s="120"/>
      <c r="I1207" s="118"/>
      <c r="J1207" s="118"/>
      <c r="K1207" s="115"/>
      <c r="L1207" s="115"/>
      <c r="M1207" s="8"/>
      <c r="N1207" s="8" t="str">
        <f t="shared" si="56"/>
        <v>-</v>
      </c>
      <c r="O1207" s="126"/>
      <c r="P1207" s="127"/>
      <c r="Q1207" s="127"/>
      <c r="R1207" s="126"/>
      <c r="S1207" s="127"/>
      <c r="T1207" s="8"/>
      <c r="U1207" s="158"/>
      <c r="V1207" s="7"/>
      <c r="W1207" s="7"/>
      <c r="X1207" s="146"/>
      <c r="Y1207" s="7"/>
      <c r="Z1207" s="7"/>
      <c r="AA1207" s="7" t="str">
        <f>IFERROR((VLOOKUP(F1207,#REF!,2,FALSE)),"-")</f>
        <v>-</v>
      </c>
      <c r="AB1207" s="119" t="e">
        <f>CONCATENATE(F1207," - ",I1207," - ",#REF!,)</f>
        <v>#REF!</v>
      </c>
    </row>
    <row r="1208" spans="1:28" s="116" customFormat="1" ht="15">
      <c r="A1208" s="114"/>
      <c r="B1208" s="120"/>
      <c r="C1208" s="129" t="str">
        <f t="shared" si="54"/>
        <v>week-0</v>
      </c>
      <c r="D1208" s="120" t="str">
        <f t="shared" si="55"/>
        <v>Jan</v>
      </c>
      <c r="E1208" s="7"/>
      <c r="F1208" s="7"/>
      <c r="G1208" s="120"/>
      <c r="H1208" s="120"/>
      <c r="I1208" s="118"/>
      <c r="J1208" s="118"/>
      <c r="K1208" s="115"/>
      <c r="L1208" s="115"/>
      <c r="M1208" s="8"/>
      <c r="N1208" s="8" t="str">
        <f t="shared" si="56"/>
        <v>-</v>
      </c>
      <c r="O1208" s="126"/>
      <c r="P1208" s="127"/>
      <c r="Q1208" s="127"/>
      <c r="R1208" s="126"/>
      <c r="S1208" s="127"/>
      <c r="T1208" s="8"/>
      <c r="U1208" s="158"/>
      <c r="V1208" s="7"/>
      <c r="W1208" s="7"/>
      <c r="X1208" s="146"/>
      <c r="Y1208" s="7"/>
      <c r="Z1208" s="7"/>
      <c r="AA1208" s="7" t="str">
        <f>IFERROR((VLOOKUP(F1208,#REF!,2,FALSE)),"-")</f>
        <v>-</v>
      </c>
      <c r="AB1208" s="119" t="e">
        <f>CONCATENATE(F1208," - ",I1208," - ",#REF!,)</f>
        <v>#REF!</v>
      </c>
    </row>
    <row r="1209" spans="1:28" s="116" customFormat="1" ht="15">
      <c r="A1209" s="114"/>
      <c r="B1209" s="120"/>
      <c r="C1209" s="129" t="str">
        <f t="shared" si="54"/>
        <v>week-0</v>
      </c>
      <c r="D1209" s="120" t="str">
        <f t="shared" si="55"/>
        <v>Jan</v>
      </c>
      <c r="E1209" s="7"/>
      <c r="F1209" s="7"/>
      <c r="G1209" s="120"/>
      <c r="H1209" s="120"/>
      <c r="I1209" s="118"/>
      <c r="J1209" s="118"/>
      <c r="K1209" s="115"/>
      <c r="L1209" s="115"/>
      <c r="M1209" s="8"/>
      <c r="N1209" s="8" t="str">
        <f t="shared" si="56"/>
        <v>-</v>
      </c>
      <c r="O1209" s="126"/>
      <c r="P1209" s="127"/>
      <c r="Q1209" s="127"/>
      <c r="R1209" s="126"/>
      <c r="S1209" s="127"/>
      <c r="T1209" s="8"/>
      <c r="U1209" s="158"/>
      <c r="V1209" s="7"/>
      <c r="W1209" s="7"/>
      <c r="X1209" s="146"/>
      <c r="Y1209" s="7"/>
      <c r="Z1209" s="7"/>
      <c r="AA1209" s="7" t="str">
        <f>IFERROR((VLOOKUP(F1209,#REF!,2,FALSE)),"-")</f>
        <v>-</v>
      </c>
      <c r="AB1209" s="119" t="e">
        <f>CONCATENATE(F1209," - ",I1209," - ",#REF!,)</f>
        <v>#REF!</v>
      </c>
    </row>
    <row r="1210" spans="1:28" s="116" customFormat="1" ht="15">
      <c r="A1210" s="114"/>
      <c r="B1210" s="120"/>
      <c r="C1210" s="129" t="str">
        <f t="shared" si="54"/>
        <v>week-0</v>
      </c>
      <c r="D1210" s="120" t="str">
        <f t="shared" si="55"/>
        <v>Jan</v>
      </c>
      <c r="E1210" s="7"/>
      <c r="F1210" s="7"/>
      <c r="G1210" s="120"/>
      <c r="H1210" s="120"/>
      <c r="I1210" s="118"/>
      <c r="J1210" s="118"/>
      <c r="K1210" s="115"/>
      <c r="L1210" s="115"/>
      <c r="M1210" s="8"/>
      <c r="N1210" s="8" t="str">
        <f t="shared" si="56"/>
        <v>-</v>
      </c>
      <c r="O1210" s="126"/>
      <c r="P1210" s="127"/>
      <c r="Q1210" s="127"/>
      <c r="R1210" s="126"/>
      <c r="S1210" s="127"/>
      <c r="T1210" s="8"/>
      <c r="U1210" s="158"/>
      <c r="V1210" s="7"/>
      <c r="W1210" s="7"/>
      <c r="X1210" s="146"/>
      <c r="Y1210" s="7"/>
      <c r="Z1210" s="7"/>
      <c r="AA1210" s="7" t="str">
        <f>IFERROR((VLOOKUP(F1210,#REF!,2,FALSE)),"-")</f>
        <v>-</v>
      </c>
      <c r="AB1210" s="119" t="e">
        <f>CONCATENATE(F1210," - ",I1210," - ",#REF!,)</f>
        <v>#REF!</v>
      </c>
    </row>
    <row r="1211" spans="1:28" s="116" customFormat="1" ht="15">
      <c r="A1211" s="114"/>
      <c r="B1211" s="120"/>
      <c r="C1211" s="129" t="str">
        <f t="shared" si="54"/>
        <v>week-0</v>
      </c>
      <c r="D1211" s="120" t="str">
        <f t="shared" si="55"/>
        <v>Jan</v>
      </c>
      <c r="E1211" s="7"/>
      <c r="F1211" s="7"/>
      <c r="G1211" s="120"/>
      <c r="H1211" s="120"/>
      <c r="I1211" s="118"/>
      <c r="J1211" s="118"/>
      <c r="K1211" s="115"/>
      <c r="L1211" s="115"/>
      <c r="M1211" s="8"/>
      <c r="N1211" s="8" t="str">
        <f t="shared" si="56"/>
        <v>-</v>
      </c>
      <c r="O1211" s="126"/>
      <c r="P1211" s="127"/>
      <c r="Q1211" s="127"/>
      <c r="R1211" s="126"/>
      <c r="S1211" s="127"/>
      <c r="T1211" s="8"/>
      <c r="U1211" s="158"/>
      <c r="V1211" s="7"/>
      <c r="W1211" s="7"/>
      <c r="X1211" s="146"/>
      <c r="Y1211" s="7"/>
      <c r="Z1211" s="7"/>
      <c r="AA1211" s="7" t="str">
        <f>IFERROR((VLOOKUP(F1211,#REF!,2,FALSE)),"-")</f>
        <v>-</v>
      </c>
      <c r="AB1211" s="119" t="e">
        <f>CONCATENATE(F1211," - ",I1211," - ",#REF!,)</f>
        <v>#REF!</v>
      </c>
    </row>
    <row r="1212" spans="1:28" s="116" customFormat="1" ht="15">
      <c r="A1212" s="114"/>
      <c r="B1212" s="120"/>
      <c r="C1212" s="129" t="str">
        <f t="shared" si="54"/>
        <v>week-0</v>
      </c>
      <c r="D1212" s="120" t="str">
        <f t="shared" si="55"/>
        <v>Jan</v>
      </c>
      <c r="E1212" s="7"/>
      <c r="F1212" s="7"/>
      <c r="G1212" s="120"/>
      <c r="H1212" s="120"/>
      <c r="I1212" s="118"/>
      <c r="J1212" s="118"/>
      <c r="K1212" s="115"/>
      <c r="L1212" s="115"/>
      <c r="M1212" s="8"/>
      <c r="N1212" s="8" t="str">
        <f t="shared" si="56"/>
        <v>-</v>
      </c>
      <c r="O1212" s="126"/>
      <c r="P1212" s="127"/>
      <c r="Q1212" s="127"/>
      <c r="R1212" s="126"/>
      <c r="S1212" s="127"/>
      <c r="T1212" s="8"/>
      <c r="U1212" s="158"/>
      <c r="V1212" s="7"/>
      <c r="W1212" s="7"/>
      <c r="X1212" s="146"/>
      <c r="Y1212" s="7"/>
      <c r="Z1212" s="7"/>
      <c r="AA1212" s="7" t="str">
        <f>IFERROR((VLOOKUP(F1212,#REF!,2,FALSE)),"-")</f>
        <v>-</v>
      </c>
      <c r="AB1212" s="119" t="e">
        <f>CONCATENATE(F1212," - ",I1212," - ",#REF!,)</f>
        <v>#REF!</v>
      </c>
    </row>
    <row r="1213" spans="1:28" s="116" customFormat="1" ht="15">
      <c r="A1213" s="114"/>
      <c r="B1213" s="120"/>
      <c r="C1213" s="129" t="str">
        <f t="shared" si="54"/>
        <v>week-0</v>
      </c>
      <c r="D1213" s="120" t="str">
        <f t="shared" si="55"/>
        <v>Jan</v>
      </c>
      <c r="E1213" s="7"/>
      <c r="F1213" s="7"/>
      <c r="G1213" s="120"/>
      <c r="H1213" s="120"/>
      <c r="I1213" s="118"/>
      <c r="J1213" s="118"/>
      <c r="K1213" s="115"/>
      <c r="L1213" s="115"/>
      <c r="M1213" s="8"/>
      <c r="N1213" s="8" t="str">
        <f t="shared" si="56"/>
        <v>-</v>
      </c>
      <c r="O1213" s="126"/>
      <c r="P1213" s="127"/>
      <c r="Q1213" s="127"/>
      <c r="R1213" s="126"/>
      <c r="S1213" s="127"/>
      <c r="T1213" s="8"/>
      <c r="U1213" s="158"/>
      <c r="V1213" s="7"/>
      <c r="W1213" s="7"/>
      <c r="X1213" s="146"/>
      <c r="Y1213" s="7"/>
      <c r="Z1213" s="7"/>
      <c r="AA1213" s="7" t="str">
        <f>IFERROR((VLOOKUP(F1213,#REF!,2,FALSE)),"-")</f>
        <v>-</v>
      </c>
      <c r="AB1213" s="119" t="e">
        <f>CONCATENATE(F1213," - ",I1213," - ",#REF!,)</f>
        <v>#REF!</v>
      </c>
    </row>
    <row r="1214" spans="1:28" s="116" customFormat="1" ht="15">
      <c r="A1214" s="114"/>
      <c r="B1214" s="120"/>
      <c r="C1214" s="129" t="str">
        <f t="shared" si="54"/>
        <v>week-0</v>
      </c>
      <c r="D1214" s="120" t="str">
        <f t="shared" si="55"/>
        <v>Jan</v>
      </c>
      <c r="E1214" s="7"/>
      <c r="F1214" s="7"/>
      <c r="G1214" s="120"/>
      <c r="H1214" s="120"/>
      <c r="I1214" s="118"/>
      <c r="J1214" s="118"/>
      <c r="K1214" s="115"/>
      <c r="L1214" s="115"/>
      <c r="M1214" s="8"/>
      <c r="N1214" s="8" t="str">
        <f t="shared" si="56"/>
        <v>-</v>
      </c>
      <c r="O1214" s="126"/>
      <c r="P1214" s="127"/>
      <c r="Q1214" s="127"/>
      <c r="R1214" s="126"/>
      <c r="S1214" s="127"/>
      <c r="T1214" s="8"/>
      <c r="U1214" s="158"/>
      <c r="V1214" s="7"/>
      <c r="W1214" s="7"/>
      <c r="X1214" s="146"/>
      <c r="Y1214" s="7"/>
      <c r="Z1214" s="7"/>
      <c r="AA1214" s="7" t="str">
        <f>IFERROR((VLOOKUP(F1214,#REF!,2,FALSE)),"-")</f>
        <v>-</v>
      </c>
      <c r="AB1214" s="119" t="e">
        <f>CONCATENATE(F1214," - ",I1214," - ",#REF!,)</f>
        <v>#REF!</v>
      </c>
    </row>
    <row r="1215" spans="1:28" s="116" customFormat="1" ht="15">
      <c r="A1215" s="114"/>
      <c r="B1215" s="120"/>
      <c r="C1215" s="129" t="str">
        <f t="shared" si="54"/>
        <v>week-0</v>
      </c>
      <c r="D1215" s="120" t="str">
        <f t="shared" si="55"/>
        <v>Jan</v>
      </c>
      <c r="E1215" s="7"/>
      <c r="F1215" s="7"/>
      <c r="G1215" s="120"/>
      <c r="H1215" s="120"/>
      <c r="I1215" s="118"/>
      <c r="J1215" s="118"/>
      <c r="K1215" s="115"/>
      <c r="L1215" s="115"/>
      <c r="M1215" s="8"/>
      <c r="N1215" s="8" t="str">
        <f t="shared" si="56"/>
        <v>-</v>
      </c>
      <c r="O1215" s="126"/>
      <c r="P1215" s="127"/>
      <c r="Q1215" s="127"/>
      <c r="R1215" s="126"/>
      <c r="S1215" s="127"/>
      <c r="T1215" s="8"/>
      <c r="U1215" s="158"/>
      <c r="V1215" s="7"/>
      <c r="W1215" s="7"/>
      <c r="X1215" s="146"/>
      <c r="Y1215" s="7"/>
      <c r="Z1215" s="7"/>
      <c r="AA1215" s="7" t="str">
        <f>IFERROR((VLOOKUP(F1215,#REF!,2,FALSE)),"-")</f>
        <v>-</v>
      </c>
      <c r="AB1215" s="119" t="e">
        <f>CONCATENATE(F1215," - ",I1215," - ",#REF!,)</f>
        <v>#REF!</v>
      </c>
    </row>
    <row r="1216" spans="1:28" s="116" customFormat="1" ht="15">
      <c r="A1216" s="114"/>
      <c r="B1216" s="120"/>
      <c r="C1216" s="129" t="str">
        <f t="shared" si="54"/>
        <v>week-0</v>
      </c>
      <c r="D1216" s="120" t="str">
        <f t="shared" si="55"/>
        <v>Jan</v>
      </c>
      <c r="E1216" s="7"/>
      <c r="F1216" s="7"/>
      <c r="G1216" s="120"/>
      <c r="H1216" s="120"/>
      <c r="I1216" s="118"/>
      <c r="J1216" s="118"/>
      <c r="K1216" s="115"/>
      <c r="L1216" s="115"/>
      <c r="M1216" s="8"/>
      <c r="N1216" s="8" t="str">
        <f t="shared" si="56"/>
        <v>-</v>
      </c>
      <c r="O1216" s="126"/>
      <c r="P1216" s="127"/>
      <c r="Q1216" s="127"/>
      <c r="R1216" s="126"/>
      <c r="S1216" s="127"/>
      <c r="T1216" s="8"/>
      <c r="U1216" s="158"/>
      <c r="V1216" s="7"/>
      <c r="W1216" s="7"/>
      <c r="X1216" s="146"/>
      <c r="Y1216" s="7"/>
      <c r="Z1216" s="7"/>
      <c r="AA1216" s="7" t="str">
        <f>IFERROR((VLOOKUP(F1216,#REF!,2,FALSE)),"-")</f>
        <v>-</v>
      </c>
      <c r="AB1216" s="119" t="e">
        <f>CONCATENATE(F1216," - ",I1216," - ",#REF!,)</f>
        <v>#REF!</v>
      </c>
    </row>
    <row r="1217" spans="1:28" s="116" customFormat="1" ht="15">
      <c r="A1217" s="114"/>
      <c r="B1217" s="120"/>
      <c r="C1217" s="129" t="str">
        <f t="shared" si="54"/>
        <v>week-0</v>
      </c>
      <c r="D1217" s="120" t="str">
        <f t="shared" si="55"/>
        <v>Jan</v>
      </c>
      <c r="E1217" s="7"/>
      <c r="F1217" s="7"/>
      <c r="G1217" s="120"/>
      <c r="H1217" s="120"/>
      <c r="I1217" s="118"/>
      <c r="J1217" s="118"/>
      <c r="K1217" s="115"/>
      <c r="L1217" s="115"/>
      <c r="M1217" s="8"/>
      <c r="N1217" s="8" t="str">
        <f t="shared" si="56"/>
        <v>-</v>
      </c>
      <c r="O1217" s="126"/>
      <c r="P1217" s="127"/>
      <c r="Q1217" s="127"/>
      <c r="R1217" s="126"/>
      <c r="S1217" s="127"/>
      <c r="T1217" s="8"/>
      <c r="U1217" s="158"/>
      <c r="V1217" s="7"/>
      <c r="W1217" s="7"/>
      <c r="X1217" s="146"/>
      <c r="Y1217" s="7"/>
      <c r="Z1217" s="7"/>
      <c r="AA1217" s="7" t="str">
        <f>IFERROR((VLOOKUP(F1217,#REF!,2,FALSE)),"-")</f>
        <v>-</v>
      </c>
      <c r="AB1217" s="119" t="e">
        <f>CONCATENATE(F1217," - ",I1217," - ",#REF!,)</f>
        <v>#REF!</v>
      </c>
    </row>
    <row r="1218" spans="1:28" s="116" customFormat="1" ht="15">
      <c r="A1218" s="114"/>
      <c r="B1218" s="120"/>
      <c r="C1218" s="129" t="str">
        <f t="shared" si="54"/>
        <v>week-0</v>
      </c>
      <c r="D1218" s="120" t="str">
        <f t="shared" si="55"/>
        <v>Jan</v>
      </c>
      <c r="E1218" s="7"/>
      <c r="F1218" s="7"/>
      <c r="G1218" s="120"/>
      <c r="H1218" s="120"/>
      <c r="I1218" s="118"/>
      <c r="J1218" s="118"/>
      <c r="K1218" s="115"/>
      <c r="L1218" s="115"/>
      <c r="M1218" s="8"/>
      <c r="N1218" s="8" t="str">
        <f t="shared" si="56"/>
        <v>-</v>
      </c>
      <c r="O1218" s="126"/>
      <c r="P1218" s="127"/>
      <c r="Q1218" s="127"/>
      <c r="R1218" s="126"/>
      <c r="S1218" s="127"/>
      <c r="T1218" s="8"/>
      <c r="U1218" s="158"/>
      <c r="V1218" s="7"/>
      <c r="W1218" s="7"/>
      <c r="X1218" s="146"/>
      <c r="Y1218" s="7"/>
      <c r="Z1218" s="7"/>
      <c r="AA1218" s="7" t="str">
        <f>IFERROR((VLOOKUP(F1218,#REF!,2,FALSE)),"-")</f>
        <v>-</v>
      </c>
      <c r="AB1218" s="119" t="e">
        <f>CONCATENATE(F1218," - ",I1218," - ",#REF!,)</f>
        <v>#REF!</v>
      </c>
    </row>
    <row r="1219" spans="1:28" s="116" customFormat="1" ht="15">
      <c r="A1219" s="114"/>
      <c r="B1219" s="120"/>
      <c r="C1219" s="129" t="str">
        <f t="shared" si="54"/>
        <v>week-0</v>
      </c>
      <c r="D1219" s="120" t="str">
        <f t="shared" si="55"/>
        <v>Jan</v>
      </c>
      <c r="E1219" s="7"/>
      <c r="F1219" s="7"/>
      <c r="G1219" s="120"/>
      <c r="H1219" s="120"/>
      <c r="I1219" s="118"/>
      <c r="J1219" s="118"/>
      <c r="K1219" s="115"/>
      <c r="L1219" s="115"/>
      <c r="M1219" s="8"/>
      <c r="N1219" s="8" t="str">
        <f t="shared" si="56"/>
        <v>-</v>
      </c>
      <c r="O1219" s="126"/>
      <c r="P1219" s="127"/>
      <c r="Q1219" s="127"/>
      <c r="R1219" s="126"/>
      <c r="S1219" s="127"/>
      <c r="T1219" s="8"/>
      <c r="U1219" s="158"/>
      <c r="V1219" s="7"/>
      <c r="W1219" s="7"/>
      <c r="X1219" s="146"/>
      <c r="Y1219" s="7"/>
      <c r="Z1219" s="7"/>
      <c r="AA1219" s="7" t="str">
        <f>IFERROR((VLOOKUP(F1219,#REF!,2,FALSE)),"-")</f>
        <v>-</v>
      </c>
      <c r="AB1219" s="119" t="e">
        <f>CONCATENATE(F1219," - ",I1219," - ",#REF!,)</f>
        <v>#REF!</v>
      </c>
    </row>
    <row r="1220" spans="1:28" s="116" customFormat="1" ht="15">
      <c r="A1220" s="114"/>
      <c r="B1220" s="120"/>
      <c r="C1220" s="129" t="str">
        <f t="shared" ref="C1220:C1283" si="57">"week-"&amp;WEEKNUM(B1220)</f>
        <v>week-0</v>
      </c>
      <c r="D1220" s="120" t="str">
        <f t="shared" ref="D1220:D1283" si="58">TEXT(B1220,"mmm")</f>
        <v>Jan</v>
      </c>
      <c r="E1220" s="7"/>
      <c r="F1220" s="7"/>
      <c r="G1220" s="120"/>
      <c r="H1220" s="120"/>
      <c r="I1220" s="118"/>
      <c r="J1220" s="118"/>
      <c r="K1220" s="115"/>
      <c r="L1220" s="115"/>
      <c r="M1220" s="8"/>
      <c r="N1220" s="8" t="str">
        <f t="shared" ref="N1220:N1283" si="59">IF(ISBLANK(M1220),"-",(M1220/60))</f>
        <v>-</v>
      </c>
      <c r="O1220" s="126"/>
      <c r="P1220" s="127"/>
      <c r="Q1220" s="127"/>
      <c r="R1220" s="126"/>
      <c r="S1220" s="127"/>
      <c r="T1220" s="8"/>
      <c r="U1220" s="158"/>
      <c r="V1220" s="7"/>
      <c r="W1220" s="7"/>
      <c r="X1220" s="146"/>
      <c r="Y1220" s="7"/>
      <c r="Z1220" s="7"/>
      <c r="AA1220" s="7" t="str">
        <f>IFERROR((VLOOKUP(F1220,#REF!,2,FALSE)),"-")</f>
        <v>-</v>
      </c>
      <c r="AB1220" s="119" t="e">
        <f>CONCATENATE(F1220," - ",I1220," - ",#REF!,)</f>
        <v>#REF!</v>
      </c>
    </row>
    <row r="1221" spans="1:28" s="116" customFormat="1" ht="15">
      <c r="A1221" s="114"/>
      <c r="B1221" s="120"/>
      <c r="C1221" s="129" t="str">
        <f t="shared" si="57"/>
        <v>week-0</v>
      </c>
      <c r="D1221" s="120" t="str">
        <f t="shared" si="58"/>
        <v>Jan</v>
      </c>
      <c r="E1221" s="7"/>
      <c r="F1221" s="7"/>
      <c r="G1221" s="120"/>
      <c r="H1221" s="120"/>
      <c r="I1221" s="118"/>
      <c r="J1221" s="118"/>
      <c r="K1221" s="115"/>
      <c r="L1221" s="115"/>
      <c r="M1221" s="8"/>
      <c r="N1221" s="8" t="str">
        <f t="shared" si="59"/>
        <v>-</v>
      </c>
      <c r="O1221" s="126"/>
      <c r="P1221" s="127"/>
      <c r="Q1221" s="127"/>
      <c r="R1221" s="126"/>
      <c r="S1221" s="127"/>
      <c r="T1221" s="8"/>
      <c r="U1221" s="158"/>
      <c r="V1221" s="7"/>
      <c r="W1221" s="7"/>
      <c r="X1221" s="146"/>
      <c r="Y1221" s="7"/>
      <c r="Z1221" s="7"/>
      <c r="AA1221" s="7" t="str">
        <f>IFERROR((VLOOKUP(F1221,#REF!,2,FALSE)),"-")</f>
        <v>-</v>
      </c>
      <c r="AB1221" s="119" t="e">
        <f>CONCATENATE(F1221," - ",I1221," - ",#REF!,)</f>
        <v>#REF!</v>
      </c>
    </row>
    <row r="1222" spans="1:28" s="116" customFormat="1" ht="15">
      <c r="A1222" s="114"/>
      <c r="B1222" s="120"/>
      <c r="C1222" s="129" t="str">
        <f t="shared" si="57"/>
        <v>week-0</v>
      </c>
      <c r="D1222" s="120" t="str">
        <f t="shared" si="58"/>
        <v>Jan</v>
      </c>
      <c r="E1222" s="7"/>
      <c r="F1222" s="7"/>
      <c r="G1222" s="120"/>
      <c r="H1222" s="120"/>
      <c r="I1222" s="118"/>
      <c r="J1222" s="118"/>
      <c r="K1222" s="115"/>
      <c r="L1222" s="115"/>
      <c r="M1222" s="8"/>
      <c r="N1222" s="8" t="str">
        <f t="shared" si="59"/>
        <v>-</v>
      </c>
      <c r="O1222" s="126"/>
      <c r="P1222" s="127"/>
      <c r="Q1222" s="127"/>
      <c r="R1222" s="126"/>
      <c r="S1222" s="127"/>
      <c r="T1222" s="8"/>
      <c r="U1222" s="158"/>
      <c r="V1222" s="7"/>
      <c r="W1222" s="7"/>
      <c r="X1222" s="146"/>
      <c r="Y1222" s="7"/>
      <c r="Z1222" s="7"/>
      <c r="AA1222" s="7" t="str">
        <f>IFERROR((VLOOKUP(F1222,#REF!,2,FALSE)),"-")</f>
        <v>-</v>
      </c>
      <c r="AB1222" s="119" t="e">
        <f>CONCATENATE(F1222," - ",I1222," - ",#REF!,)</f>
        <v>#REF!</v>
      </c>
    </row>
    <row r="1223" spans="1:28" s="116" customFormat="1" ht="15">
      <c r="A1223" s="114"/>
      <c r="B1223" s="120"/>
      <c r="C1223" s="129" t="str">
        <f t="shared" si="57"/>
        <v>week-0</v>
      </c>
      <c r="D1223" s="120" t="str">
        <f t="shared" si="58"/>
        <v>Jan</v>
      </c>
      <c r="E1223" s="7"/>
      <c r="F1223" s="7"/>
      <c r="G1223" s="120"/>
      <c r="H1223" s="120"/>
      <c r="I1223" s="118"/>
      <c r="J1223" s="118"/>
      <c r="K1223" s="115"/>
      <c r="L1223" s="115"/>
      <c r="M1223" s="8"/>
      <c r="N1223" s="8" t="str">
        <f t="shared" si="59"/>
        <v>-</v>
      </c>
      <c r="O1223" s="126"/>
      <c r="P1223" s="127"/>
      <c r="Q1223" s="127"/>
      <c r="R1223" s="126"/>
      <c r="S1223" s="127"/>
      <c r="T1223" s="8"/>
      <c r="U1223" s="158"/>
      <c r="V1223" s="7"/>
      <c r="W1223" s="7"/>
      <c r="X1223" s="146"/>
      <c r="Y1223" s="7"/>
      <c r="Z1223" s="7"/>
      <c r="AA1223" s="7" t="str">
        <f>IFERROR((VLOOKUP(F1223,#REF!,2,FALSE)),"-")</f>
        <v>-</v>
      </c>
      <c r="AB1223" s="119" t="e">
        <f>CONCATENATE(F1223," - ",I1223," - ",#REF!,)</f>
        <v>#REF!</v>
      </c>
    </row>
    <row r="1224" spans="1:28" s="116" customFormat="1" ht="15">
      <c r="A1224" s="114"/>
      <c r="B1224" s="120"/>
      <c r="C1224" s="129" t="str">
        <f t="shared" si="57"/>
        <v>week-0</v>
      </c>
      <c r="D1224" s="120" t="str">
        <f t="shared" si="58"/>
        <v>Jan</v>
      </c>
      <c r="E1224" s="7"/>
      <c r="F1224" s="7"/>
      <c r="G1224" s="120"/>
      <c r="H1224" s="120"/>
      <c r="I1224" s="118"/>
      <c r="J1224" s="118"/>
      <c r="K1224" s="115"/>
      <c r="L1224" s="115"/>
      <c r="M1224" s="8"/>
      <c r="N1224" s="8" t="str">
        <f t="shared" si="59"/>
        <v>-</v>
      </c>
      <c r="O1224" s="126"/>
      <c r="P1224" s="127"/>
      <c r="Q1224" s="127"/>
      <c r="R1224" s="126"/>
      <c r="S1224" s="127"/>
      <c r="T1224" s="8"/>
      <c r="U1224" s="158"/>
      <c r="V1224" s="7"/>
      <c r="W1224" s="7"/>
      <c r="X1224" s="146"/>
      <c r="Y1224" s="7"/>
      <c r="Z1224" s="7"/>
      <c r="AA1224" s="7" t="str">
        <f>IFERROR((VLOOKUP(F1224,#REF!,2,FALSE)),"-")</f>
        <v>-</v>
      </c>
      <c r="AB1224" s="119" t="e">
        <f>CONCATENATE(F1224," - ",I1224," - ",#REF!,)</f>
        <v>#REF!</v>
      </c>
    </row>
    <row r="1225" spans="1:28" s="116" customFormat="1" ht="15">
      <c r="A1225" s="114"/>
      <c r="B1225" s="120"/>
      <c r="C1225" s="129" t="str">
        <f t="shared" si="57"/>
        <v>week-0</v>
      </c>
      <c r="D1225" s="120" t="str">
        <f t="shared" si="58"/>
        <v>Jan</v>
      </c>
      <c r="E1225" s="7"/>
      <c r="F1225" s="7"/>
      <c r="G1225" s="120"/>
      <c r="H1225" s="120"/>
      <c r="I1225" s="118"/>
      <c r="J1225" s="118"/>
      <c r="K1225" s="115"/>
      <c r="L1225" s="115"/>
      <c r="M1225" s="8"/>
      <c r="N1225" s="8" t="str">
        <f t="shared" si="59"/>
        <v>-</v>
      </c>
      <c r="O1225" s="126"/>
      <c r="P1225" s="127"/>
      <c r="Q1225" s="127"/>
      <c r="R1225" s="126"/>
      <c r="S1225" s="127"/>
      <c r="T1225" s="8"/>
      <c r="U1225" s="158"/>
      <c r="V1225" s="7"/>
      <c r="W1225" s="7"/>
      <c r="X1225" s="146"/>
      <c r="Y1225" s="7"/>
      <c r="Z1225" s="7"/>
      <c r="AA1225" s="7" t="str">
        <f>IFERROR((VLOOKUP(F1225,#REF!,2,FALSE)),"-")</f>
        <v>-</v>
      </c>
      <c r="AB1225" s="119" t="e">
        <f>CONCATENATE(F1225," - ",I1225," - ",#REF!,)</f>
        <v>#REF!</v>
      </c>
    </row>
    <row r="1226" spans="1:28" s="116" customFormat="1" ht="15">
      <c r="A1226" s="114"/>
      <c r="B1226" s="120"/>
      <c r="C1226" s="129" t="str">
        <f t="shared" si="57"/>
        <v>week-0</v>
      </c>
      <c r="D1226" s="120" t="str">
        <f t="shared" si="58"/>
        <v>Jan</v>
      </c>
      <c r="E1226" s="7"/>
      <c r="F1226" s="7"/>
      <c r="G1226" s="120"/>
      <c r="H1226" s="120"/>
      <c r="I1226" s="118"/>
      <c r="J1226" s="118"/>
      <c r="K1226" s="115"/>
      <c r="L1226" s="115"/>
      <c r="M1226" s="8"/>
      <c r="N1226" s="8" t="str">
        <f t="shared" si="59"/>
        <v>-</v>
      </c>
      <c r="O1226" s="126"/>
      <c r="P1226" s="127"/>
      <c r="Q1226" s="127"/>
      <c r="R1226" s="126"/>
      <c r="S1226" s="127"/>
      <c r="T1226" s="8"/>
      <c r="U1226" s="158"/>
      <c r="V1226" s="7"/>
      <c r="W1226" s="7"/>
      <c r="X1226" s="146"/>
      <c r="Y1226" s="7"/>
      <c r="Z1226" s="7"/>
      <c r="AA1226" s="7" t="str">
        <f>IFERROR((VLOOKUP(F1226,#REF!,2,FALSE)),"-")</f>
        <v>-</v>
      </c>
      <c r="AB1226" s="119" t="e">
        <f>CONCATENATE(F1226," - ",I1226," - ",#REF!,)</f>
        <v>#REF!</v>
      </c>
    </row>
    <row r="1227" spans="1:28" s="116" customFormat="1" ht="15">
      <c r="A1227" s="114"/>
      <c r="B1227" s="120"/>
      <c r="C1227" s="129" t="str">
        <f t="shared" si="57"/>
        <v>week-0</v>
      </c>
      <c r="D1227" s="120" t="str">
        <f t="shared" si="58"/>
        <v>Jan</v>
      </c>
      <c r="E1227" s="7"/>
      <c r="F1227" s="7"/>
      <c r="G1227" s="120"/>
      <c r="H1227" s="120"/>
      <c r="I1227" s="118"/>
      <c r="J1227" s="118"/>
      <c r="K1227" s="115"/>
      <c r="L1227" s="115"/>
      <c r="M1227" s="8"/>
      <c r="N1227" s="8" t="str">
        <f t="shared" si="59"/>
        <v>-</v>
      </c>
      <c r="O1227" s="126"/>
      <c r="P1227" s="127"/>
      <c r="Q1227" s="127"/>
      <c r="R1227" s="126"/>
      <c r="S1227" s="127"/>
      <c r="T1227" s="8"/>
      <c r="U1227" s="158"/>
      <c r="V1227" s="7"/>
      <c r="W1227" s="7"/>
      <c r="X1227" s="146"/>
      <c r="Y1227" s="7"/>
      <c r="Z1227" s="7"/>
      <c r="AA1227" s="7" t="str">
        <f>IFERROR((VLOOKUP(F1227,#REF!,2,FALSE)),"-")</f>
        <v>-</v>
      </c>
      <c r="AB1227" s="119" t="e">
        <f>CONCATENATE(F1227," - ",I1227," - ",#REF!,)</f>
        <v>#REF!</v>
      </c>
    </row>
    <row r="1228" spans="1:28" s="116" customFormat="1" ht="15">
      <c r="A1228" s="114"/>
      <c r="B1228" s="120"/>
      <c r="C1228" s="129" t="str">
        <f t="shared" si="57"/>
        <v>week-0</v>
      </c>
      <c r="D1228" s="120" t="str">
        <f t="shared" si="58"/>
        <v>Jan</v>
      </c>
      <c r="E1228" s="7"/>
      <c r="F1228" s="7"/>
      <c r="G1228" s="120"/>
      <c r="H1228" s="120"/>
      <c r="I1228" s="118"/>
      <c r="J1228" s="118"/>
      <c r="K1228" s="115"/>
      <c r="L1228" s="115"/>
      <c r="M1228" s="8"/>
      <c r="N1228" s="8" t="str">
        <f t="shared" si="59"/>
        <v>-</v>
      </c>
      <c r="O1228" s="126"/>
      <c r="P1228" s="127"/>
      <c r="Q1228" s="127"/>
      <c r="R1228" s="126"/>
      <c r="S1228" s="127"/>
      <c r="T1228" s="8"/>
      <c r="U1228" s="158"/>
      <c r="V1228" s="7"/>
      <c r="W1228" s="7"/>
      <c r="X1228" s="146"/>
      <c r="Y1228" s="7"/>
      <c r="Z1228" s="7"/>
      <c r="AA1228" s="7" t="str">
        <f>IFERROR((VLOOKUP(F1228,#REF!,2,FALSE)),"-")</f>
        <v>-</v>
      </c>
      <c r="AB1228" s="119" t="e">
        <f>CONCATENATE(F1228," - ",I1228," - ",#REF!,)</f>
        <v>#REF!</v>
      </c>
    </row>
    <row r="1229" spans="1:28" s="116" customFormat="1" ht="15">
      <c r="A1229" s="114"/>
      <c r="B1229" s="120"/>
      <c r="C1229" s="129" t="str">
        <f t="shared" si="57"/>
        <v>week-0</v>
      </c>
      <c r="D1229" s="120" t="str">
        <f t="shared" si="58"/>
        <v>Jan</v>
      </c>
      <c r="E1229" s="7"/>
      <c r="F1229" s="7"/>
      <c r="G1229" s="120"/>
      <c r="H1229" s="120"/>
      <c r="I1229" s="118"/>
      <c r="J1229" s="118"/>
      <c r="K1229" s="115"/>
      <c r="L1229" s="115"/>
      <c r="M1229" s="8"/>
      <c r="N1229" s="8" t="str">
        <f t="shared" si="59"/>
        <v>-</v>
      </c>
      <c r="O1229" s="126"/>
      <c r="P1229" s="127"/>
      <c r="Q1229" s="127"/>
      <c r="R1229" s="126"/>
      <c r="S1229" s="127"/>
      <c r="T1229" s="8"/>
      <c r="U1229" s="158"/>
      <c r="V1229" s="7"/>
      <c r="W1229" s="7"/>
      <c r="X1229" s="146"/>
      <c r="Y1229" s="7"/>
      <c r="Z1229" s="7"/>
      <c r="AA1229" s="7" t="str">
        <f>IFERROR((VLOOKUP(F1229,#REF!,2,FALSE)),"-")</f>
        <v>-</v>
      </c>
      <c r="AB1229" s="119" t="e">
        <f>CONCATENATE(F1229," - ",I1229," - ",#REF!,)</f>
        <v>#REF!</v>
      </c>
    </row>
    <row r="1230" spans="1:28" s="116" customFormat="1" ht="15">
      <c r="A1230" s="114"/>
      <c r="B1230" s="120"/>
      <c r="C1230" s="129" t="str">
        <f t="shared" si="57"/>
        <v>week-0</v>
      </c>
      <c r="D1230" s="120" t="str">
        <f t="shared" si="58"/>
        <v>Jan</v>
      </c>
      <c r="E1230" s="7"/>
      <c r="F1230" s="7"/>
      <c r="G1230" s="120"/>
      <c r="H1230" s="120"/>
      <c r="I1230" s="118"/>
      <c r="J1230" s="118"/>
      <c r="K1230" s="115"/>
      <c r="L1230" s="115"/>
      <c r="M1230" s="8"/>
      <c r="N1230" s="8" t="str">
        <f t="shared" si="59"/>
        <v>-</v>
      </c>
      <c r="O1230" s="126"/>
      <c r="P1230" s="127"/>
      <c r="Q1230" s="127"/>
      <c r="R1230" s="126"/>
      <c r="S1230" s="127"/>
      <c r="T1230" s="8"/>
      <c r="U1230" s="158"/>
      <c r="V1230" s="7"/>
      <c r="W1230" s="7"/>
      <c r="X1230" s="146"/>
      <c r="Y1230" s="7"/>
      <c r="Z1230" s="7"/>
      <c r="AA1230" s="7" t="str">
        <f>IFERROR((VLOOKUP(F1230,#REF!,2,FALSE)),"-")</f>
        <v>-</v>
      </c>
      <c r="AB1230" s="119" t="e">
        <f>CONCATENATE(F1230," - ",I1230," - ",#REF!,)</f>
        <v>#REF!</v>
      </c>
    </row>
    <row r="1231" spans="1:28" s="116" customFormat="1" ht="15">
      <c r="A1231" s="114"/>
      <c r="B1231" s="120"/>
      <c r="C1231" s="129" t="str">
        <f t="shared" si="57"/>
        <v>week-0</v>
      </c>
      <c r="D1231" s="120" t="str">
        <f t="shared" si="58"/>
        <v>Jan</v>
      </c>
      <c r="E1231" s="7"/>
      <c r="F1231" s="7"/>
      <c r="G1231" s="120"/>
      <c r="H1231" s="120"/>
      <c r="I1231" s="118"/>
      <c r="J1231" s="118"/>
      <c r="K1231" s="115"/>
      <c r="L1231" s="115"/>
      <c r="M1231" s="8"/>
      <c r="N1231" s="8" t="str">
        <f t="shared" si="59"/>
        <v>-</v>
      </c>
      <c r="O1231" s="126"/>
      <c r="P1231" s="127"/>
      <c r="Q1231" s="127"/>
      <c r="R1231" s="126"/>
      <c r="S1231" s="127"/>
      <c r="T1231" s="8"/>
      <c r="U1231" s="158"/>
      <c r="V1231" s="7"/>
      <c r="W1231" s="7"/>
      <c r="X1231" s="146"/>
      <c r="Y1231" s="7"/>
      <c r="Z1231" s="7"/>
      <c r="AA1231" s="7" t="str">
        <f>IFERROR((VLOOKUP(F1231,#REF!,2,FALSE)),"-")</f>
        <v>-</v>
      </c>
      <c r="AB1231" s="119" t="e">
        <f>CONCATENATE(F1231," - ",I1231," - ",#REF!,)</f>
        <v>#REF!</v>
      </c>
    </row>
    <row r="1232" spans="1:28" s="116" customFormat="1" ht="15">
      <c r="A1232" s="114"/>
      <c r="B1232" s="120"/>
      <c r="C1232" s="129" t="str">
        <f t="shared" si="57"/>
        <v>week-0</v>
      </c>
      <c r="D1232" s="120" t="str">
        <f t="shared" si="58"/>
        <v>Jan</v>
      </c>
      <c r="E1232" s="7"/>
      <c r="F1232" s="7"/>
      <c r="G1232" s="120"/>
      <c r="H1232" s="120"/>
      <c r="I1232" s="118"/>
      <c r="J1232" s="118"/>
      <c r="K1232" s="115"/>
      <c r="L1232" s="115"/>
      <c r="M1232" s="8"/>
      <c r="N1232" s="8" t="str">
        <f t="shared" si="59"/>
        <v>-</v>
      </c>
      <c r="O1232" s="126"/>
      <c r="P1232" s="127"/>
      <c r="Q1232" s="127"/>
      <c r="R1232" s="126"/>
      <c r="S1232" s="127"/>
      <c r="T1232" s="8"/>
      <c r="U1232" s="158"/>
      <c r="V1232" s="7"/>
      <c r="W1232" s="7"/>
      <c r="X1232" s="146"/>
      <c r="Y1232" s="7"/>
      <c r="Z1232" s="7"/>
      <c r="AA1232" s="7" t="str">
        <f>IFERROR((VLOOKUP(F1232,#REF!,2,FALSE)),"-")</f>
        <v>-</v>
      </c>
      <c r="AB1232" s="119" t="e">
        <f>CONCATENATE(F1232," - ",I1232," - ",#REF!,)</f>
        <v>#REF!</v>
      </c>
    </row>
    <row r="1233" spans="1:28" s="116" customFormat="1" ht="15">
      <c r="A1233" s="114"/>
      <c r="B1233" s="120"/>
      <c r="C1233" s="129" t="str">
        <f t="shared" si="57"/>
        <v>week-0</v>
      </c>
      <c r="D1233" s="120" t="str">
        <f t="shared" si="58"/>
        <v>Jan</v>
      </c>
      <c r="E1233" s="7"/>
      <c r="F1233" s="7"/>
      <c r="G1233" s="120"/>
      <c r="H1233" s="120"/>
      <c r="I1233" s="118"/>
      <c r="J1233" s="118"/>
      <c r="K1233" s="115"/>
      <c r="L1233" s="115"/>
      <c r="M1233" s="8"/>
      <c r="N1233" s="8" t="str">
        <f t="shared" si="59"/>
        <v>-</v>
      </c>
      <c r="O1233" s="126"/>
      <c r="P1233" s="127"/>
      <c r="Q1233" s="127"/>
      <c r="R1233" s="126"/>
      <c r="S1233" s="127"/>
      <c r="T1233" s="8"/>
      <c r="U1233" s="158"/>
      <c r="V1233" s="7"/>
      <c r="W1233" s="7"/>
      <c r="X1233" s="146"/>
      <c r="Y1233" s="7"/>
      <c r="Z1233" s="7"/>
      <c r="AA1233" s="7" t="str">
        <f>IFERROR((VLOOKUP(F1233,#REF!,2,FALSE)),"-")</f>
        <v>-</v>
      </c>
      <c r="AB1233" s="119" t="e">
        <f>CONCATENATE(F1233," - ",I1233," - ",#REF!,)</f>
        <v>#REF!</v>
      </c>
    </row>
    <row r="1234" spans="1:28" s="116" customFormat="1" ht="15">
      <c r="A1234" s="114"/>
      <c r="B1234" s="120"/>
      <c r="C1234" s="129" t="str">
        <f t="shared" si="57"/>
        <v>week-0</v>
      </c>
      <c r="D1234" s="120" t="str">
        <f t="shared" si="58"/>
        <v>Jan</v>
      </c>
      <c r="E1234" s="7"/>
      <c r="F1234" s="7"/>
      <c r="G1234" s="120"/>
      <c r="H1234" s="120"/>
      <c r="I1234" s="118"/>
      <c r="J1234" s="118"/>
      <c r="K1234" s="115"/>
      <c r="L1234" s="115"/>
      <c r="M1234" s="8"/>
      <c r="N1234" s="8" t="str">
        <f t="shared" si="59"/>
        <v>-</v>
      </c>
      <c r="O1234" s="126"/>
      <c r="P1234" s="127"/>
      <c r="Q1234" s="127"/>
      <c r="R1234" s="126"/>
      <c r="S1234" s="127"/>
      <c r="T1234" s="8"/>
      <c r="U1234" s="158"/>
      <c r="V1234" s="7"/>
      <c r="W1234" s="7"/>
      <c r="X1234" s="146"/>
      <c r="Y1234" s="7"/>
      <c r="Z1234" s="7"/>
      <c r="AA1234" s="7" t="str">
        <f>IFERROR((VLOOKUP(F1234,#REF!,2,FALSE)),"-")</f>
        <v>-</v>
      </c>
      <c r="AB1234" s="119" t="e">
        <f>CONCATENATE(F1234," - ",I1234," - ",#REF!,)</f>
        <v>#REF!</v>
      </c>
    </row>
    <row r="1235" spans="1:28" s="116" customFormat="1" ht="15">
      <c r="A1235" s="114"/>
      <c r="B1235" s="120"/>
      <c r="C1235" s="129" t="str">
        <f t="shared" si="57"/>
        <v>week-0</v>
      </c>
      <c r="D1235" s="120" t="str">
        <f t="shared" si="58"/>
        <v>Jan</v>
      </c>
      <c r="E1235" s="7"/>
      <c r="F1235" s="7"/>
      <c r="G1235" s="120"/>
      <c r="H1235" s="120"/>
      <c r="I1235" s="118"/>
      <c r="J1235" s="118"/>
      <c r="K1235" s="115"/>
      <c r="L1235" s="115"/>
      <c r="M1235" s="8"/>
      <c r="N1235" s="8" t="str">
        <f t="shared" si="59"/>
        <v>-</v>
      </c>
      <c r="O1235" s="126"/>
      <c r="P1235" s="127"/>
      <c r="Q1235" s="127"/>
      <c r="R1235" s="126"/>
      <c r="S1235" s="127"/>
      <c r="T1235" s="8"/>
      <c r="U1235" s="158"/>
      <c r="V1235" s="7"/>
      <c r="W1235" s="7"/>
      <c r="X1235" s="146"/>
      <c r="Y1235" s="7"/>
      <c r="Z1235" s="7"/>
      <c r="AA1235" s="7" t="str">
        <f>IFERROR((VLOOKUP(F1235,#REF!,2,FALSE)),"-")</f>
        <v>-</v>
      </c>
      <c r="AB1235" s="119" t="e">
        <f>CONCATENATE(F1235," - ",I1235," - ",#REF!,)</f>
        <v>#REF!</v>
      </c>
    </row>
    <row r="1236" spans="1:28" s="116" customFormat="1" ht="15">
      <c r="A1236" s="114"/>
      <c r="B1236" s="120"/>
      <c r="C1236" s="129" t="str">
        <f t="shared" si="57"/>
        <v>week-0</v>
      </c>
      <c r="D1236" s="120" t="str">
        <f t="shared" si="58"/>
        <v>Jan</v>
      </c>
      <c r="E1236" s="7"/>
      <c r="F1236" s="7"/>
      <c r="G1236" s="120"/>
      <c r="H1236" s="120"/>
      <c r="I1236" s="118"/>
      <c r="J1236" s="118"/>
      <c r="K1236" s="115"/>
      <c r="L1236" s="115"/>
      <c r="M1236" s="8"/>
      <c r="N1236" s="8" t="str">
        <f t="shared" si="59"/>
        <v>-</v>
      </c>
      <c r="O1236" s="126"/>
      <c r="P1236" s="127"/>
      <c r="Q1236" s="127"/>
      <c r="R1236" s="126"/>
      <c r="S1236" s="127"/>
      <c r="T1236" s="8"/>
      <c r="U1236" s="158"/>
      <c r="V1236" s="7"/>
      <c r="W1236" s="7"/>
      <c r="X1236" s="146"/>
      <c r="Y1236" s="7"/>
      <c r="Z1236" s="7"/>
      <c r="AA1236" s="7" t="str">
        <f>IFERROR((VLOOKUP(F1236,#REF!,2,FALSE)),"-")</f>
        <v>-</v>
      </c>
      <c r="AB1236" s="119" t="e">
        <f>CONCATENATE(F1236," - ",I1236," - ",#REF!,)</f>
        <v>#REF!</v>
      </c>
    </row>
    <row r="1237" spans="1:28" s="116" customFormat="1" ht="15">
      <c r="A1237" s="114"/>
      <c r="B1237" s="120"/>
      <c r="C1237" s="129" t="str">
        <f t="shared" si="57"/>
        <v>week-0</v>
      </c>
      <c r="D1237" s="120" t="str">
        <f t="shared" si="58"/>
        <v>Jan</v>
      </c>
      <c r="E1237" s="7"/>
      <c r="F1237" s="7"/>
      <c r="G1237" s="120"/>
      <c r="H1237" s="120"/>
      <c r="I1237" s="118"/>
      <c r="J1237" s="118"/>
      <c r="K1237" s="115"/>
      <c r="L1237" s="115"/>
      <c r="M1237" s="8"/>
      <c r="N1237" s="8" t="str">
        <f t="shared" si="59"/>
        <v>-</v>
      </c>
      <c r="O1237" s="126"/>
      <c r="P1237" s="127"/>
      <c r="Q1237" s="127"/>
      <c r="R1237" s="126"/>
      <c r="S1237" s="127"/>
      <c r="T1237" s="8"/>
      <c r="U1237" s="158"/>
      <c r="V1237" s="7"/>
      <c r="W1237" s="7"/>
      <c r="X1237" s="146"/>
      <c r="Y1237" s="7"/>
      <c r="Z1237" s="7"/>
      <c r="AA1237" s="7" t="str">
        <f>IFERROR((VLOOKUP(F1237,#REF!,2,FALSE)),"-")</f>
        <v>-</v>
      </c>
      <c r="AB1237" s="119" t="e">
        <f>CONCATENATE(F1237," - ",I1237," - ",#REF!,)</f>
        <v>#REF!</v>
      </c>
    </row>
    <row r="1238" spans="1:28" s="116" customFormat="1" ht="15">
      <c r="A1238" s="114"/>
      <c r="B1238" s="120"/>
      <c r="C1238" s="129" t="str">
        <f t="shared" si="57"/>
        <v>week-0</v>
      </c>
      <c r="D1238" s="120" t="str">
        <f t="shared" si="58"/>
        <v>Jan</v>
      </c>
      <c r="E1238" s="7"/>
      <c r="F1238" s="7"/>
      <c r="G1238" s="120"/>
      <c r="H1238" s="120"/>
      <c r="I1238" s="118"/>
      <c r="J1238" s="118"/>
      <c r="K1238" s="115"/>
      <c r="L1238" s="115"/>
      <c r="M1238" s="8"/>
      <c r="N1238" s="8" t="str">
        <f t="shared" si="59"/>
        <v>-</v>
      </c>
      <c r="O1238" s="126"/>
      <c r="P1238" s="127"/>
      <c r="Q1238" s="127"/>
      <c r="R1238" s="126"/>
      <c r="S1238" s="127"/>
      <c r="T1238" s="8"/>
      <c r="U1238" s="158"/>
      <c r="V1238" s="7"/>
      <c r="W1238" s="7"/>
      <c r="X1238" s="146"/>
      <c r="Y1238" s="7"/>
      <c r="Z1238" s="7"/>
      <c r="AA1238" s="7" t="str">
        <f>IFERROR((VLOOKUP(F1238,#REF!,2,FALSE)),"-")</f>
        <v>-</v>
      </c>
      <c r="AB1238" s="119" t="e">
        <f>CONCATENATE(F1238," - ",I1238," - ",#REF!,)</f>
        <v>#REF!</v>
      </c>
    </row>
    <row r="1239" spans="1:28" s="116" customFormat="1" ht="15">
      <c r="A1239" s="114"/>
      <c r="B1239" s="120"/>
      <c r="C1239" s="129" t="str">
        <f t="shared" si="57"/>
        <v>week-0</v>
      </c>
      <c r="D1239" s="120" t="str">
        <f t="shared" si="58"/>
        <v>Jan</v>
      </c>
      <c r="E1239" s="7"/>
      <c r="F1239" s="7"/>
      <c r="G1239" s="120"/>
      <c r="H1239" s="120"/>
      <c r="I1239" s="118"/>
      <c r="J1239" s="118"/>
      <c r="K1239" s="115"/>
      <c r="L1239" s="115"/>
      <c r="M1239" s="8"/>
      <c r="N1239" s="8" t="str">
        <f t="shared" si="59"/>
        <v>-</v>
      </c>
      <c r="O1239" s="126"/>
      <c r="P1239" s="127"/>
      <c r="Q1239" s="127"/>
      <c r="R1239" s="126"/>
      <c r="S1239" s="127"/>
      <c r="T1239" s="8"/>
      <c r="U1239" s="158"/>
      <c r="V1239" s="7"/>
      <c r="W1239" s="7"/>
      <c r="X1239" s="146"/>
      <c r="Y1239" s="7"/>
      <c r="Z1239" s="7"/>
      <c r="AA1239" s="7" t="str">
        <f>IFERROR((VLOOKUP(F1239,#REF!,2,FALSE)),"-")</f>
        <v>-</v>
      </c>
      <c r="AB1239" s="119" t="e">
        <f>CONCATENATE(F1239," - ",I1239," - ",#REF!,)</f>
        <v>#REF!</v>
      </c>
    </row>
    <row r="1240" spans="1:28" s="116" customFormat="1" ht="15">
      <c r="A1240" s="114"/>
      <c r="B1240" s="120"/>
      <c r="C1240" s="129" t="str">
        <f t="shared" si="57"/>
        <v>week-0</v>
      </c>
      <c r="D1240" s="120" t="str">
        <f t="shared" si="58"/>
        <v>Jan</v>
      </c>
      <c r="E1240" s="7"/>
      <c r="F1240" s="7"/>
      <c r="G1240" s="120"/>
      <c r="H1240" s="120"/>
      <c r="I1240" s="118"/>
      <c r="J1240" s="118"/>
      <c r="K1240" s="115"/>
      <c r="L1240" s="115"/>
      <c r="M1240" s="8"/>
      <c r="N1240" s="8" t="str">
        <f t="shared" si="59"/>
        <v>-</v>
      </c>
      <c r="O1240" s="126"/>
      <c r="P1240" s="127"/>
      <c r="Q1240" s="127"/>
      <c r="R1240" s="126"/>
      <c r="S1240" s="127"/>
      <c r="T1240" s="8"/>
      <c r="U1240" s="158"/>
      <c r="V1240" s="7"/>
      <c r="W1240" s="7"/>
      <c r="X1240" s="146"/>
      <c r="Y1240" s="7"/>
      <c r="Z1240" s="7"/>
      <c r="AA1240" s="7" t="str">
        <f>IFERROR((VLOOKUP(F1240,#REF!,2,FALSE)),"-")</f>
        <v>-</v>
      </c>
      <c r="AB1240" s="119" t="e">
        <f>CONCATENATE(F1240," - ",I1240," - ",#REF!,)</f>
        <v>#REF!</v>
      </c>
    </row>
    <row r="1241" spans="1:28" s="116" customFormat="1" ht="15">
      <c r="A1241" s="114"/>
      <c r="B1241" s="120"/>
      <c r="C1241" s="129" t="str">
        <f t="shared" si="57"/>
        <v>week-0</v>
      </c>
      <c r="D1241" s="120" t="str">
        <f t="shared" si="58"/>
        <v>Jan</v>
      </c>
      <c r="E1241" s="7"/>
      <c r="F1241" s="7"/>
      <c r="G1241" s="120"/>
      <c r="H1241" s="120"/>
      <c r="I1241" s="118"/>
      <c r="J1241" s="118"/>
      <c r="K1241" s="115"/>
      <c r="L1241" s="115"/>
      <c r="M1241" s="8"/>
      <c r="N1241" s="8" t="str">
        <f t="shared" si="59"/>
        <v>-</v>
      </c>
      <c r="O1241" s="126"/>
      <c r="P1241" s="127"/>
      <c r="Q1241" s="127"/>
      <c r="R1241" s="126"/>
      <c r="S1241" s="127"/>
      <c r="T1241" s="8"/>
      <c r="U1241" s="158"/>
      <c r="V1241" s="7"/>
      <c r="W1241" s="7"/>
      <c r="X1241" s="146"/>
      <c r="Y1241" s="7"/>
      <c r="Z1241" s="7"/>
      <c r="AA1241" s="7" t="str">
        <f>IFERROR((VLOOKUP(F1241,#REF!,2,FALSE)),"-")</f>
        <v>-</v>
      </c>
      <c r="AB1241" s="119" t="e">
        <f>CONCATENATE(F1241," - ",I1241," - ",#REF!,)</f>
        <v>#REF!</v>
      </c>
    </row>
    <row r="1242" spans="1:28" s="116" customFormat="1" ht="15">
      <c r="A1242" s="114"/>
      <c r="B1242" s="120"/>
      <c r="C1242" s="129" t="str">
        <f t="shared" si="57"/>
        <v>week-0</v>
      </c>
      <c r="D1242" s="120" t="str">
        <f t="shared" si="58"/>
        <v>Jan</v>
      </c>
      <c r="E1242" s="7"/>
      <c r="F1242" s="7"/>
      <c r="G1242" s="120"/>
      <c r="H1242" s="120"/>
      <c r="I1242" s="118"/>
      <c r="J1242" s="118"/>
      <c r="K1242" s="115"/>
      <c r="L1242" s="115"/>
      <c r="M1242" s="8"/>
      <c r="N1242" s="8" t="str">
        <f t="shared" si="59"/>
        <v>-</v>
      </c>
      <c r="O1242" s="126"/>
      <c r="P1242" s="127"/>
      <c r="Q1242" s="127"/>
      <c r="R1242" s="126"/>
      <c r="S1242" s="127"/>
      <c r="T1242" s="8"/>
      <c r="U1242" s="158"/>
      <c r="V1242" s="7"/>
      <c r="W1242" s="7"/>
      <c r="X1242" s="146"/>
      <c r="Y1242" s="7"/>
      <c r="Z1242" s="7"/>
      <c r="AA1242" s="7" t="str">
        <f>IFERROR((VLOOKUP(F1242,#REF!,2,FALSE)),"-")</f>
        <v>-</v>
      </c>
      <c r="AB1242" s="119" t="e">
        <f>CONCATENATE(F1242," - ",I1242," - ",#REF!,)</f>
        <v>#REF!</v>
      </c>
    </row>
    <row r="1243" spans="1:28" s="116" customFormat="1" ht="15">
      <c r="A1243" s="114"/>
      <c r="B1243" s="120"/>
      <c r="C1243" s="129" t="str">
        <f t="shared" si="57"/>
        <v>week-0</v>
      </c>
      <c r="D1243" s="120" t="str">
        <f t="shared" si="58"/>
        <v>Jan</v>
      </c>
      <c r="E1243" s="7"/>
      <c r="F1243" s="7"/>
      <c r="G1243" s="120"/>
      <c r="H1243" s="120"/>
      <c r="I1243" s="118"/>
      <c r="J1243" s="118"/>
      <c r="K1243" s="115"/>
      <c r="L1243" s="115"/>
      <c r="M1243" s="8"/>
      <c r="N1243" s="8" t="str">
        <f t="shared" si="59"/>
        <v>-</v>
      </c>
      <c r="O1243" s="126"/>
      <c r="P1243" s="127"/>
      <c r="Q1243" s="127"/>
      <c r="R1243" s="126"/>
      <c r="S1243" s="127"/>
      <c r="T1243" s="8"/>
      <c r="U1243" s="158"/>
      <c r="V1243" s="7"/>
      <c r="W1243" s="7"/>
      <c r="X1243" s="146"/>
      <c r="Y1243" s="7"/>
      <c r="Z1243" s="7"/>
      <c r="AA1243" s="7" t="str">
        <f>IFERROR((VLOOKUP(F1243,#REF!,2,FALSE)),"-")</f>
        <v>-</v>
      </c>
      <c r="AB1243" s="119" t="e">
        <f>CONCATENATE(F1243," - ",I1243," - ",#REF!,)</f>
        <v>#REF!</v>
      </c>
    </row>
    <row r="1244" spans="1:28" s="116" customFormat="1" ht="15">
      <c r="A1244" s="114"/>
      <c r="B1244" s="120"/>
      <c r="C1244" s="129" t="str">
        <f t="shared" si="57"/>
        <v>week-0</v>
      </c>
      <c r="D1244" s="120" t="str">
        <f t="shared" si="58"/>
        <v>Jan</v>
      </c>
      <c r="E1244" s="7"/>
      <c r="F1244" s="7"/>
      <c r="G1244" s="120"/>
      <c r="H1244" s="120"/>
      <c r="I1244" s="118"/>
      <c r="J1244" s="118"/>
      <c r="K1244" s="115"/>
      <c r="L1244" s="115"/>
      <c r="M1244" s="8"/>
      <c r="N1244" s="8" t="str">
        <f t="shared" si="59"/>
        <v>-</v>
      </c>
      <c r="O1244" s="126"/>
      <c r="P1244" s="127"/>
      <c r="Q1244" s="127"/>
      <c r="R1244" s="126"/>
      <c r="S1244" s="127"/>
      <c r="T1244" s="8"/>
      <c r="U1244" s="158"/>
      <c r="V1244" s="7"/>
      <c r="W1244" s="7"/>
      <c r="X1244" s="146"/>
      <c r="Y1244" s="7"/>
      <c r="Z1244" s="7"/>
      <c r="AA1244" s="7" t="str">
        <f>IFERROR((VLOOKUP(F1244,#REF!,2,FALSE)),"-")</f>
        <v>-</v>
      </c>
      <c r="AB1244" s="119" t="e">
        <f>CONCATENATE(F1244," - ",I1244," - ",#REF!,)</f>
        <v>#REF!</v>
      </c>
    </row>
    <row r="1245" spans="1:28" s="116" customFormat="1" ht="15">
      <c r="A1245" s="114"/>
      <c r="B1245" s="120"/>
      <c r="C1245" s="129" t="str">
        <f t="shared" si="57"/>
        <v>week-0</v>
      </c>
      <c r="D1245" s="120" t="str">
        <f t="shared" si="58"/>
        <v>Jan</v>
      </c>
      <c r="E1245" s="7"/>
      <c r="F1245" s="7"/>
      <c r="G1245" s="120"/>
      <c r="H1245" s="120"/>
      <c r="I1245" s="118"/>
      <c r="J1245" s="118"/>
      <c r="K1245" s="115"/>
      <c r="L1245" s="115"/>
      <c r="M1245" s="8"/>
      <c r="N1245" s="8" t="str">
        <f t="shared" si="59"/>
        <v>-</v>
      </c>
      <c r="O1245" s="126"/>
      <c r="P1245" s="127"/>
      <c r="Q1245" s="127"/>
      <c r="R1245" s="126"/>
      <c r="S1245" s="127"/>
      <c r="T1245" s="8"/>
      <c r="U1245" s="158"/>
      <c r="V1245" s="7"/>
      <c r="W1245" s="7"/>
      <c r="X1245" s="146"/>
      <c r="Y1245" s="7"/>
      <c r="Z1245" s="7"/>
      <c r="AA1245" s="7" t="str">
        <f>IFERROR((VLOOKUP(F1245,#REF!,2,FALSE)),"-")</f>
        <v>-</v>
      </c>
      <c r="AB1245" s="119" t="e">
        <f>CONCATENATE(F1245," - ",I1245," - ",#REF!,)</f>
        <v>#REF!</v>
      </c>
    </row>
    <row r="1246" spans="1:28" s="116" customFormat="1" ht="15">
      <c r="A1246" s="114"/>
      <c r="B1246" s="120"/>
      <c r="C1246" s="129" t="str">
        <f t="shared" si="57"/>
        <v>week-0</v>
      </c>
      <c r="D1246" s="120" t="str">
        <f t="shared" si="58"/>
        <v>Jan</v>
      </c>
      <c r="E1246" s="7"/>
      <c r="F1246" s="7"/>
      <c r="G1246" s="120"/>
      <c r="H1246" s="120"/>
      <c r="I1246" s="118"/>
      <c r="J1246" s="118"/>
      <c r="K1246" s="115"/>
      <c r="L1246" s="115"/>
      <c r="M1246" s="8"/>
      <c r="N1246" s="8" t="str">
        <f t="shared" si="59"/>
        <v>-</v>
      </c>
      <c r="O1246" s="126"/>
      <c r="P1246" s="127"/>
      <c r="Q1246" s="127"/>
      <c r="R1246" s="126"/>
      <c r="S1246" s="127"/>
      <c r="T1246" s="8"/>
      <c r="U1246" s="158"/>
      <c r="V1246" s="7"/>
      <c r="W1246" s="7"/>
      <c r="X1246" s="146"/>
      <c r="Y1246" s="7"/>
      <c r="Z1246" s="7"/>
      <c r="AA1246" s="7" t="str">
        <f>IFERROR((VLOOKUP(F1246,#REF!,2,FALSE)),"-")</f>
        <v>-</v>
      </c>
      <c r="AB1246" s="119" t="e">
        <f>CONCATENATE(F1246," - ",I1246," - ",#REF!,)</f>
        <v>#REF!</v>
      </c>
    </row>
    <row r="1247" spans="1:28" s="116" customFormat="1" ht="15">
      <c r="A1247" s="114"/>
      <c r="B1247" s="120"/>
      <c r="C1247" s="129" t="str">
        <f t="shared" si="57"/>
        <v>week-0</v>
      </c>
      <c r="D1247" s="120" t="str">
        <f t="shared" si="58"/>
        <v>Jan</v>
      </c>
      <c r="E1247" s="7"/>
      <c r="F1247" s="7"/>
      <c r="G1247" s="120"/>
      <c r="H1247" s="120"/>
      <c r="I1247" s="118"/>
      <c r="J1247" s="118"/>
      <c r="K1247" s="115"/>
      <c r="L1247" s="115"/>
      <c r="M1247" s="8"/>
      <c r="N1247" s="8" t="str">
        <f t="shared" si="59"/>
        <v>-</v>
      </c>
      <c r="O1247" s="126"/>
      <c r="P1247" s="127"/>
      <c r="Q1247" s="127"/>
      <c r="R1247" s="126"/>
      <c r="S1247" s="127"/>
      <c r="T1247" s="8"/>
      <c r="U1247" s="158"/>
      <c r="V1247" s="7"/>
      <c r="W1247" s="7"/>
      <c r="X1247" s="146"/>
      <c r="Y1247" s="7"/>
      <c r="Z1247" s="7"/>
      <c r="AA1247" s="7" t="str">
        <f>IFERROR((VLOOKUP(F1247,#REF!,2,FALSE)),"-")</f>
        <v>-</v>
      </c>
      <c r="AB1247" s="119" t="e">
        <f>CONCATENATE(F1247," - ",I1247," - ",#REF!,)</f>
        <v>#REF!</v>
      </c>
    </row>
    <row r="1248" spans="1:28" s="116" customFormat="1" ht="15">
      <c r="A1248" s="114"/>
      <c r="B1248" s="120"/>
      <c r="C1248" s="129" t="str">
        <f t="shared" si="57"/>
        <v>week-0</v>
      </c>
      <c r="D1248" s="120" t="str">
        <f t="shared" si="58"/>
        <v>Jan</v>
      </c>
      <c r="E1248" s="7"/>
      <c r="F1248" s="7"/>
      <c r="G1248" s="120"/>
      <c r="H1248" s="120"/>
      <c r="I1248" s="118"/>
      <c r="J1248" s="118"/>
      <c r="K1248" s="115"/>
      <c r="L1248" s="115"/>
      <c r="M1248" s="8"/>
      <c r="N1248" s="8" t="str">
        <f t="shared" si="59"/>
        <v>-</v>
      </c>
      <c r="O1248" s="126"/>
      <c r="P1248" s="127"/>
      <c r="Q1248" s="127"/>
      <c r="R1248" s="126"/>
      <c r="S1248" s="127"/>
      <c r="T1248" s="8"/>
      <c r="U1248" s="158"/>
      <c r="V1248" s="7"/>
      <c r="W1248" s="7"/>
      <c r="X1248" s="146"/>
      <c r="Y1248" s="7"/>
      <c r="Z1248" s="7"/>
      <c r="AA1248" s="7" t="str">
        <f>IFERROR((VLOOKUP(F1248,#REF!,2,FALSE)),"-")</f>
        <v>-</v>
      </c>
      <c r="AB1248" s="119" t="e">
        <f>CONCATENATE(F1248," - ",I1248," - ",#REF!,)</f>
        <v>#REF!</v>
      </c>
    </row>
    <row r="1249" spans="1:28" s="116" customFormat="1" ht="15">
      <c r="A1249" s="114"/>
      <c r="B1249" s="120"/>
      <c r="C1249" s="129" t="str">
        <f t="shared" si="57"/>
        <v>week-0</v>
      </c>
      <c r="D1249" s="120" t="str">
        <f t="shared" si="58"/>
        <v>Jan</v>
      </c>
      <c r="E1249" s="7"/>
      <c r="F1249" s="7"/>
      <c r="G1249" s="120"/>
      <c r="H1249" s="120"/>
      <c r="I1249" s="118"/>
      <c r="J1249" s="118"/>
      <c r="K1249" s="115"/>
      <c r="L1249" s="115"/>
      <c r="M1249" s="8"/>
      <c r="N1249" s="8" t="str">
        <f t="shared" si="59"/>
        <v>-</v>
      </c>
      <c r="O1249" s="126"/>
      <c r="P1249" s="127"/>
      <c r="Q1249" s="127"/>
      <c r="R1249" s="126"/>
      <c r="S1249" s="127"/>
      <c r="T1249" s="8"/>
      <c r="U1249" s="158"/>
      <c r="V1249" s="7"/>
      <c r="W1249" s="7"/>
      <c r="X1249" s="146"/>
      <c r="Y1249" s="7"/>
      <c r="Z1249" s="7"/>
      <c r="AA1249" s="7" t="str">
        <f>IFERROR((VLOOKUP(F1249,#REF!,2,FALSE)),"-")</f>
        <v>-</v>
      </c>
      <c r="AB1249" s="119" t="e">
        <f>CONCATENATE(F1249," - ",I1249," - ",#REF!,)</f>
        <v>#REF!</v>
      </c>
    </row>
    <row r="1250" spans="1:28" s="116" customFormat="1" ht="15">
      <c r="A1250" s="114"/>
      <c r="B1250" s="120"/>
      <c r="C1250" s="129" t="str">
        <f t="shared" si="57"/>
        <v>week-0</v>
      </c>
      <c r="D1250" s="120" t="str">
        <f t="shared" si="58"/>
        <v>Jan</v>
      </c>
      <c r="E1250" s="7"/>
      <c r="F1250" s="7"/>
      <c r="G1250" s="120"/>
      <c r="H1250" s="120"/>
      <c r="I1250" s="118"/>
      <c r="J1250" s="118"/>
      <c r="K1250" s="115"/>
      <c r="L1250" s="115"/>
      <c r="M1250" s="8"/>
      <c r="N1250" s="8" t="str">
        <f t="shared" si="59"/>
        <v>-</v>
      </c>
      <c r="O1250" s="126"/>
      <c r="P1250" s="127"/>
      <c r="Q1250" s="127"/>
      <c r="R1250" s="126"/>
      <c r="S1250" s="127"/>
      <c r="T1250" s="8"/>
      <c r="U1250" s="158"/>
      <c r="V1250" s="7"/>
      <c r="W1250" s="7"/>
      <c r="X1250" s="146"/>
      <c r="Y1250" s="7"/>
      <c r="Z1250" s="7"/>
      <c r="AA1250" s="7" t="str">
        <f>IFERROR((VLOOKUP(F1250,#REF!,2,FALSE)),"-")</f>
        <v>-</v>
      </c>
      <c r="AB1250" s="119" t="e">
        <f>CONCATENATE(F1250," - ",I1250," - ",#REF!,)</f>
        <v>#REF!</v>
      </c>
    </row>
    <row r="1251" spans="1:28" s="116" customFormat="1" ht="15">
      <c r="A1251" s="114"/>
      <c r="B1251" s="120"/>
      <c r="C1251" s="129" t="str">
        <f t="shared" si="57"/>
        <v>week-0</v>
      </c>
      <c r="D1251" s="120" t="str">
        <f t="shared" si="58"/>
        <v>Jan</v>
      </c>
      <c r="E1251" s="7"/>
      <c r="F1251" s="7"/>
      <c r="G1251" s="120"/>
      <c r="H1251" s="120"/>
      <c r="I1251" s="118"/>
      <c r="J1251" s="118"/>
      <c r="K1251" s="115"/>
      <c r="L1251" s="115"/>
      <c r="M1251" s="8"/>
      <c r="N1251" s="8" t="str">
        <f t="shared" si="59"/>
        <v>-</v>
      </c>
      <c r="O1251" s="126"/>
      <c r="P1251" s="127"/>
      <c r="Q1251" s="127"/>
      <c r="R1251" s="126"/>
      <c r="S1251" s="127"/>
      <c r="T1251" s="8"/>
      <c r="U1251" s="158"/>
      <c r="V1251" s="7"/>
      <c r="W1251" s="7"/>
      <c r="X1251" s="146"/>
      <c r="Y1251" s="7"/>
      <c r="Z1251" s="7"/>
      <c r="AA1251" s="7" t="str">
        <f>IFERROR((VLOOKUP(F1251,#REF!,2,FALSE)),"-")</f>
        <v>-</v>
      </c>
      <c r="AB1251" s="119" t="e">
        <f>CONCATENATE(F1251," - ",I1251," - ",#REF!,)</f>
        <v>#REF!</v>
      </c>
    </row>
    <row r="1252" spans="1:28" s="116" customFormat="1" ht="15">
      <c r="A1252" s="114"/>
      <c r="B1252" s="120"/>
      <c r="C1252" s="129" t="str">
        <f t="shared" si="57"/>
        <v>week-0</v>
      </c>
      <c r="D1252" s="120" t="str">
        <f t="shared" si="58"/>
        <v>Jan</v>
      </c>
      <c r="E1252" s="7"/>
      <c r="F1252" s="7"/>
      <c r="G1252" s="120"/>
      <c r="H1252" s="120"/>
      <c r="I1252" s="118"/>
      <c r="J1252" s="118"/>
      <c r="K1252" s="115"/>
      <c r="L1252" s="115"/>
      <c r="M1252" s="8"/>
      <c r="N1252" s="8" t="str">
        <f t="shared" si="59"/>
        <v>-</v>
      </c>
      <c r="O1252" s="126"/>
      <c r="P1252" s="127"/>
      <c r="Q1252" s="127"/>
      <c r="R1252" s="126"/>
      <c r="S1252" s="127"/>
      <c r="T1252" s="8"/>
      <c r="U1252" s="158"/>
      <c r="V1252" s="7"/>
      <c r="W1252" s="7"/>
      <c r="X1252" s="146"/>
      <c r="Y1252" s="7"/>
      <c r="Z1252" s="7"/>
      <c r="AA1252" s="7" t="str">
        <f>IFERROR((VLOOKUP(F1252,#REF!,2,FALSE)),"-")</f>
        <v>-</v>
      </c>
      <c r="AB1252" s="119" t="e">
        <f>CONCATENATE(F1252," - ",I1252," - ",#REF!,)</f>
        <v>#REF!</v>
      </c>
    </row>
    <row r="1253" spans="1:28" s="116" customFormat="1" ht="15">
      <c r="A1253" s="114"/>
      <c r="B1253" s="120"/>
      <c r="C1253" s="129" t="str">
        <f t="shared" si="57"/>
        <v>week-0</v>
      </c>
      <c r="D1253" s="120" t="str">
        <f t="shared" si="58"/>
        <v>Jan</v>
      </c>
      <c r="E1253" s="7"/>
      <c r="F1253" s="7"/>
      <c r="G1253" s="120"/>
      <c r="H1253" s="120"/>
      <c r="I1253" s="118"/>
      <c r="J1253" s="118"/>
      <c r="K1253" s="115"/>
      <c r="L1253" s="115"/>
      <c r="M1253" s="8"/>
      <c r="N1253" s="8" t="str">
        <f t="shared" si="59"/>
        <v>-</v>
      </c>
      <c r="O1253" s="126"/>
      <c r="P1253" s="127"/>
      <c r="Q1253" s="127"/>
      <c r="R1253" s="126"/>
      <c r="S1253" s="127"/>
      <c r="T1253" s="8"/>
      <c r="U1253" s="158"/>
      <c r="V1253" s="7"/>
      <c r="W1253" s="7"/>
      <c r="X1253" s="146"/>
      <c r="Y1253" s="7"/>
      <c r="Z1253" s="7"/>
      <c r="AA1253" s="7" t="str">
        <f>IFERROR((VLOOKUP(F1253,#REF!,2,FALSE)),"-")</f>
        <v>-</v>
      </c>
      <c r="AB1253" s="119" t="e">
        <f>CONCATENATE(F1253," - ",I1253," - ",#REF!,)</f>
        <v>#REF!</v>
      </c>
    </row>
    <row r="1254" spans="1:28" s="116" customFormat="1" ht="15">
      <c r="A1254" s="114"/>
      <c r="B1254" s="120"/>
      <c r="C1254" s="129" t="str">
        <f t="shared" si="57"/>
        <v>week-0</v>
      </c>
      <c r="D1254" s="120" t="str">
        <f t="shared" si="58"/>
        <v>Jan</v>
      </c>
      <c r="E1254" s="7"/>
      <c r="F1254" s="7"/>
      <c r="G1254" s="120"/>
      <c r="H1254" s="120"/>
      <c r="I1254" s="118"/>
      <c r="J1254" s="118"/>
      <c r="K1254" s="115"/>
      <c r="L1254" s="115"/>
      <c r="M1254" s="8"/>
      <c r="N1254" s="8" t="str">
        <f t="shared" si="59"/>
        <v>-</v>
      </c>
      <c r="O1254" s="126"/>
      <c r="P1254" s="127"/>
      <c r="Q1254" s="127"/>
      <c r="R1254" s="126"/>
      <c r="S1254" s="127"/>
      <c r="T1254" s="8"/>
      <c r="U1254" s="158"/>
      <c r="V1254" s="7"/>
      <c r="W1254" s="7"/>
      <c r="X1254" s="146"/>
      <c r="Y1254" s="7"/>
      <c r="Z1254" s="7"/>
      <c r="AA1254" s="7" t="str">
        <f>IFERROR((VLOOKUP(F1254,#REF!,2,FALSE)),"-")</f>
        <v>-</v>
      </c>
      <c r="AB1254" s="119" t="e">
        <f>CONCATENATE(F1254," - ",I1254," - ",#REF!,)</f>
        <v>#REF!</v>
      </c>
    </row>
    <row r="1255" spans="1:28" s="116" customFormat="1" ht="15">
      <c r="A1255" s="114"/>
      <c r="B1255" s="120"/>
      <c r="C1255" s="129" t="str">
        <f t="shared" si="57"/>
        <v>week-0</v>
      </c>
      <c r="D1255" s="120" t="str">
        <f t="shared" si="58"/>
        <v>Jan</v>
      </c>
      <c r="E1255" s="7"/>
      <c r="F1255" s="7"/>
      <c r="G1255" s="120"/>
      <c r="H1255" s="120"/>
      <c r="I1255" s="118"/>
      <c r="J1255" s="118"/>
      <c r="K1255" s="115"/>
      <c r="L1255" s="115"/>
      <c r="M1255" s="8"/>
      <c r="N1255" s="8" t="str">
        <f t="shared" si="59"/>
        <v>-</v>
      </c>
      <c r="O1255" s="126"/>
      <c r="P1255" s="127"/>
      <c r="Q1255" s="127"/>
      <c r="R1255" s="126"/>
      <c r="S1255" s="127"/>
      <c r="T1255" s="8"/>
      <c r="U1255" s="158"/>
      <c r="V1255" s="7"/>
      <c r="W1255" s="7"/>
      <c r="X1255" s="146"/>
      <c r="Y1255" s="7"/>
      <c r="Z1255" s="7"/>
      <c r="AA1255" s="7" t="str">
        <f>IFERROR((VLOOKUP(F1255,#REF!,2,FALSE)),"-")</f>
        <v>-</v>
      </c>
      <c r="AB1255" s="119" t="e">
        <f>CONCATENATE(F1255," - ",I1255," - ",#REF!,)</f>
        <v>#REF!</v>
      </c>
    </row>
    <row r="1256" spans="1:28" s="116" customFormat="1" ht="15">
      <c r="A1256" s="114"/>
      <c r="B1256" s="120"/>
      <c r="C1256" s="129" t="str">
        <f t="shared" si="57"/>
        <v>week-0</v>
      </c>
      <c r="D1256" s="120" t="str">
        <f t="shared" si="58"/>
        <v>Jan</v>
      </c>
      <c r="E1256" s="7"/>
      <c r="F1256" s="7"/>
      <c r="G1256" s="120"/>
      <c r="H1256" s="120"/>
      <c r="I1256" s="118"/>
      <c r="J1256" s="118"/>
      <c r="K1256" s="115"/>
      <c r="L1256" s="115"/>
      <c r="M1256" s="8"/>
      <c r="N1256" s="8" t="str">
        <f t="shared" si="59"/>
        <v>-</v>
      </c>
      <c r="O1256" s="126"/>
      <c r="P1256" s="127"/>
      <c r="Q1256" s="127"/>
      <c r="R1256" s="126"/>
      <c r="S1256" s="127"/>
      <c r="T1256" s="8"/>
      <c r="U1256" s="158"/>
      <c r="V1256" s="7"/>
      <c r="W1256" s="7"/>
      <c r="X1256" s="146"/>
      <c r="Y1256" s="7"/>
      <c r="Z1256" s="7"/>
      <c r="AA1256" s="7" t="str">
        <f>IFERROR((VLOOKUP(F1256,#REF!,2,FALSE)),"-")</f>
        <v>-</v>
      </c>
      <c r="AB1256" s="119" t="e">
        <f>CONCATENATE(F1256," - ",I1256," - ",#REF!,)</f>
        <v>#REF!</v>
      </c>
    </row>
    <row r="1257" spans="1:28" s="116" customFormat="1" ht="15">
      <c r="A1257" s="114"/>
      <c r="B1257" s="120"/>
      <c r="C1257" s="129" t="str">
        <f t="shared" si="57"/>
        <v>week-0</v>
      </c>
      <c r="D1257" s="120" t="str">
        <f t="shared" si="58"/>
        <v>Jan</v>
      </c>
      <c r="E1257" s="7"/>
      <c r="F1257" s="7"/>
      <c r="G1257" s="120"/>
      <c r="H1257" s="120"/>
      <c r="I1257" s="118"/>
      <c r="J1257" s="118"/>
      <c r="K1257" s="115"/>
      <c r="L1257" s="115"/>
      <c r="M1257" s="8"/>
      <c r="N1257" s="8" t="str">
        <f t="shared" si="59"/>
        <v>-</v>
      </c>
      <c r="O1257" s="126"/>
      <c r="P1257" s="127"/>
      <c r="Q1257" s="127"/>
      <c r="R1257" s="126"/>
      <c r="S1257" s="127"/>
      <c r="T1257" s="8"/>
      <c r="U1257" s="158"/>
      <c r="V1257" s="7"/>
      <c r="W1257" s="7"/>
      <c r="X1257" s="146"/>
      <c r="Y1257" s="7"/>
      <c r="Z1257" s="7"/>
      <c r="AA1257" s="7" t="str">
        <f>IFERROR((VLOOKUP(F1257,#REF!,2,FALSE)),"-")</f>
        <v>-</v>
      </c>
      <c r="AB1257" s="119" t="e">
        <f>CONCATENATE(F1257," - ",I1257," - ",#REF!,)</f>
        <v>#REF!</v>
      </c>
    </row>
    <row r="1258" spans="1:28" s="116" customFormat="1" ht="15">
      <c r="A1258" s="114"/>
      <c r="B1258" s="120"/>
      <c r="C1258" s="129" t="str">
        <f t="shared" si="57"/>
        <v>week-0</v>
      </c>
      <c r="D1258" s="120" t="str">
        <f t="shared" si="58"/>
        <v>Jan</v>
      </c>
      <c r="E1258" s="7"/>
      <c r="F1258" s="7"/>
      <c r="G1258" s="120"/>
      <c r="H1258" s="120"/>
      <c r="I1258" s="118"/>
      <c r="J1258" s="118"/>
      <c r="K1258" s="115"/>
      <c r="L1258" s="115"/>
      <c r="M1258" s="8"/>
      <c r="N1258" s="8" t="str">
        <f t="shared" si="59"/>
        <v>-</v>
      </c>
      <c r="O1258" s="126"/>
      <c r="P1258" s="127"/>
      <c r="Q1258" s="127"/>
      <c r="R1258" s="126"/>
      <c r="S1258" s="127"/>
      <c r="T1258" s="8"/>
      <c r="U1258" s="158"/>
      <c r="V1258" s="7"/>
      <c r="W1258" s="7"/>
      <c r="X1258" s="146"/>
      <c r="Y1258" s="7"/>
      <c r="Z1258" s="7"/>
      <c r="AA1258" s="7" t="str">
        <f>IFERROR((VLOOKUP(F1258,#REF!,2,FALSE)),"-")</f>
        <v>-</v>
      </c>
      <c r="AB1258" s="119" t="e">
        <f>CONCATENATE(F1258," - ",I1258," - ",#REF!,)</f>
        <v>#REF!</v>
      </c>
    </row>
    <row r="1259" spans="1:28" s="116" customFormat="1" ht="15">
      <c r="A1259" s="114"/>
      <c r="B1259" s="120"/>
      <c r="C1259" s="129" t="str">
        <f t="shared" si="57"/>
        <v>week-0</v>
      </c>
      <c r="D1259" s="120" t="str">
        <f t="shared" si="58"/>
        <v>Jan</v>
      </c>
      <c r="E1259" s="7"/>
      <c r="F1259" s="7"/>
      <c r="G1259" s="120"/>
      <c r="H1259" s="120"/>
      <c r="I1259" s="118"/>
      <c r="J1259" s="118"/>
      <c r="K1259" s="115"/>
      <c r="L1259" s="115"/>
      <c r="M1259" s="8"/>
      <c r="N1259" s="8" t="str">
        <f t="shared" si="59"/>
        <v>-</v>
      </c>
      <c r="O1259" s="126"/>
      <c r="P1259" s="127"/>
      <c r="Q1259" s="127"/>
      <c r="R1259" s="126"/>
      <c r="S1259" s="127"/>
      <c r="T1259" s="8"/>
      <c r="U1259" s="158"/>
      <c r="V1259" s="7"/>
      <c r="W1259" s="7"/>
      <c r="X1259" s="146"/>
      <c r="Y1259" s="7"/>
      <c r="Z1259" s="7"/>
      <c r="AA1259" s="7" t="str">
        <f>IFERROR((VLOOKUP(F1259,#REF!,2,FALSE)),"-")</f>
        <v>-</v>
      </c>
      <c r="AB1259" s="119" t="e">
        <f>CONCATENATE(F1259," - ",I1259," - ",#REF!,)</f>
        <v>#REF!</v>
      </c>
    </row>
    <row r="1260" spans="1:28" s="116" customFormat="1" ht="15">
      <c r="A1260" s="114"/>
      <c r="B1260" s="120"/>
      <c r="C1260" s="129" t="str">
        <f t="shared" si="57"/>
        <v>week-0</v>
      </c>
      <c r="D1260" s="120" t="str">
        <f t="shared" si="58"/>
        <v>Jan</v>
      </c>
      <c r="E1260" s="7"/>
      <c r="F1260" s="7"/>
      <c r="G1260" s="120"/>
      <c r="H1260" s="120"/>
      <c r="I1260" s="118"/>
      <c r="J1260" s="118"/>
      <c r="K1260" s="115"/>
      <c r="L1260" s="115"/>
      <c r="M1260" s="8"/>
      <c r="N1260" s="8" t="str">
        <f t="shared" si="59"/>
        <v>-</v>
      </c>
      <c r="O1260" s="126"/>
      <c r="P1260" s="127"/>
      <c r="Q1260" s="127"/>
      <c r="R1260" s="126"/>
      <c r="S1260" s="127"/>
      <c r="T1260" s="8"/>
      <c r="U1260" s="158"/>
      <c r="V1260" s="7"/>
      <c r="W1260" s="7"/>
      <c r="X1260" s="146"/>
      <c r="Y1260" s="7"/>
      <c r="Z1260" s="7"/>
      <c r="AA1260" s="7" t="str">
        <f>IFERROR((VLOOKUP(F1260,#REF!,2,FALSE)),"-")</f>
        <v>-</v>
      </c>
      <c r="AB1260" s="119" t="e">
        <f>CONCATENATE(F1260," - ",I1260," - ",#REF!,)</f>
        <v>#REF!</v>
      </c>
    </row>
    <row r="1261" spans="1:28" s="116" customFormat="1" ht="15">
      <c r="A1261" s="114"/>
      <c r="B1261" s="120"/>
      <c r="C1261" s="129" t="str">
        <f t="shared" si="57"/>
        <v>week-0</v>
      </c>
      <c r="D1261" s="120" t="str">
        <f t="shared" si="58"/>
        <v>Jan</v>
      </c>
      <c r="E1261" s="7"/>
      <c r="F1261" s="7"/>
      <c r="G1261" s="120"/>
      <c r="H1261" s="120"/>
      <c r="I1261" s="118"/>
      <c r="J1261" s="118"/>
      <c r="K1261" s="115"/>
      <c r="L1261" s="115"/>
      <c r="M1261" s="8"/>
      <c r="N1261" s="8" t="str">
        <f t="shared" si="59"/>
        <v>-</v>
      </c>
      <c r="O1261" s="127"/>
      <c r="P1261" s="127"/>
      <c r="Q1261" s="127"/>
      <c r="R1261" s="127"/>
      <c r="S1261" s="127"/>
      <c r="T1261" s="139"/>
      <c r="U1261" s="158"/>
      <c r="V1261" s="7"/>
      <c r="W1261" s="7"/>
      <c r="X1261" s="146"/>
      <c r="Y1261" s="7"/>
      <c r="Z1261" s="7"/>
      <c r="AA1261" s="7" t="str">
        <f>IFERROR((VLOOKUP(F1261,#REF!,2,FALSE)),"-")</f>
        <v>-</v>
      </c>
      <c r="AB1261" s="119" t="e">
        <f>CONCATENATE(F1261," - ",I1261," - ",#REF!,)</f>
        <v>#REF!</v>
      </c>
    </row>
    <row r="1262" spans="1:28" s="116" customFormat="1" ht="15">
      <c r="A1262" s="114"/>
      <c r="B1262" s="120"/>
      <c r="C1262" s="129" t="str">
        <f t="shared" si="57"/>
        <v>week-0</v>
      </c>
      <c r="D1262" s="120" t="str">
        <f t="shared" si="58"/>
        <v>Jan</v>
      </c>
      <c r="E1262" s="7"/>
      <c r="F1262" s="7"/>
      <c r="G1262" s="120"/>
      <c r="H1262" s="120"/>
      <c r="I1262" s="118"/>
      <c r="J1262" s="118"/>
      <c r="K1262" s="115"/>
      <c r="L1262" s="115"/>
      <c r="M1262" s="8"/>
      <c r="N1262" s="8" t="str">
        <f t="shared" si="59"/>
        <v>-</v>
      </c>
      <c r="O1262" s="126"/>
      <c r="P1262" s="127"/>
      <c r="Q1262" s="127"/>
      <c r="R1262" s="126"/>
      <c r="S1262" s="127"/>
      <c r="T1262" s="8"/>
      <c r="U1262" s="158"/>
      <c r="V1262" s="7"/>
      <c r="W1262" s="7"/>
      <c r="X1262" s="146"/>
      <c r="Y1262" s="7"/>
      <c r="Z1262" s="7"/>
      <c r="AA1262" s="7" t="str">
        <f>IFERROR((VLOOKUP(F1262,#REF!,2,FALSE)),"-")</f>
        <v>-</v>
      </c>
      <c r="AB1262" s="119" t="e">
        <f>CONCATENATE(F1262," - ",I1262," - ",#REF!,)</f>
        <v>#REF!</v>
      </c>
    </row>
    <row r="1263" spans="1:28" s="116" customFormat="1" ht="15">
      <c r="A1263" s="114"/>
      <c r="B1263" s="120"/>
      <c r="C1263" s="129" t="str">
        <f t="shared" si="57"/>
        <v>week-0</v>
      </c>
      <c r="D1263" s="120" t="str">
        <f t="shared" si="58"/>
        <v>Jan</v>
      </c>
      <c r="E1263" s="7"/>
      <c r="F1263" s="7"/>
      <c r="G1263" s="120"/>
      <c r="H1263" s="120"/>
      <c r="I1263" s="118"/>
      <c r="J1263" s="118"/>
      <c r="K1263" s="115"/>
      <c r="L1263" s="115"/>
      <c r="M1263" s="8"/>
      <c r="N1263" s="8" t="str">
        <f t="shared" si="59"/>
        <v>-</v>
      </c>
      <c r="O1263" s="126"/>
      <c r="P1263" s="127"/>
      <c r="Q1263" s="127"/>
      <c r="R1263" s="126"/>
      <c r="S1263" s="127"/>
      <c r="T1263" s="8"/>
      <c r="U1263" s="158"/>
      <c r="V1263" s="7"/>
      <c r="W1263" s="7"/>
      <c r="X1263" s="146"/>
      <c r="Y1263" s="7"/>
      <c r="Z1263" s="7"/>
      <c r="AA1263" s="7" t="str">
        <f>IFERROR((VLOOKUP(F1263,#REF!,2,FALSE)),"-")</f>
        <v>-</v>
      </c>
      <c r="AB1263" s="119" t="e">
        <f>CONCATENATE(F1263," - ",I1263," - ",#REF!,)</f>
        <v>#REF!</v>
      </c>
    </row>
    <row r="1264" spans="1:28" s="116" customFormat="1" ht="15">
      <c r="A1264" s="114"/>
      <c r="B1264" s="120"/>
      <c r="C1264" s="129" t="str">
        <f t="shared" si="57"/>
        <v>week-0</v>
      </c>
      <c r="D1264" s="120" t="str">
        <f t="shared" si="58"/>
        <v>Jan</v>
      </c>
      <c r="E1264" s="7"/>
      <c r="F1264" s="7"/>
      <c r="G1264" s="120"/>
      <c r="H1264" s="120"/>
      <c r="I1264" s="118"/>
      <c r="J1264" s="118"/>
      <c r="K1264" s="115"/>
      <c r="L1264" s="115"/>
      <c r="M1264" s="8"/>
      <c r="N1264" s="8" t="str">
        <f t="shared" si="59"/>
        <v>-</v>
      </c>
      <c r="O1264" s="126"/>
      <c r="P1264" s="127"/>
      <c r="Q1264" s="127"/>
      <c r="R1264" s="126"/>
      <c r="S1264" s="127"/>
      <c r="T1264" s="8"/>
      <c r="U1264" s="158"/>
      <c r="V1264" s="7"/>
      <c r="W1264" s="7"/>
      <c r="X1264" s="146"/>
      <c r="Y1264" s="7"/>
      <c r="Z1264" s="7"/>
      <c r="AA1264" s="7" t="str">
        <f>IFERROR((VLOOKUP(F1264,#REF!,2,FALSE)),"-")</f>
        <v>-</v>
      </c>
      <c r="AB1264" s="119" t="e">
        <f>CONCATENATE(F1264," - ",I1264," - ",#REF!,)</f>
        <v>#REF!</v>
      </c>
    </row>
    <row r="1265" spans="1:28" s="116" customFormat="1" ht="15">
      <c r="A1265" s="114"/>
      <c r="B1265" s="120"/>
      <c r="C1265" s="129" t="str">
        <f t="shared" si="57"/>
        <v>week-0</v>
      </c>
      <c r="D1265" s="120" t="str">
        <f t="shared" si="58"/>
        <v>Jan</v>
      </c>
      <c r="E1265" s="7"/>
      <c r="F1265" s="7"/>
      <c r="G1265" s="120"/>
      <c r="H1265" s="120"/>
      <c r="I1265" s="118"/>
      <c r="J1265" s="118"/>
      <c r="K1265" s="115"/>
      <c r="L1265" s="115"/>
      <c r="M1265" s="8"/>
      <c r="N1265" s="8" t="str">
        <f t="shared" si="59"/>
        <v>-</v>
      </c>
      <c r="O1265" s="126"/>
      <c r="P1265" s="127"/>
      <c r="Q1265" s="127"/>
      <c r="R1265" s="126"/>
      <c r="S1265" s="127"/>
      <c r="T1265" s="8"/>
      <c r="U1265" s="158"/>
      <c r="V1265" s="7"/>
      <c r="W1265" s="7"/>
      <c r="X1265" s="146"/>
      <c r="Y1265" s="7"/>
      <c r="Z1265" s="7"/>
      <c r="AA1265" s="7" t="str">
        <f>IFERROR((VLOOKUP(F1265,#REF!,2,FALSE)),"-")</f>
        <v>-</v>
      </c>
      <c r="AB1265" s="119" t="e">
        <f>CONCATENATE(F1265," - ",I1265," - ",#REF!,)</f>
        <v>#REF!</v>
      </c>
    </row>
    <row r="1266" spans="1:28" s="116" customFormat="1" ht="15">
      <c r="A1266" s="114"/>
      <c r="B1266" s="120"/>
      <c r="C1266" s="129" t="str">
        <f t="shared" si="57"/>
        <v>week-0</v>
      </c>
      <c r="D1266" s="120" t="str">
        <f t="shared" si="58"/>
        <v>Jan</v>
      </c>
      <c r="E1266" s="7"/>
      <c r="F1266" s="7"/>
      <c r="G1266" s="120"/>
      <c r="H1266" s="120"/>
      <c r="I1266" s="118"/>
      <c r="J1266" s="118"/>
      <c r="K1266" s="115"/>
      <c r="L1266" s="115"/>
      <c r="M1266" s="8"/>
      <c r="N1266" s="8" t="str">
        <f t="shared" si="59"/>
        <v>-</v>
      </c>
      <c r="O1266" s="126"/>
      <c r="P1266" s="127"/>
      <c r="Q1266" s="127"/>
      <c r="R1266" s="126"/>
      <c r="S1266" s="127"/>
      <c r="T1266" s="8"/>
      <c r="U1266" s="158"/>
      <c r="V1266" s="7"/>
      <c r="W1266" s="7"/>
      <c r="X1266" s="146"/>
      <c r="Y1266" s="7"/>
      <c r="Z1266" s="7"/>
      <c r="AA1266" s="7" t="str">
        <f>IFERROR((VLOOKUP(F1266,#REF!,2,FALSE)),"-")</f>
        <v>-</v>
      </c>
      <c r="AB1266" s="119" t="e">
        <f>CONCATENATE(F1266," - ",I1266," - ",#REF!,)</f>
        <v>#REF!</v>
      </c>
    </row>
    <row r="1267" spans="1:28" s="116" customFormat="1" ht="15">
      <c r="A1267" s="114"/>
      <c r="B1267" s="120"/>
      <c r="C1267" s="129" t="str">
        <f t="shared" si="57"/>
        <v>week-0</v>
      </c>
      <c r="D1267" s="120" t="str">
        <f t="shared" si="58"/>
        <v>Jan</v>
      </c>
      <c r="E1267" s="7"/>
      <c r="F1267" s="7"/>
      <c r="G1267" s="120"/>
      <c r="H1267" s="120"/>
      <c r="I1267" s="124"/>
      <c r="J1267" s="124"/>
      <c r="K1267" s="115"/>
      <c r="L1267" s="115"/>
      <c r="M1267" s="8"/>
      <c r="N1267" s="8" t="str">
        <f t="shared" si="59"/>
        <v>-</v>
      </c>
      <c r="O1267" s="126"/>
      <c r="P1267" s="127"/>
      <c r="Q1267" s="127"/>
      <c r="R1267" s="126"/>
      <c r="S1267" s="127"/>
      <c r="T1267" s="8"/>
      <c r="U1267" s="158"/>
      <c r="V1267" s="7"/>
      <c r="W1267" s="7"/>
      <c r="X1267" s="146"/>
      <c r="Y1267" s="7"/>
      <c r="Z1267" s="7"/>
      <c r="AA1267" s="7" t="str">
        <f>IFERROR((VLOOKUP(F1267,#REF!,2,FALSE)),"-")</f>
        <v>-</v>
      </c>
      <c r="AB1267" s="119" t="e">
        <f>CONCATENATE(F1267," - ",I1267," - ",#REF!,)</f>
        <v>#REF!</v>
      </c>
    </row>
    <row r="1268" spans="1:28" s="116" customFormat="1" ht="15">
      <c r="A1268" s="114"/>
      <c r="B1268" s="120"/>
      <c r="C1268" s="129" t="str">
        <f t="shared" si="57"/>
        <v>week-0</v>
      </c>
      <c r="D1268" s="120" t="str">
        <f t="shared" si="58"/>
        <v>Jan</v>
      </c>
      <c r="E1268" s="7"/>
      <c r="F1268" s="7"/>
      <c r="G1268" s="120"/>
      <c r="H1268" s="120"/>
      <c r="I1268" s="118"/>
      <c r="J1268" s="118"/>
      <c r="K1268" s="115"/>
      <c r="L1268" s="115"/>
      <c r="M1268" s="8"/>
      <c r="N1268" s="8" t="str">
        <f t="shared" si="59"/>
        <v>-</v>
      </c>
      <c r="O1268" s="126"/>
      <c r="P1268" s="127"/>
      <c r="Q1268" s="127"/>
      <c r="R1268" s="126"/>
      <c r="S1268" s="127"/>
      <c r="T1268" s="8"/>
      <c r="U1268" s="158"/>
      <c r="V1268" s="7"/>
      <c r="W1268" s="7"/>
      <c r="X1268" s="146"/>
      <c r="Y1268" s="7"/>
      <c r="Z1268" s="7"/>
      <c r="AA1268" s="7" t="str">
        <f>IFERROR((VLOOKUP(F1268,#REF!,2,FALSE)),"-")</f>
        <v>-</v>
      </c>
      <c r="AB1268" s="119" t="e">
        <f>CONCATENATE(F1268," - ",I1268," - ",#REF!,)</f>
        <v>#REF!</v>
      </c>
    </row>
    <row r="1269" spans="1:28" s="116" customFormat="1" ht="15">
      <c r="A1269" s="114"/>
      <c r="B1269" s="120"/>
      <c r="C1269" s="129" t="str">
        <f t="shared" si="57"/>
        <v>week-0</v>
      </c>
      <c r="D1269" s="120" t="str">
        <f t="shared" si="58"/>
        <v>Jan</v>
      </c>
      <c r="E1269" s="7"/>
      <c r="F1269" s="7"/>
      <c r="G1269" s="120"/>
      <c r="H1269" s="120"/>
      <c r="I1269" s="118"/>
      <c r="J1269" s="118"/>
      <c r="K1269" s="115"/>
      <c r="L1269" s="115"/>
      <c r="M1269" s="8"/>
      <c r="N1269" s="8" t="str">
        <f t="shared" si="59"/>
        <v>-</v>
      </c>
      <c r="O1269" s="126"/>
      <c r="P1269" s="127"/>
      <c r="Q1269" s="127"/>
      <c r="R1269" s="126"/>
      <c r="S1269" s="127"/>
      <c r="T1269" s="8"/>
      <c r="U1269" s="158"/>
      <c r="V1269" s="7"/>
      <c r="W1269" s="7"/>
      <c r="X1269" s="146"/>
      <c r="Y1269" s="7"/>
      <c r="Z1269" s="7"/>
      <c r="AA1269" s="7" t="str">
        <f>IFERROR((VLOOKUP(F1269,#REF!,2,FALSE)),"-")</f>
        <v>-</v>
      </c>
      <c r="AB1269" s="119" t="e">
        <f>CONCATENATE(F1269," - ",I1269," - ",#REF!,)</f>
        <v>#REF!</v>
      </c>
    </row>
    <row r="1270" spans="1:28" s="116" customFormat="1" ht="15">
      <c r="A1270" s="114"/>
      <c r="B1270" s="120"/>
      <c r="C1270" s="129" t="str">
        <f t="shared" si="57"/>
        <v>week-0</v>
      </c>
      <c r="D1270" s="120" t="str">
        <f t="shared" si="58"/>
        <v>Jan</v>
      </c>
      <c r="E1270" s="7"/>
      <c r="F1270" s="7"/>
      <c r="G1270" s="120"/>
      <c r="H1270" s="120"/>
      <c r="I1270" s="118"/>
      <c r="J1270" s="118"/>
      <c r="K1270" s="115"/>
      <c r="L1270" s="115"/>
      <c r="M1270" s="8"/>
      <c r="N1270" s="8" t="str">
        <f t="shared" si="59"/>
        <v>-</v>
      </c>
      <c r="O1270" s="126"/>
      <c r="P1270" s="127"/>
      <c r="Q1270" s="127"/>
      <c r="R1270" s="126"/>
      <c r="S1270" s="127"/>
      <c r="T1270" s="8"/>
      <c r="U1270" s="158"/>
      <c r="V1270" s="7"/>
      <c r="W1270" s="7"/>
      <c r="X1270" s="146"/>
      <c r="Y1270" s="7"/>
      <c r="Z1270" s="7"/>
      <c r="AA1270" s="7" t="str">
        <f>IFERROR((VLOOKUP(F1270,#REF!,2,FALSE)),"-")</f>
        <v>-</v>
      </c>
      <c r="AB1270" s="119" t="e">
        <f>CONCATENATE(F1270," - ",I1270," - ",#REF!,)</f>
        <v>#REF!</v>
      </c>
    </row>
    <row r="1271" spans="1:28" s="116" customFormat="1" ht="15">
      <c r="A1271" s="114"/>
      <c r="B1271" s="120"/>
      <c r="C1271" s="129" t="str">
        <f t="shared" si="57"/>
        <v>week-0</v>
      </c>
      <c r="D1271" s="120" t="str">
        <f t="shared" si="58"/>
        <v>Jan</v>
      </c>
      <c r="E1271" s="7"/>
      <c r="F1271" s="7"/>
      <c r="G1271" s="120"/>
      <c r="H1271" s="120"/>
      <c r="I1271" s="118"/>
      <c r="J1271" s="118"/>
      <c r="K1271" s="115"/>
      <c r="L1271" s="115"/>
      <c r="M1271" s="8"/>
      <c r="N1271" s="8" t="str">
        <f t="shared" si="59"/>
        <v>-</v>
      </c>
      <c r="O1271" s="126"/>
      <c r="P1271" s="127"/>
      <c r="Q1271" s="127"/>
      <c r="R1271" s="126"/>
      <c r="S1271" s="127"/>
      <c r="T1271" s="8"/>
      <c r="U1271" s="158"/>
      <c r="V1271" s="7"/>
      <c r="W1271" s="7"/>
      <c r="X1271" s="146"/>
      <c r="Y1271" s="7"/>
      <c r="Z1271" s="7"/>
      <c r="AA1271" s="7" t="str">
        <f>IFERROR((VLOOKUP(F1271,#REF!,2,FALSE)),"-")</f>
        <v>-</v>
      </c>
      <c r="AB1271" s="119" t="e">
        <f>CONCATENATE(F1271," - ",I1271," - ",#REF!,)</f>
        <v>#REF!</v>
      </c>
    </row>
    <row r="1272" spans="1:28" s="116" customFormat="1" ht="15">
      <c r="A1272" s="114"/>
      <c r="B1272" s="120"/>
      <c r="C1272" s="129" t="str">
        <f t="shared" si="57"/>
        <v>week-0</v>
      </c>
      <c r="D1272" s="120" t="str">
        <f t="shared" si="58"/>
        <v>Jan</v>
      </c>
      <c r="E1272" s="7"/>
      <c r="F1272" s="7"/>
      <c r="G1272" s="120"/>
      <c r="H1272" s="120"/>
      <c r="I1272" s="118"/>
      <c r="J1272" s="118"/>
      <c r="K1272" s="115"/>
      <c r="L1272" s="115"/>
      <c r="M1272" s="8"/>
      <c r="N1272" s="8" t="str">
        <f t="shared" si="59"/>
        <v>-</v>
      </c>
      <c r="O1272" s="126"/>
      <c r="P1272" s="127"/>
      <c r="Q1272" s="127"/>
      <c r="R1272" s="126"/>
      <c r="S1272" s="127"/>
      <c r="T1272" s="8"/>
      <c r="U1272" s="158"/>
      <c r="V1272" s="7"/>
      <c r="W1272" s="7"/>
      <c r="X1272" s="146"/>
      <c r="Y1272" s="7"/>
      <c r="Z1272" s="7"/>
      <c r="AA1272" s="7" t="str">
        <f>IFERROR((VLOOKUP(F1272,#REF!,2,FALSE)),"-")</f>
        <v>-</v>
      </c>
      <c r="AB1272" s="119" t="e">
        <f>CONCATENATE(F1272," - ",I1272," - ",#REF!,)</f>
        <v>#REF!</v>
      </c>
    </row>
    <row r="1273" spans="1:28" s="116" customFormat="1" ht="15">
      <c r="A1273" s="114"/>
      <c r="B1273" s="120"/>
      <c r="C1273" s="129" t="str">
        <f t="shared" si="57"/>
        <v>week-0</v>
      </c>
      <c r="D1273" s="120" t="str">
        <f t="shared" si="58"/>
        <v>Jan</v>
      </c>
      <c r="E1273" s="7"/>
      <c r="F1273" s="7"/>
      <c r="G1273" s="120"/>
      <c r="H1273" s="120"/>
      <c r="I1273" s="118"/>
      <c r="J1273" s="118"/>
      <c r="K1273" s="115"/>
      <c r="L1273" s="115"/>
      <c r="M1273" s="8"/>
      <c r="N1273" s="8" t="str">
        <f t="shared" si="59"/>
        <v>-</v>
      </c>
      <c r="O1273" s="126"/>
      <c r="P1273" s="127"/>
      <c r="Q1273" s="127"/>
      <c r="R1273" s="126"/>
      <c r="S1273" s="127"/>
      <c r="T1273" s="8"/>
      <c r="U1273" s="158"/>
      <c r="V1273" s="7"/>
      <c r="W1273" s="7"/>
      <c r="X1273" s="146"/>
      <c r="Y1273" s="7"/>
      <c r="Z1273" s="7"/>
      <c r="AA1273" s="7" t="str">
        <f>IFERROR((VLOOKUP(F1273,#REF!,2,FALSE)),"-")</f>
        <v>-</v>
      </c>
      <c r="AB1273" s="119" t="e">
        <f>CONCATENATE(F1273," - ",I1273," - ",#REF!,)</f>
        <v>#REF!</v>
      </c>
    </row>
    <row r="1274" spans="1:28" s="116" customFormat="1" ht="15">
      <c r="A1274" s="114"/>
      <c r="B1274" s="120"/>
      <c r="C1274" s="129" t="str">
        <f t="shared" si="57"/>
        <v>week-0</v>
      </c>
      <c r="D1274" s="120" t="str">
        <f t="shared" si="58"/>
        <v>Jan</v>
      </c>
      <c r="E1274" s="7"/>
      <c r="F1274" s="7"/>
      <c r="G1274" s="120"/>
      <c r="H1274" s="120"/>
      <c r="I1274" s="118"/>
      <c r="J1274" s="118"/>
      <c r="K1274" s="115"/>
      <c r="L1274" s="115"/>
      <c r="M1274" s="8"/>
      <c r="N1274" s="8" t="str">
        <f t="shared" si="59"/>
        <v>-</v>
      </c>
      <c r="O1274" s="126"/>
      <c r="P1274" s="127"/>
      <c r="Q1274" s="127"/>
      <c r="R1274" s="126"/>
      <c r="S1274" s="127"/>
      <c r="T1274" s="8"/>
      <c r="U1274" s="158"/>
      <c r="V1274" s="7"/>
      <c r="W1274" s="7"/>
      <c r="X1274" s="146"/>
      <c r="Y1274" s="7"/>
      <c r="Z1274" s="7"/>
      <c r="AA1274" s="7" t="str">
        <f>IFERROR((VLOOKUP(F1274,#REF!,2,FALSE)),"-")</f>
        <v>-</v>
      </c>
      <c r="AB1274" s="119" t="e">
        <f>CONCATENATE(F1274," - ",I1274," - ",#REF!,)</f>
        <v>#REF!</v>
      </c>
    </row>
    <row r="1275" spans="1:28" s="116" customFormat="1" ht="15">
      <c r="A1275" s="114"/>
      <c r="B1275" s="120"/>
      <c r="C1275" s="129" t="str">
        <f t="shared" si="57"/>
        <v>week-0</v>
      </c>
      <c r="D1275" s="120" t="str">
        <f t="shared" si="58"/>
        <v>Jan</v>
      </c>
      <c r="E1275" s="7"/>
      <c r="F1275" s="7"/>
      <c r="G1275" s="120"/>
      <c r="H1275" s="120"/>
      <c r="I1275" s="118"/>
      <c r="J1275" s="118"/>
      <c r="K1275" s="115"/>
      <c r="L1275" s="115"/>
      <c r="M1275" s="8"/>
      <c r="N1275" s="8" t="str">
        <f t="shared" si="59"/>
        <v>-</v>
      </c>
      <c r="O1275" s="126"/>
      <c r="P1275" s="127"/>
      <c r="Q1275" s="127"/>
      <c r="R1275" s="126"/>
      <c r="S1275" s="127"/>
      <c r="T1275" s="8"/>
      <c r="U1275" s="158"/>
      <c r="V1275" s="7"/>
      <c r="W1275" s="7"/>
      <c r="X1275" s="146"/>
      <c r="Y1275" s="7"/>
      <c r="Z1275" s="7"/>
      <c r="AA1275" s="7" t="str">
        <f>IFERROR((VLOOKUP(F1275,#REF!,2,FALSE)),"-")</f>
        <v>-</v>
      </c>
      <c r="AB1275" s="119" t="e">
        <f>CONCATENATE(F1275," - ",I1275," - ",#REF!,)</f>
        <v>#REF!</v>
      </c>
    </row>
    <row r="1276" spans="1:28" s="116" customFormat="1" ht="15">
      <c r="A1276" s="114"/>
      <c r="B1276" s="120"/>
      <c r="C1276" s="129" t="str">
        <f t="shared" si="57"/>
        <v>week-0</v>
      </c>
      <c r="D1276" s="120" t="str">
        <f t="shared" si="58"/>
        <v>Jan</v>
      </c>
      <c r="E1276" s="7"/>
      <c r="F1276" s="7"/>
      <c r="G1276" s="120"/>
      <c r="H1276" s="120"/>
      <c r="I1276" s="118"/>
      <c r="J1276" s="118"/>
      <c r="K1276" s="115"/>
      <c r="L1276" s="115"/>
      <c r="M1276" s="8"/>
      <c r="N1276" s="8" t="str">
        <f t="shared" si="59"/>
        <v>-</v>
      </c>
      <c r="O1276" s="126"/>
      <c r="P1276" s="127"/>
      <c r="Q1276" s="127"/>
      <c r="R1276" s="126"/>
      <c r="S1276" s="127"/>
      <c r="T1276" s="8"/>
      <c r="U1276" s="158"/>
      <c r="V1276" s="7"/>
      <c r="W1276" s="7"/>
      <c r="X1276" s="146"/>
      <c r="Y1276" s="7"/>
      <c r="Z1276" s="7"/>
      <c r="AA1276" s="7" t="str">
        <f>IFERROR((VLOOKUP(F1276,#REF!,2,FALSE)),"-")</f>
        <v>-</v>
      </c>
      <c r="AB1276" s="119" t="e">
        <f>CONCATENATE(F1276," - ",I1276," - ",#REF!,)</f>
        <v>#REF!</v>
      </c>
    </row>
    <row r="1277" spans="1:28" s="116" customFormat="1" ht="15">
      <c r="A1277" s="114"/>
      <c r="B1277" s="120"/>
      <c r="C1277" s="129" t="str">
        <f t="shared" si="57"/>
        <v>week-0</v>
      </c>
      <c r="D1277" s="120" t="str">
        <f t="shared" si="58"/>
        <v>Jan</v>
      </c>
      <c r="E1277" s="7"/>
      <c r="F1277" s="7"/>
      <c r="G1277" s="120"/>
      <c r="H1277" s="120"/>
      <c r="I1277" s="118"/>
      <c r="J1277" s="118"/>
      <c r="K1277" s="115"/>
      <c r="L1277" s="115"/>
      <c r="M1277" s="8"/>
      <c r="N1277" s="8" t="str">
        <f t="shared" si="59"/>
        <v>-</v>
      </c>
      <c r="O1277" s="126"/>
      <c r="P1277" s="127"/>
      <c r="Q1277" s="127"/>
      <c r="R1277" s="126"/>
      <c r="S1277" s="127"/>
      <c r="T1277" s="8"/>
      <c r="U1277" s="158"/>
      <c r="V1277" s="7"/>
      <c r="W1277" s="7"/>
      <c r="X1277" s="146"/>
      <c r="Y1277" s="7"/>
      <c r="Z1277" s="7"/>
      <c r="AA1277" s="7" t="str">
        <f>IFERROR((VLOOKUP(F1277,#REF!,2,FALSE)),"-")</f>
        <v>-</v>
      </c>
      <c r="AB1277" s="119" t="e">
        <f>CONCATENATE(F1277," - ",I1277," - ",#REF!,)</f>
        <v>#REF!</v>
      </c>
    </row>
    <row r="1278" spans="1:28" s="116" customFormat="1" ht="15">
      <c r="A1278" s="114"/>
      <c r="B1278" s="120"/>
      <c r="C1278" s="129" t="str">
        <f t="shared" si="57"/>
        <v>week-0</v>
      </c>
      <c r="D1278" s="120" t="str">
        <f t="shared" si="58"/>
        <v>Jan</v>
      </c>
      <c r="E1278" s="7"/>
      <c r="F1278" s="7"/>
      <c r="G1278" s="120"/>
      <c r="H1278" s="120"/>
      <c r="I1278" s="118"/>
      <c r="J1278" s="118"/>
      <c r="K1278" s="115"/>
      <c r="L1278" s="115"/>
      <c r="M1278" s="8"/>
      <c r="N1278" s="8" t="str">
        <f t="shared" si="59"/>
        <v>-</v>
      </c>
      <c r="O1278" s="126"/>
      <c r="P1278" s="127"/>
      <c r="Q1278" s="127"/>
      <c r="R1278" s="126"/>
      <c r="S1278" s="127"/>
      <c r="T1278" s="8"/>
      <c r="U1278" s="158"/>
      <c r="V1278" s="7"/>
      <c r="W1278" s="7"/>
      <c r="X1278" s="146"/>
      <c r="Y1278" s="7"/>
      <c r="Z1278" s="7"/>
      <c r="AA1278" s="7" t="str">
        <f>IFERROR((VLOOKUP(F1278,#REF!,2,FALSE)),"-")</f>
        <v>-</v>
      </c>
      <c r="AB1278" s="119" t="e">
        <f>CONCATENATE(F1278," - ",I1278," - ",#REF!,)</f>
        <v>#REF!</v>
      </c>
    </row>
    <row r="1279" spans="1:28" s="116" customFormat="1" ht="15">
      <c r="A1279" s="114"/>
      <c r="B1279" s="120"/>
      <c r="C1279" s="129" t="str">
        <f t="shared" si="57"/>
        <v>week-0</v>
      </c>
      <c r="D1279" s="120" t="str">
        <f t="shared" si="58"/>
        <v>Jan</v>
      </c>
      <c r="E1279" s="7"/>
      <c r="F1279" s="7"/>
      <c r="G1279" s="120"/>
      <c r="H1279" s="120"/>
      <c r="I1279" s="118"/>
      <c r="J1279" s="118"/>
      <c r="K1279" s="115"/>
      <c r="L1279" s="115"/>
      <c r="M1279" s="8"/>
      <c r="N1279" s="8" t="str">
        <f t="shared" si="59"/>
        <v>-</v>
      </c>
      <c r="O1279" s="126"/>
      <c r="P1279" s="127"/>
      <c r="Q1279" s="127"/>
      <c r="R1279" s="126"/>
      <c r="S1279" s="127"/>
      <c r="T1279" s="8"/>
      <c r="U1279" s="158"/>
      <c r="V1279" s="7"/>
      <c r="W1279" s="7"/>
      <c r="X1279" s="146"/>
      <c r="Y1279" s="7"/>
      <c r="Z1279" s="7"/>
      <c r="AA1279" s="7" t="str">
        <f>IFERROR((VLOOKUP(F1279,#REF!,2,FALSE)),"-")</f>
        <v>-</v>
      </c>
      <c r="AB1279" s="119" t="e">
        <f>CONCATENATE(F1279," - ",I1279," - ",#REF!,)</f>
        <v>#REF!</v>
      </c>
    </row>
    <row r="1280" spans="1:28" s="116" customFormat="1" ht="15">
      <c r="A1280" s="114"/>
      <c r="B1280" s="120"/>
      <c r="C1280" s="129" t="str">
        <f t="shared" si="57"/>
        <v>week-0</v>
      </c>
      <c r="D1280" s="120" t="str">
        <f t="shared" si="58"/>
        <v>Jan</v>
      </c>
      <c r="E1280" s="7"/>
      <c r="F1280" s="7"/>
      <c r="G1280" s="120"/>
      <c r="H1280" s="120"/>
      <c r="I1280" s="118"/>
      <c r="J1280" s="118"/>
      <c r="K1280" s="115"/>
      <c r="L1280" s="115"/>
      <c r="M1280" s="8"/>
      <c r="N1280" s="8" t="str">
        <f t="shared" si="59"/>
        <v>-</v>
      </c>
      <c r="O1280" s="126"/>
      <c r="P1280" s="127"/>
      <c r="Q1280" s="127"/>
      <c r="R1280" s="126"/>
      <c r="S1280" s="127"/>
      <c r="T1280" s="8"/>
      <c r="U1280" s="158"/>
      <c r="V1280" s="7"/>
      <c r="W1280" s="7"/>
      <c r="X1280" s="146"/>
      <c r="Y1280" s="7"/>
      <c r="Z1280" s="7"/>
      <c r="AA1280" s="7" t="str">
        <f>IFERROR((VLOOKUP(F1280,#REF!,2,FALSE)),"-")</f>
        <v>-</v>
      </c>
      <c r="AB1280" s="119" t="e">
        <f>CONCATENATE(F1280," - ",I1280," - ",#REF!,)</f>
        <v>#REF!</v>
      </c>
    </row>
    <row r="1281" spans="1:28" s="116" customFormat="1" ht="15">
      <c r="A1281" s="114"/>
      <c r="B1281" s="120"/>
      <c r="C1281" s="129" t="str">
        <f t="shared" si="57"/>
        <v>week-0</v>
      </c>
      <c r="D1281" s="120" t="str">
        <f t="shared" si="58"/>
        <v>Jan</v>
      </c>
      <c r="E1281" s="7"/>
      <c r="F1281" s="7"/>
      <c r="G1281" s="120"/>
      <c r="H1281" s="120"/>
      <c r="I1281" s="118"/>
      <c r="J1281" s="118"/>
      <c r="K1281" s="115"/>
      <c r="L1281" s="115"/>
      <c r="M1281" s="8"/>
      <c r="N1281" s="8" t="str">
        <f t="shared" si="59"/>
        <v>-</v>
      </c>
      <c r="O1281" s="126"/>
      <c r="P1281" s="127"/>
      <c r="Q1281" s="127"/>
      <c r="R1281" s="126"/>
      <c r="S1281" s="127"/>
      <c r="T1281" s="8"/>
      <c r="U1281" s="158"/>
      <c r="V1281" s="7"/>
      <c r="W1281" s="7"/>
      <c r="X1281" s="146"/>
      <c r="Y1281" s="7"/>
      <c r="Z1281" s="7"/>
      <c r="AA1281" s="7" t="str">
        <f>IFERROR((VLOOKUP(F1281,#REF!,2,FALSE)),"-")</f>
        <v>-</v>
      </c>
      <c r="AB1281" s="119" t="e">
        <f>CONCATENATE(F1281," - ",I1281," - ",#REF!,)</f>
        <v>#REF!</v>
      </c>
    </row>
    <row r="1282" spans="1:28" s="116" customFormat="1" ht="15">
      <c r="A1282" s="114"/>
      <c r="B1282" s="120"/>
      <c r="C1282" s="129" t="str">
        <f t="shared" si="57"/>
        <v>week-0</v>
      </c>
      <c r="D1282" s="120" t="str">
        <f t="shared" si="58"/>
        <v>Jan</v>
      </c>
      <c r="E1282" s="7"/>
      <c r="F1282" s="7"/>
      <c r="G1282" s="120"/>
      <c r="H1282" s="120"/>
      <c r="I1282" s="118"/>
      <c r="J1282" s="118"/>
      <c r="K1282" s="115"/>
      <c r="L1282" s="115"/>
      <c r="M1282" s="8"/>
      <c r="N1282" s="8" t="str">
        <f t="shared" si="59"/>
        <v>-</v>
      </c>
      <c r="O1282" s="126"/>
      <c r="P1282" s="127"/>
      <c r="Q1282" s="127"/>
      <c r="R1282" s="126"/>
      <c r="S1282" s="127"/>
      <c r="T1282" s="8"/>
      <c r="U1282" s="158"/>
      <c r="V1282" s="7"/>
      <c r="W1282" s="7"/>
      <c r="X1282" s="146"/>
      <c r="Y1282" s="7"/>
      <c r="Z1282" s="7"/>
      <c r="AA1282" s="7" t="str">
        <f>IFERROR((VLOOKUP(F1282,#REF!,2,FALSE)),"-")</f>
        <v>-</v>
      </c>
      <c r="AB1282" s="119" t="e">
        <f>CONCATENATE(F1282," - ",I1282," - ",#REF!,)</f>
        <v>#REF!</v>
      </c>
    </row>
    <row r="1283" spans="1:28" s="116" customFormat="1" ht="15">
      <c r="A1283" s="114"/>
      <c r="B1283" s="120"/>
      <c r="C1283" s="129" t="str">
        <f t="shared" si="57"/>
        <v>week-0</v>
      </c>
      <c r="D1283" s="120" t="str">
        <f t="shared" si="58"/>
        <v>Jan</v>
      </c>
      <c r="E1283" s="7"/>
      <c r="F1283" s="7"/>
      <c r="G1283" s="120"/>
      <c r="H1283" s="120"/>
      <c r="I1283" s="118"/>
      <c r="J1283" s="118"/>
      <c r="K1283" s="115"/>
      <c r="L1283" s="115"/>
      <c r="M1283" s="8"/>
      <c r="N1283" s="8" t="str">
        <f t="shared" si="59"/>
        <v>-</v>
      </c>
      <c r="O1283" s="126"/>
      <c r="P1283" s="127"/>
      <c r="Q1283" s="127"/>
      <c r="R1283" s="126"/>
      <c r="S1283" s="127"/>
      <c r="T1283" s="8"/>
      <c r="U1283" s="158"/>
      <c r="V1283" s="7"/>
      <c r="W1283" s="7"/>
      <c r="X1283" s="146"/>
      <c r="Y1283" s="7"/>
      <c r="Z1283" s="7"/>
      <c r="AA1283" s="7" t="str">
        <f>IFERROR((VLOOKUP(F1283,#REF!,2,FALSE)),"-")</f>
        <v>-</v>
      </c>
      <c r="AB1283" s="119" t="e">
        <f>CONCATENATE(F1283," - ",I1283," - ",#REF!,)</f>
        <v>#REF!</v>
      </c>
    </row>
    <row r="1284" spans="1:28" s="116" customFormat="1" ht="15">
      <c r="A1284" s="114"/>
      <c r="B1284" s="120"/>
      <c r="C1284" s="129" t="str">
        <f t="shared" ref="C1284:C1347" si="60">"week-"&amp;WEEKNUM(B1284)</f>
        <v>week-0</v>
      </c>
      <c r="D1284" s="120" t="str">
        <f t="shared" ref="D1284:D1347" si="61">TEXT(B1284,"mmm")</f>
        <v>Jan</v>
      </c>
      <c r="E1284" s="7"/>
      <c r="F1284" s="7"/>
      <c r="G1284" s="120"/>
      <c r="H1284" s="120"/>
      <c r="I1284" s="118"/>
      <c r="J1284" s="118"/>
      <c r="K1284" s="115"/>
      <c r="L1284" s="115"/>
      <c r="M1284" s="8"/>
      <c r="N1284" s="8" t="str">
        <f t="shared" ref="N1284:N1347" si="62">IF(ISBLANK(M1284),"-",(M1284/60))</f>
        <v>-</v>
      </c>
      <c r="O1284" s="126"/>
      <c r="P1284" s="127"/>
      <c r="Q1284" s="127"/>
      <c r="R1284" s="126"/>
      <c r="S1284" s="127"/>
      <c r="T1284" s="8"/>
      <c r="U1284" s="158"/>
      <c r="V1284" s="7"/>
      <c r="W1284" s="7"/>
      <c r="X1284" s="146"/>
      <c r="Y1284" s="7"/>
      <c r="Z1284" s="7"/>
      <c r="AA1284" s="7" t="str">
        <f>IFERROR((VLOOKUP(F1284,#REF!,2,FALSE)),"-")</f>
        <v>-</v>
      </c>
      <c r="AB1284" s="119" t="e">
        <f>CONCATENATE(F1284," - ",I1284," - ",#REF!,)</f>
        <v>#REF!</v>
      </c>
    </row>
    <row r="1285" spans="1:28" s="116" customFormat="1" ht="15">
      <c r="A1285" s="114"/>
      <c r="B1285" s="120"/>
      <c r="C1285" s="129" t="str">
        <f t="shared" si="60"/>
        <v>week-0</v>
      </c>
      <c r="D1285" s="120" t="str">
        <f t="shared" si="61"/>
        <v>Jan</v>
      </c>
      <c r="E1285" s="7"/>
      <c r="F1285" s="7"/>
      <c r="G1285" s="120"/>
      <c r="H1285" s="120"/>
      <c r="I1285" s="118"/>
      <c r="J1285" s="118"/>
      <c r="K1285" s="115"/>
      <c r="L1285" s="115"/>
      <c r="M1285" s="8"/>
      <c r="N1285" s="8" t="str">
        <f t="shared" si="62"/>
        <v>-</v>
      </c>
      <c r="O1285" s="126"/>
      <c r="P1285" s="127"/>
      <c r="Q1285" s="127"/>
      <c r="R1285" s="126"/>
      <c r="S1285" s="127"/>
      <c r="T1285" s="8"/>
      <c r="U1285" s="158"/>
      <c r="V1285" s="7"/>
      <c r="W1285" s="7"/>
      <c r="X1285" s="146"/>
      <c r="Y1285" s="7"/>
      <c r="Z1285" s="7"/>
      <c r="AA1285" s="7" t="str">
        <f>IFERROR((VLOOKUP(F1285,#REF!,2,FALSE)),"-")</f>
        <v>-</v>
      </c>
      <c r="AB1285" s="119" t="e">
        <f>CONCATENATE(F1285," - ",I1285," - ",#REF!,)</f>
        <v>#REF!</v>
      </c>
    </row>
    <row r="1286" spans="1:28" s="116" customFormat="1" ht="15">
      <c r="A1286" s="114"/>
      <c r="B1286" s="120"/>
      <c r="C1286" s="129" t="str">
        <f t="shared" si="60"/>
        <v>week-0</v>
      </c>
      <c r="D1286" s="120" t="str">
        <f t="shared" si="61"/>
        <v>Jan</v>
      </c>
      <c r="E1286" s="7"/>
      <c r="F1286" s="7"/>
      <c r="G1286" s="120"/>
      <c r="H1286" s="120"/>
      <c r="I1286" s="118"/>
      <c r="J1286" s="118"/>
      <c r="K1286" s="115"/>
      <c r="L1286" s="115"/>
      <c r="M1286" s="8"/>
      <c r="N1286" s="8" t="str">
        <f t="shared" si="62"/>
        <v>-</v>
      </c>
      <c r="O1286" s="126"/>
      <c r="P1286" s="127"/>
      <c r="Q1286" s="127"/>
      <c r="R1286" s="126"/>
      <c r="S1286" s="127"/>
      <c r="T1286" s="8"/>
      <c r="U1286" s="158"/>
      <c r="V1286" s="7"/>
      <c r="W1286" s="7"/>
      <c r="X1286" s="146"/>
      <c r="Y1286" s="7"/>
      <c r="Z1286" s="7"/>
      <c r="AA1286" s="7" t="str">
        <f>IFERROR((VLOOKUP(F1286,#REF!,2,FALSE)),"-")</f>
        <v>-</v>
      </c>
      <c r="AB1286" s="119" t="e">
        <f>CONCATENATE(F1286," - ",I1286," - ",#REF!,)</f>
        <v>#REF!</v>
      </c>
    </row>
    <row r="1287" spans="1:28" s="116" customFormat="1" ht="15">
      <c r="A1287" s="114"/>
      <c r="B1287" s="120"/>
      <c r="C1287" s="129" t="str">
        <f t="shared" si="60"/>
        <v>week-0</v>
      </c>
      <c r="D1287" s="120" t="str">
        <f t="shared" si="61"/>
        <v>Jan</v>
      </c>
      <c r="E1287" s="7"/>
      <c r="F1287" s="7"/>
      <c r="G1287" s="120"/>
      <c r="H1287" s="120"/>
      <c r="I1287" s="118"/>
      <c r="J1287" s="118"/>
      <c r="K1287" s="115"/>
      <c r="L1287" s="115"/>
      <c r="M1287" s="8"/>
      <c r="N1287" s="8" t="str">
        <f t="shared" si="62"/>
        <v>-</v>
      </c>
      <c r="O1287" s="126"/>
      <c r="P1287" s="127"/>
      <c r="Q1287" s="127"/>
      <c r="R1287" s="126"/>
      <c r="S1287" s="127"/>
      <c r="T1287" s="8"/>
      <c r="U1287" s="158"/>
      <c r="V1287" s="7"/>
      <c r="W1287" s="7"/>
      <c r="X1287" s="146"/>
      <c r="Y1287" s="7"/>
      <c r="Z1287" s="7"/>
      <c r="AA1287" s="7" t="str">
        <f>IFERROR((VLOOKUP(F1287,#REF!,2,FALSE)),"-")</f>
        <v>-</v>
      </c>
      <c r="AB1287" s="119" t="e">
        <f>CONCATENATE(F1287," - ",I1287," - ",#REF!,)</f>
        <v>#REF!</v>
      </c>
    </row>
    <row r="1288" spans="1:28" s="116" customFormat="1" ht="15">
      <c r="A1288" s="114"/>
      <c r="B1288" s="120"/>
      <c r="C1288" s="129" t="str">
        <f t="shared" si="60"/>
        <v>week-0</v>
      </c>
      <c r="D1288" s="120" t="str">
        <f t="shared" si="61"/>
        <v>Jan</v>
      </c>
      <c r="E1288" s="7"/>
      <c r="F1288" s="7"/>
      <c r="G1288" s="120"/>
      <c r="H1288" s="120"/>
      <c r="I1288" s="118"/>
      <c r="J1288" s="118"/>
      <c r="K1288" s="115"/>
      <c r="L1288" s="115"/>
      <c r="M1288" s="8"/>
      <c r="N1288" s="8" t="str">
        <f t="shared" si="62"/>
        <v>-</v>
      </c>
      <c r="O1288" s="126"/>
      <c r="P1288" s="127"/>
      <c r="Q1288" s="127"/>
      <c r="R1288" s="126"/>
      <c r="S1288" s="127"/>
      <c r="T1288" s="8"/>
      <c r="U1288" s="158"/>
      <c r="V1288" s="7"/>
      <c r="W1288" s="7"/>
      <c r="X1288" s="146"/>
      <c r="Y1288" s="7"/>
      <c r="Z1288" s="7"/>
      <c r="AA1288" s="7" t="str">
        <f>IFERROR((VLOOKUP(F1288,#REF!,2,FALSE)),"-")</f>
        <v>-</v>
      </c>
      <c r="AB1288" s="119" t="e">
        <f>CONCATENATE(F1288," - ",I1288," - ",#REF!,)</f>
        <v>#REF!</v>
      </c>
    </row>
    <row r="1289" spans="1:28" s="116" customFormat="1" ht="15">
      <c r="A1289" s="114"/>
      <c r="B1289" s="120"/>
      <c r="C1289" s="129" t="str">
        <f t="shared" si="60"/>
        <v>week-0</v>
      </c>
      <c r="D1289" s="120" t="str">
        <f t="shared" si="61"/>
        <v>Jan</v>
      </c>
      <c r="E1289" s="7"/>
      <c r="F1289" s="7"/>
      <c r="G1289" s="120"/>
      <c r="H1289" s="120"/>
      <c r="I1289" s="118"/>
      <c r="J1289" s="118"/>
      <c r="K1289" s="115"/>
      <c r="L1289" s="115"/>
      <c r="M1289" s="8"/>
      <c r="N1289" s="8" t="str">
        <f t="shared" si="62"/>
        <v>-</v>
      </c>
      <c r="O1289" s="126"/>
      <c r="P1289" s="127"/>
      <c r="Q1289" s="127"/>
      <c r="R1289" s="126"/>
      <c r="S1289" s="127"/>
      <c r="T1289" s="8"/>
      <c r="U1289" s="158"/>
      <c r="V1289" s="7"/>
      <c r="W1289" s="7"/>
      <c r="X1289" s="146"/>
      <c r="Y1289" s="7"/>
      <c r="Z1289" s="7"/>
      <c r="AA1289" s="7" t="str">
        <f>IFERROR((VLOOKUP(F1289,#REF!,2,FALSE)),"-")</f>
        <v>-</v>
      </c>
      <c r="AB1289" s="119" t="e">
        <f>CONCATENATE(F1289," - ",I1289," - ",#REF!,)</f>
        <v>#REF!</v>
      </c>
    </row>
    <row r="1290" spans="1:28" s="116" customFormat="1" ht="15">
      <c r="A1290" s="114"/>
      <c r="B1290" s="120"/>
      <c r="C1290" s="129" t="str">
        <f t="shared" si="60"/>
        <v>week-0</v>
      </c>
      <c r="D1290" s="120" t="str">
        <f t="shared" si="61"/>
        <v>Jan</v>
      </c>
      <c r="E1290" s="7"/>
      <c r="F1290" s="7"/>
      <c r="G1290" s="120"/>
      <c r="H1290" s="120"/>
      <c r="I1290" s="118"/>
      <c r="J1290" s="118"/>
      <c r="K1290" s="115"/>
      <c r="L1290" s="115"/>
      <c r="M1290" s="8"/>
      <c r="N1290" s="8" t="str">
        <f t="shared" si="62"/>
        <v>-</v>
      </c>
      <c r="O1290" s="126"/>
      <c r="P1290" s="127"/>
      <c r="Q1290" s="127"/>
      <c r="R1290" s="126"/>
      <c r="S1290" s="127"/>
      <c r="T1290" s="8"/>
      <c r="U1290" s="158"/>
      <c r="V1290" s="7"/>
      <c r="W1290" s="7"/>
      <c r="X1290" s="146"/>
      <c r="Y1290" s="7"/>
      <c r="Z1290" s="7"/>
      <c r="AA1290" s="7" t="str">
        <f>IFERROR((VLOOKUP(F1290,#REF!,2,FALSE)),"-")</f>
        <v>-</v>
      </c>
      <c r="AB1290" s="119" t="e">
        <f>CONCATENATE(F1290," - ",I1290," - ",#REF!,)</f>
        <v>#REF!</v>
      </c>
    </row>
    <row r="1291" spans="1:28" s="116" customFormat="1" ht="15">
      <c r="A1291" s="114"/>
      <c r="B1291" s="120"/>
      <c r="C1291" s="129" t="str">
        <f t="shared" si="60"/>
        <v>week-0</v>
      </c>
      <c r="D1291" s="120" t="str">
        <f t="shared" si="61"/>
        <v>Jan</v>
      </c>
      <c r="E1291" s="7"/>
      <c r="F1291" s="7"/>
      <c r="G1291" s="120"/>
      <c r="H1291" s="120"/>
      <c r="I1291" s="118"/>
      <c r="J1291" s="118"/>
      <c r="K1291" s="115"/>
      <c r="L1291" s="115"/>
      <c r="M1291" s="8"/>
      <c r="N1291" s="8" t="str">
        <f t="shared" si="62"/>
        <v>-</v>
      </c>
      <c r="O1291" s="126"/>
      <c r="P1291" s="127"/>
      <c r="Q1291" s="127"/>
      <c r="R1291" s="126"/>
      <c r="S1291" s="127"/>
      <c r="T1291" s="8"/>
      <c r="U1291" s="158"/>
      <c r="V1291" s="7"/>
      <c r="W1291" s="7"/>
      <c r="X1291" s="146"/>
      <c r="Y1291" s="7"/>
      <c r="Z1291" s="7"/>
      <c r="AA1291" s="7" t="str">
        <f>IFERROR((VLOOKUP(F1291,#REF!,2,FALSE)),"-")</f>
        <v>-</v>
      </c>
      <c r="AB1291" s="119" t="e">
        <f>CONCATENATE(F1291," - ",I1291," - ",#REF!,)</f>
        <v>#REF!</v>
      </c>
    </row>
    <row r="1292" spans="1:28" s="116" customFormat="1" ht="15">
      <c r="A1292" s="114"/>
      <c r="B1292" s="120"/>
      <c r="C1292" s="129" t="str">
        <f t="shared" si="60"/>
        <v>week-0</v>
      </c>
      <c r="D1292" s="120" t="str">
        <f t="shared" si="61"/>
        <v>Jan</v>
      </c>
      <c r="E1292" s="7"/>
      <c r="F1292" s="7"/>
      <c r="G1292" s="120"/>
      <c r="H1292" s="120"/>
      <c r="I1292" s="118"/>
      <c r="J1292" s="118"/>
      <c r="K1292" s="115"/>
      <c r="L1292" s="115"/>
      <c r="M1292" s="8"/>
      <c r="N1292" s="8" t="str">
        <f t="shared" si="62"/>
        <v>-</v>
      </c>
      <c r="O1292" s="126"/>
      <c r="P1292" s="127"/>
      <c r="Q1292" s="127"/>
      <c r="R1292" s="126"/>
      <c r="S1292" s="127"/>
      <c r="T1292" s="8"/>
      <c r="U1292" s="158"/>
      <c r="V1292" s="7"/>
      <c r="W1292" s="7"/>
      <c r="X1292" s="146"/>
      <c r="Y1292" s="7"/>
      <c r="Z1292" s="7"/>
      <c r="AA1292" s="7" t="str">
        <f>IFERROR((VLOOKUP(F1292,#REF!,2,FALSE)),"-")</f>
        <v>-</v>
      </c>
      <c r="AB1292" s="119" t="e">
        <f>CONCATENATE(F1292," - ",I1292," - ",#REF!,)</f>
        <v>#REF!</v>
      </c>
    </row>
    <row r="1293" spans="1:28" s="116" customFormat="1" ht="15">
      <c r="A1293" s="114"/>
      <c r="B1293" s="120"/>
      <c r="C1293" s="129" t="str">
        <f t="shared" si="60"/>
        <v>week-0</v>
      </c>
      <c r="D1293" s="120" t="str">
        <f t="shared" si="61"/>
        <v>Jan</v>
      </c>
      <c r="E1293" s="7"/>
      <c r="F1293" s="7"/>
      <c r="G1293" s="120"/>
      <c r="H1293" s="120"/>
      <c r="I1293" s="118"/>
      <c r="J1293" s="118"/>
      <c r="K1293" s="115"/>
      <c r="L1293" s="115"/>
      <c r="M1293" s="8"/>
      <c r="N1293" s="8" t="str">
        <f t="shared" si="62"/>
        <v>-</v>
      </c>
      <c r="O1293" s="126"/>
      <c r="P1293" s="127"/>
      <c r="Q1293" s="127"/>
      <c r="R1293" s="126"/>
      <c r="S1293" s="127"/>
      <c r="T1293" s="8"/>
      <c r="U1293" s="158"/>
      <c r="V1293" s="7"/>
      <c r="W1293" s="7"/>
      <c r="X1293" s="146"/>
      <c r="Y1293" s="7"/>
      <c r="Z1293" s="7"/>
      <c r="AA1293" s="7" t="str">
        <f>IFERROR((VLOOKUP(F1293,#REF!,2,FALSE)),"-")</f>
        <v>-</v>
      </c>
      <c r="AB1293" s="119" t="e">
        <f>CONCATENATE(F1293," - ",I1293," - ",#REF!,)</f>
        <v>#REF!</v>
      </c>
    </row>
    <row r="1294" spans="1:28" s="116" customFormat="1" ht="15">
      <c r="A1294" s="114"/>
      <c r="B1294" s="120"/>
      <c r="C1294" s="129" t="str">
        <f t="shared" si="60"/>
        <v>week-0</v>
      </c>
      <c r="D1294" s="120" t="str">
        <f t="shared" si="61"/>
        <v>Jan</v>
      </c>
      <c r="E1294" s="7"/>
      <c r="F1294" s="7"/>
      <c r="G1294" s="120"/>
      <c r="H1294" s="120"/>
      <c r="I1294" s="118"/>
      <c r="J1294" s="118"/>
      <c r="K1294" s="115"/>
      <c r="L1294" s="115"/>
      <c r="M1294" s="8"/>
      <c r="N1294" s="8" t="str">
        <f t="shared" si="62"/>
        <v>-</v>
      </c>
      <c r="O1294" s="126"/>
      <c r="P1294" s="127"/>
      <c r="Q1294" s="127"/>
      <c r="R1294" s="126"/>
      <c r="S1294" s="127"/>
      <c r="T1294" s="8"/>
      <c r="U1294" s="158"/>
      <c r="V1294" s="7"/>
      <c r="W1294" s="7"/>
      <c r="X1294" s="146"/>
      <c r="Y1294" s="7"/>
      <c r="Z1294" s="7"/>
      <c r="AA1294" s="7" t="str">
        <f>IFERROR((VLOOKUP(F1294,#REF!,2,FALSE)),"-")</f>
        <v>-</v>
      </c>
      <c r="AB1294" s="119" t="e">
        <f>CONCATENATE(F1294," - ",I1294," - ",#REF!,)</f>
        <v>#REF!</v>
      </c>
    </row>
    <row r="1295" spans="1:28" s="116" customFormat="1" ht="15">
      <c r="A1295" s="114"/>
      <c r="B1295" s="120"/>
      <c r="C1295" s="129" t="str">
        <f t="shared" si="60"/>
        <v>week-0</v>
      </c>
      <c r="D1295" s="120" t="str">
        <f t="shared" si="61"/>
        <v>Jan</v>
      </c>
      <c r="E1295" s="7"/>
      <c r="F1295" s="7"/>
      <c r="G1295" s="120"/>
      <c r="H1295" s="120"/>
      <c r="I1295" s="118"/>
      <c r="J1295" s="118"/>
      <c r="K1295" s="115"/>
      <c r="L1295" s="115"/>
      <c r="M1295" s="8"/>
      <c r="N1295" s="8" t="str">
        <f t="shared" si="62"/>
        <v>-</v>
      </c>
      <c r="O1295" s="126"/>
      <c r="P1295" s="127"/>
      <c r="Q1295" s="127"/>
      <c r="R1295" s="126"/>
      <c r="S1295" s="127"/>
      <c r="T1295" s="8"/>
      <c r="U1295" s="158"/>
      <c r="V1295" s="7"/>
      <c r="W1295" s="7"/>
      <c r="X1295" s="146"/>
      <c r="Y1295" s="7"/>
      <c r="Z1295" s="7"/>
      <c r="AA1295" s="7" t="str">
        <f>IFERROR((VLOOKUP(F1295,#REF!,2,FALSE)),"-")</f>
        <v>-</v>
      </c>
      <c r="AB1295" s="119" t="e">
        <f>CONCATENATE(F1295," - ",I1295," - ",#REF!,)</f>
        <v>#REF!</v>
      </c>
    </row>
    <row r="1296" spans="1:28" s="116" customFormat="1" ht="15">
      <c r="A1296" s="114"/>
      <c r="B1296" s="120"/>
      <c r="C1296" s="129" t="str">
        <f t="shared" si="60"/>
        <v>week-0</v>
      </c>
      <c r="D1296" s="120" t="str">
        <f t="shared" si="61"/>
        <v>Jan</v>
      </c>
      <c r="E1296" s="7"/>
      <c r="F1296" s="7"/>
      <c r="G1296" s="120"/>
      <c r="H1296" s="120"/>
      <c r="I1296" s="118"/>
      <c r="J1296" s="118"/>
      <c r="K1296" s="115"/>
      <c r="L1296" s="115"/>
      <c r="M1296" s="8"/>
      <c r="N1296" s="8" t="str">
        <f t="shared" si="62"/>
        <v>-</v>
      </c>
      <c r="O1296" s="126"/>
      <c r="P1296" s="127"/>
      <c r="Q1296" s="127"/>
      <c r="R1296" s="126"/>
      <c r="S1296" s="127"/>
      <c r="T1296" s="8"/>
      <c r="U1296" s="158"/>
      <c r="V1296" s="7"/>
      <c r="W1296" s="7"/>
      <c r="X1296" s="146"/>
      <c r="Y1296" s="7"/>
      <c r="Z1296" s="7"/>
      <c r="AA1296" s="7" t="str">
        <f>IFERROR((VLOOKUP(F1296,#REF!,2,FALSE)),"-")</f>
        <v>-</v>
      </c>
      <c r="AB1296" s="119" t="e">
        <f>CONCATENATE(F1296," - ",I1296," - ",#REF!,)</f>
        <v>#REF!</v>
      </c>
    </row>
    <row r="1297" spans="1:28" s="116" customFormat="1" ht="15">
      <c r="A1297" s="114"/>
      <c r="B1297" s="120"/>
      <c r="C1297" s="129" t="str">
        <f t="shared" si="60"/>
        <v>week-0</v>
      </c>
      <c r="D1297" s="120" t="str">
        <f t="shared" si="61"/>
        <v>Jan</v>
      </c>
      <c r="E1297" s="7"/>
      <c r="F1297" s="7"/>
      <c r="G1297" s="120"/>
      <c r="H1297" s="120"/>
      <c r="I1297" s="118"/>
      <c r="J1297" s="118"/>
      <c r="K1297" s="115"/>
      <c r="L1297" s="115"/>
      <c r="M1297" s="8"/>
      <c r="N1297" s="8" t="str">
        <f t="shared" si="62"/>
        <v>-</v>
      </c>
      <c r="O1297" s="126"/>
      <c r="P1297" s="127"/>
      <c r="Q1297" s="127"/>
      <c r="R1297" s="126"/>
      <c r="S1297" s="127"/>
      <c r="T1297" s="8"/>
      <c r="U1297" s="158"/>
      <c r="V1297" s="7"/>
      <c r="W1297" s="7"/>
      <c r="X1297" s="146"/>
      <c r="Y1297" s="7"/>
      <c r="Z1297" s="7"/>
      <c r="AA1297" s="7" t="str">
        <f>IFERROR((VLOOKUP(F1297,#REF!,2,FALSE)),"-")</f>
        <v>-</v>
      </c>
      <c r="AB1297" s="119" t="e">
        <f>CONCATENATE(F1297," - ",I1297," - ",#REF!,)</f>
        <v>#REF!</v>
      </c>
    </row>
    <row r="1298" spans="1:28" s="116" customFormat="1" ht="15">
      <c r="A1298" s="114"/>
      <c r="B1298" s="120"/>
      <c r="C1298" s="129" t="str">
        <f t="shared" si="60"/>
        <v>week-0</v>
      </c>
      <c r="D1298" s="120" t="str">
        <f t="shared" si="61"/>
        <v>Jan</v>
      </c>
      <c r="E1298" s="7"/>
      <c r="F1298" s="7"/>
      <c r="G1298" s="120"/>
      <c r="H1298" s="120"/>
      <c r="I1298" s="118"/>
      <c r="J1298" s="118"/>
      <c r="K1298" s="115"/>
      <c r="L1298" s="115"/>
      <c r="M1298" s="8"/>
      <c r="N1298" s="8" t="str">
        <f t="shared" si="62"/>
        <v>-</v>
      </c>
      <c r="O1298" s="126"/>
      <c r="P1298" s="127"/>
      <c r="Q1298" s="127"/>
      <c r="R1298" s="126"/>
      <c r="S1298" s="127"/>
      <c r="T1298" s="8"/>
      <c r="U1298" s="158"/>
      <c r="V1298" s="7"/>
      <c r="W1298" s="7"/>
      <c r="X1298" s="146"/>
      <c r="Y1298" s="7"/>
      <c r="Z1298" s="7"/>
      <c r="AA1298" s="7" t="str">
        <f>IFERROR((VLOOKUP(F1298,#REF!,2,FALSE)),"-")</f>
        <v>-</v>
      </c>
      <c r="AB1298" s="119" t="e">
        <f>CONCATENATE(F1298," - ",I1298," - ",#REF!,)</f>
        <v>#REF!</v>
      </c>
    </row>
    <row r="1299" spans="1:28" s="116" customFormat="1" ht="15">
      <c r="A1299" s="114"/>
      <c r="B1299" s="120"/>
      <c r="C1299" s="129" t="str">
        <f t="shared" si="60"/>
        <v>week-0</v>
      </c>
      <c r="D1299" s="120" t="str">
        <f t="shared" si="61"/>
        <v>Jan</v>
      </c>
      <c r="E1299" s="7"/>
      <c r="F1299" s="7"/>
      <c r="G1299" s="120"/>
      <c r="H1299" s="120"/>
      <c r="I1299" s="118"/>
      <c r="J1299" s="118"/>
      <c r="K1299" s="115"/>
      <c r="L1299" s="115"/>
      <c r="M1299" s="8"/>
      <c r="N1299" s="8" t="str">
        <f t="shared" si="62"/>
        <v>-</v>
      </c>
      <c r="O1299" s="126"/>
      <c r="P1299" s="127"/>
      <c r="Q1299" s="127"/>
      <c r="R1299" s="126"/>
      <c r="S1299" s="127"/>
      <c r="T1299" s="8"/>
      <c r="U1299" s="158"/>
      <c r="V1299" s="7"/>
      <c r="W1299" s="7"/>
      <c r="X1299" s="146"/>
      <c r="Y1299" s="7"/>
      <c r="Z1299" s="7"/>
      <c r="AA1299" s="7" t="str">
        <f>IFERROR((VLOOKUP(F1299,#REF!,2,FALSE)),"-")</f>
        <v>-</v>
      </c>
      <c r="AB1299" s="119" t="e">
        <f>CONCATENATE(F1299," - ",I1299," - ",#REF!,)</f>
        <v>#REF!</v>
      </c>
    </row>
    <row r="1300" spans="1:28" s="116" customFormat="1" ht="15">
      <c r="A1300" s="114"/>
      <c r="B1300" s="120"/>
      <c r="C1300" s="129" t="str">
        <f t="shared" si="60"/>
        <v>week-0</v>
      </c>
      <c r="D1300" s="120" t="str">
        <f t="shared" si="61"/>
        <v>Jan</v>
      </c>
      <c r="E1300" s="7"/>
      <c r="F1300" s="7"/>
      <c r="G1300" s="120"/>
      <c r="H1300" s="120"/>
      <c r="I1300" s="118"/>
      <c r="J1300" s="118"/>
      <c r="K1300" s="115"/>
      <c r="L1300" s="115"/>
      <c r="M1300" s="8"/>
      <c r="N1300" s="8" t="str">
        <f t="shared" si="62"/>
        <v>-</v>
      </c>
      <c r="O1300" s="126"/>
      <c r="P1300" s="127"/>
      <c r="Q1300" s="127"/>
      <c r="R1300" s="126"/>
      <c r="S1300" s="127"/>
      <c r="T1300" s="8"/>
      <c r="U1300" s="158"/>
      <c r="V1300" s="7"/>
      <c r="W1300" s="7"/>
      <c r="X1300" s="146"/>
      <c r="Y1300" s="7"/>
      <c r="Z1300" s="7"/>
      <c r="AA1300" s="7" t="str">
        <f>IFERROR((VLOOKUP(F1300,#REF!,2,FALSE)),"-")</f>
        <v>-</v>
      </c>
      <c r="AB1300" s="119" t="e">
        <f>CONCATENATE(F1300," - ",I1300," - ",#REF!,)</f>
        <v>#REF!</v>
      </c>
    </row>
    <row r="1301" spans="1:28" s="116" customFormat="1" ht="15">
      <c r="A1301" s="114"/>
      <c r="B1301" s="120"/>
      <c r="C1301" s="129" t="str">
        <f t="shared" si="60"/>
        <v>week-0</v>
      </c>
      <c r="D1301" s="120" t="str">
        <f t="shared" si="61"/>
        <v>Jan</v>
      </c>
      <c r="E1301" s="7"/>
      <c r="F1301" s="7"/>
      <c r="G1301" s="120"/>
      <c r="H1301" s="120"/>
      <c r="I1301" s="118"/>
      <c r="J1301" s="118"/>
      <c r="K1301" s="115"/>
      <c r="L1301" s="115"/>
      <c r="M1301" s="8"/>
      <c r="N1301" s="8" t="str">
        <f t="shared" si="62"/>
        <v>-</v>
      </c>
      <c r="O1301" s="126"/>
      <c r="P1301" s="127"/>
      <c r="Q1301" s="127"/>
      <c r="R1301" s="126"/>
      <c r="S1301" s="127"/>
      <c r="T1301" s="8"/>
      <c r="U1301" s="158"/>
      <c r="V1301" s="7"/>
      <c r="W1301" s="7"/>
      <c r="X1301" s="146"/>
      <c r="Y1301" s="7"/>
      <c r="Z1301" s="7"/>
      <c r="AA1301" s="7" t="str">
        <f>IFERROR((VLOOKUP(F1301,#REF!,2,FALSE)),"-")</f>
        <v>-</v>
      </c>
      <c r="AB1301" s="119" t="e">
        <f>CONCATENATE(F1301," - ",I1301," - ",#REF!,)</f>
        <v>#REF!</v>
      </c>
    </row>
    <row r="1302" spans="1:28" s="116" customFormat="1" ht="15">
      <c r="A1302" s="114"/>
      <c r="B1302" s="120"/>
      <c r="C1302" s="129" t="str">
        <f t="shared" si="60"/>
        <v>week-0</v>
      </c>
      <c r="D1302" s="120" t="str">
        <f t="shared" si="61"/>
        <v>Jan</v>
      </c>
      <c r="E1302" s="7"/>
      <c r="F1302" s="7"/>
      <c r="G1302" s="120"/>
      <c r="H1302" s="120"/>
      <c r="I1302" s="118"/>
      <c r="J1302" s="118"/>
      <c r="K1302" s="115"/>
      <c r="L1302" s="115"/>
      <c r="M1302" s="8"/>
      <c r="N1302" s="8" t="str">
        <f t="shared" si="62"/>
        <v>-</v>
      </c>
      <c r="O1302" s="126"/>
      <c r="P1302" s="127"/>
      <c r="Q1302" s="127"/>
      <c r="R1302" s="126"/>
      <c r="S1302" s="127"/>
      <c r="T1302" s="8"/>
      <c r="U1302" s="158"/>
      <c r="V1302" s="7"/>
      <c r="W1302" s="7"/>
      <c r="X1302" s="146"/>
      <c r="Y1302" s="7"/>
      <c r="Z1302" s="7"/>
      <c r="AA1302" s="7" t="str">
        <f>IFERROR((VLOOKUP(F1302,#REF!,2,FALSE)),"-")</f>
        <v>-</v>
      </c>
      <c r="AB1302" s="119" t="e">
        <f>CONCATENATE(F1302," - ",I1302," - ",#REF!,)</f>
        <v>#REF!</v>
      </c>
    </row>
    <row r="1303" spans="1:28" s="116" customFormat="1" ht="15">
      <c r="A1303" s="114"/>
      <c r="B1303" s="120"/>
      <c r="C1303" s="129" t="str">
        <f t="shared" si="60"/>
        <v>week-0</v>
      </c>
      <c r="D1303" s="120" t="str">
        <f t="shared" si="61"/>
        <v>Jan</v>
      </c>
      <c r="E1303" s="7"/>
      <c r="F1303" s="7"/>
      <c r="G1303" s="120"/>
      <c r="H1303" s="120"/>
      <c r="I1303" s="118"/>
      <c r="J1303" s="118"/>
      <c r="K1303" s="115"/>
      <c r="L1303" s="115"/>
      <c r="M1303" s="8"/>
      <c r="N1303" s="8" t="str">
        <f t="shared" si="62"/>
        <v>-</v>
      </c>
      <c r="O1303" s="126"/>
      <c r="P1303" s="127"/>
      <c r="Q1303" s="127"/>
      <c r="R1303" s="126"/>
      <c r="S1303" s="127"/>
      <c r="T1303" s="8"/>
      <c r="U1303" s="158"/>
      <c r="V1303" s="7"/>
      <c r="W1303" s="7"/>
      <c r="X1303" s="146"/>
      <c r="Y1303" s="7"/>
      <c r="Z1303" s="7"/>
      <c r="AA1303" s="7" t="str">
        <f>IFERROR((VLOOKUP(F1303,#REF!,2,FALSE)),"-")</f>
        <v>-</v>
      </c>
      <c r="AB1303" s="119" t="e">
        <f>CONCATENATE(F1303," - ",I1303," - ",#REF!,)</f>
        <v>#REF!</v>
      </c>
    </row>
    <row r="1304" spans="1:28" s="116" customFormat="1" ht="15">
      <c r="A1304" s="114"/>
      <c r="B1304" s="120"/>
      <c r="C1304" s="129" t="str">
        <f t="shared" si="60"/>
        <v>week-0</v>
      </c>
      <c r="D1304" s="120" t="str">
        <f t="shared" si="61"/>
        <v>Jan</v>
      </c>
      <c r="E1304" s="7"/>
      <c r="F1304" s="7"/>
      <c r="G1304" s="120"/>
      <c r="H1304" s="120"/>
      <c r="I1304" s="118"/>
      <c r="J1304" s="118"/>
      <c r="K1304" s="115"/>
      <c r="L1304" s="115"/>
      <c r="M1304" s="8"/>
      <c r="N1304" s="8" t="str">
        <f t="shared" si="62"/>
        <v>-</v>
      </c>
      <c r="O1304" s="126"/>
      <c r="P1304" s="127"/>
      <c r="Q1304" s="127"/>
      <c r="R1304" s="126"/>
      <c r="S1304" s="127"/>
      <c r="T1304" s="8"/>
      <c r="U1304" s="158"/>
      <c r="V1304" s="7"/>
      <c r="W1304" s="7"/>
      <c r="X1304" s="146"/>
      <c r="Y1304" s="7"/>
      <c r="Z1304" s="7"/>
      <c r="AA1304" s="7" t="str">
        <f>IFERROR((VLOOKUP(F1304,#REF!,2,FALSE)),"-")</f>
        <v>-</v>
      </c>
      <c r="AB1304" s="119" t="e">
        <f>CONCATENATE(F1304," - ",I1304," - ",#REF!,)</f>
        <v>#REF!</v>
      </c>
    </row>
    <row r="1305" spans="1:28" s="116" customFormat="1" ht="15">
      <c r="A1305" s="114"/>
      <c r="B1305" s="120"/>
      <c r="C1305" s="129" t="str">
        <f t="shared" si="60"/>
        <v>week-0</v>
      </c>
      <c r="D1305" s="120" t="str">
        <f t="shared" si="61"/>
        <v>Jan</v>
      </c>
      <c r="E1305" s="84"/>
      <c r="F1305" s="7"/>
      <c r="G1305" s="120"/>
      <c r="H1305" s="120"/>
      <c r="I1305" s="118"/>
      <c r="J1305" s="118"/>
      <c r="K1305" s="115"/>
      <c r="L1305" s="115"/>
      <c r="M1305" s="8"/>
      <c r="N1305" s="8" t="str">
        <f t="shared" si="62"/>
        <v>-</v>
      </c>
      <c r="O1305" s="126"/>
      <c r="P1305" s="127"/>
      <c r="Q1305" s="127"/>
      <c r="R1305" s="126"/>
      <c r="S1305" s="127"/>
      <c r="T1305" s="8"/>
      <c r="U1305" s="158"/>
      <c r="V1305" s="7"/>
      <c r="W1305" s="7"/>
      <c r="X1305" s="146"/>
      <c r="Y1305" s="7"/>
      <c r="Z1305" s="7"/>
      <c r="AA1305" s="7" t="str">
        <f>IFERROR((VLOOKUP(F1305,#REF!,2,FALSE)),"-")</f>
        <v>-</v>
      </c>
      <c r="AB1305" s="119" t="e">
        <f>CONCATENATE(F1305," - ",I1305," - ",#REF!,)</f>
        <v>#REF!</v>
      </c>
    </row>
    <row r="1306" spans="1:28" s="116" customFormat="1" ht="15">
      <c r="A1306" s="114"/>
      <c r="B1306" s="120"/>
      <c r="C1306" s="129" t="str">
        <f t="shared" si="60"/>
        <v>week-0</v>
      </c>
      <c r="D1306" s="120" t="str">
        <f t="shared" si="61"/>
        <v>Jan</v>
      </c>
      <c r="E1306" s="84"/>
      <c r="F1306" s="7"/>
      <c r="G1306" s="120"/>
      <c r="H1306" s="120"/>
      <c r="I1306" s="118"/>
      <c r="J1306" s="118"/>
      <c r="K1306" s="115"/>
      <c r="L1306" s="115"/>
      <c r="M1306" s="8"/>
      <c r="N1306" s="8" t="str">
        <f t="shared" si="62"/>
        <v>-</v>
      </c>
      <c r="O1306" s="126"/>
      <c r="P1306" s="127"/>
      <c r="Q1306" s="127"/>
      <c r="R1306" s="126"/>
      <c r="S1306" s="127"/>
      <c r="T1306" s="8"/>
      <c r="U1306" s="158"/>
      <c r="V1306" s="7"/>
      <c r="W1306" s="7"/>
      <c r="X1306" s="146"/>
      <c r="Y1306" s="7"/>
      <c r="Z1306" s="7"/>
      <c r="AA1306" s="7" t="str">
        <f>IFERROR((VLOOKUP(F1306,#REF!,2,FALSE)),"-")</f>
        <v>-</v>
      </c>
      <c r="AB1306" s="119" t="e">
        <f>CONCATENATE(F1306," - ",I1306," - ",#REF!,)</f>
        <v>#REF!</v>
      </c>
    </row>
    <row r="1307" spans="1:28" s="116" customFormat="1" ht="15">
      <c r="A1307" s="114"/>
      <c r="B1307" s="120"/>
      <c r="C1307" s="129" t="str">
        <f t="shared" si="60"/>
        <v>week-0</v>
      </c>
      <c r="D1307" s="120" t="str">
        <f t="shared" si="61"/>
        <v>Jan</v>
      </c>
      <c r="E1307" s="84"/>
      <c r="F1307" s="7"/>
      <c r="G1307" s="120"/>
      <c r="H1307" s="120"/>
      <c r="I1307" s="118"/>
      <c r="J1307" s="118"/>
      <c r="K1307" s="115"/>
      <c r="L1307" s="115"/>
      <c r="M1307" s="8"/>
      <c r="N1307" s="8" t="str">
        <f t="shared" si="62"/>
        <v>-</v>
      </c>
      <c r="O1307" s="126"/>
      <c r="P1307" s="127"/>
      <c r="Q1307" s="127"/>
      <c r="R1307" s="126"/>
      <c r="S1307" s="127"/>
      <c r="T1307" s="8"/>
      <c r="U1307" s="158"/>
      <c r="V1307" s="7"/>
      <c r="W1307" s="7"/>
      <c r="X1307" s="146"/>
      <c r="Y1307" s="7"/>
      <c r="Z1307" s="7"/>
      <c r="AA1307" s="7" t="str">
        <f>IFERROR((VLOOKUP(F1307,#REF!,2,FALSE)),"-")</f>
        <v>-</v>
      </c>
      <c r="AB1307" s="119" t="e">
        <f>CONCATENATE(F1307," - ",I1307," - ",#REF!,)</f>
        <v>#REF!</v>
      </c>
    </row>
    <row r="1308" spans="1:28" s="116" customFormat="1" ht="15">
      <c r="A1308" s="114"/>
      <c r="B1308" s="120"/>
      <c r="C1308" s="129" t="str">
        <f t="shared" si="60"/>
        <v>week-0</v>
      </c>
      <c r="D1308" s="120" t="str">
        <f t="shared" si="61"/>
        <v>Jan</v>
      </c>
      <c r="E1308" s="7"/>
      <c r="F1308" s="7"/>
      <c r="G1308" s="120"/>
      <c r="H1308" s="120"/>
      <c r="I1308" s="118"/>
      <c r="J1308" s="118"/>
      <c r="K1308" s="115"/>
      <c r="L1308" s="115"/>
      <c r="M1308" s="8"/>
      <c r="N1308" s="8" t="str">
        <f t="shared" si="62"/>
        <v>-</v>
      </c>
      <c r="O1308" s="126"/>
      <c r="P1308" s="127"/>
      <c r="Q1308" s="127"/>
      <c r="R1308" s="126"/>
      <c r="S1308" s="127"/>
      <c r="T1308" s="8"/>
      <c r="U1308" s="158"/>
      <c r="V1308" s="7"/>
      <c r="W1308" s="7"/>
      <c r="X1308" s="146"/>
      <c r="Y1308" s="7"/>
      <c r="Z1308" s="7"/>
      <c r="AA1308" s="7" t="str">
        <f>IFERROR((VLOOKUP(F1308,#REF!,2,FALSE)),"-")</f>
        <v>-</v>
      </c>
      <c r="AB1308" s="119" t="e">
        <f>CONCATENATE(F1308," - ",I1308," - ",#REF!,)</f>
        <v>#REF!</v>
      </c>
    </row>
    <row r="1309" spans="1:28" s="116" customFormat="1" ht="15">
      <c r="A1309" s="114"/>
      <c r="B1309" s="120"/>
      <c r="C1309" s="129" t="str">
        <f t="shared" si="60"/>
        <v>week-0</v>
      </c>
      <c r="D1309" s="120" t="str">
        <f t="shared" si="61"/>
        <v>Jan</v>
      </c>
      <c r="E1309" s="7"/>
      <c r="F1309" s="7"/>
      <c r="G1309" s="120"/>
      <c r="H1309" s="120"/>
      <c r="I1309" s="118"/>
      <c r="J1309" s="118"/>
      <c r="K1309" s="115"/>
      <c r="L1309" s="115"/>
      <c r="M1309" s="8"/>
      <c r="N1309" s="8" t="str">
        <f t="shared" si="62"/>
        <v>-</v>
      </c>
      <c r="O1309" s="126"/>
      <c r="P1309" s="127"/>
      <c r="Q1309" s="127"/>
      <c r="R1309" s="126"/>
      <c r="S1309" s="127"/>
      <c r="T1309" s="8"/>
      <c r="U1309" s="158"/>
      <c r="V1309" s="7"/>
      <c r="W1309" s="7"/>
      <c r="X1309" s="146"/>
      <c r="Y1309" s="7"/>
      <c r="Z1309" s="7"/>
      <c r="AA1309" s="7" t="str">
        <f>IFERROR((VLOOKUP(F1309,#REF!,2,FALSE)),"-")</f>
        <v>-</v>
      </c>
      <c r="AB1309" s="119" t="e">
        <f>CONCATENATE(F1309," - ",I1309," - ",#REF!,)</f>
        <v>#REF!</v>
      </c>
    </row>
    <row r="1310" spans="1:28" s="116" customFormat="1" ht="15">
      <c r="A1310" s="114"/>
      <c r="B1310" s="120"/>
      <c r="C1310" s="129" t="str">
        <f t="shared" si="60"/>
        <v>week-0</v>
      </c>
      <c r="D1310" s="120" t="str">
        <f t="shared" si="61"/>
        <v>Jan</v>
      </c>
      <c r="E1310" s="7"/>
      <c r="F1310" s="7"/>
      <c r="G1310" s="120"/>
      <c r="H1310" s="120"/>
      <c r="I1310" s="118"/>
      <c r="J1310" s="118"/>
      <c r="K1310" s="115"/>
      <c r="L1310" s="115"/>
      <c r="M1310" s="8"/>
      <c r="N1310" s="8" t="str">
        <f t="shared" si="62"/>
        <v>-</v>
      </c>
      <c r="O1310" s="126"/>
      <c r="P1310" s="127"/>
      <c r="Q1310" s="127"/>
      <c r="R1310" s="126"/>
      <c r="S1310" s="127"/>
      <c r="T1310" s="8"/>
      <c r="U1310" s="158"/>
      <c r="V1310" s="7"/>
      <c r="W1310" s="7"/>
      <c r="X1310" s="146"/>
      <c r="Y1310" s="7"/>
      <c r="Z1310" s="7"/>
      <c r="AA1310" s="7" t="str">
        <f>IFERROR((VLOOKUP(F1310,#REF!,2,FALSE)),"-")</f>
        <v>-</v>
      </c>
      <c r="AB1310" s="119" t="e">
        <f>CONCATENATE(F1310," - ",I1310," - ",#REF!,)</f>
        <v>#REF!</v>
      </c>
    </row>
    <row r="1311" spans="1:28" s="116" customFormat="1" ht="15">
      <c r="A1311" s="114"/>
      <c r="B1311" s="120"/>
      <c r="C1311" s="129" t="str">
        <f t="shared" si="60"/>
        <v>week-0</v>
      </c>
      <c r="D1311" s="120" t="str">
        <f t="shared" si="61"/>
        <v>Jan</v>
      </c>
      <c r="E1311" s="7"/>
      <c r="F1311" s="7"/>
      <c r="G1311" s="120"/>
      <c r="H1311" s="120"/>
      <c r="I1311" s="118"/>
      <c r="J1311" s="118"/>
      <c r="K1311" s="115"/>
      <c r="L1311" s="115"/>
      <c r="M1311" s="8"/>
      <c r="N1311" s="8" t="str">
        <f t="shared" si="62"/>
        <v>-</v>
      </c>
      <c r="O1311" s="126"/>
      <c r="P1311" s="127"/>
      <c r="Q1311" s="127"/>
      <c r="R1311" s="126"/>
      <c r="S1311" s="127"/>
      <c r="T1311" s="8"/>
      <c r="U1311" s="158"/>
      <c r="V1311" s="7"/>
      <c r="W1311" s="7"/>
      <c r="X1311" s="146"/>
      <c r="Y1311" s="7"/>
      <c r="Z1311" s="7"/>
      <c r="AA1311" s="7" t="str">
        <f>IFERROR((VLOOKUP(F1311,#REF!,2,FALSE)),"-")</f>
        <v>-</v>
      </c>
      <c r="AB1311" s="119" t="e">
        <f>CONCATENATE(F1311," - ",I1311," - ",#REF!,)</f>
        <v>#REF!</v>
      </c>
    </row>
    <row r="1312" spans="1:28" s="116" customFormat="1" ht="15">
      <c r="A1312" s="114"/>
      <c r="B1312" s="120"/>
      <c r="C1312" s="129" t="str">
        <f t="shared" si="60"/>
        <v>week-0</v>
      </c>
      <c r="D1312" s="120" t="str">
        <f t="shared" si="61"/>
        <v>Jan</v>
      </c>
      <c r="E1312" s="7"/>
      <c r="F1312" s="7"/>
      <c r="G1312" s="120"/>
      <c r="H1312" s="120"/>
      <c r="I1312" s="118"/>
      <c r="J1312" s="118"/>
      <c r="K1312" s="115"/>
      <c r="L1312" s="115"/>
      <c r="M1312" s="8"/>
      <c r="N1312" s="8" t="str">
        <f t="shared" si="62"/>
        <v>-</v>
      </c>
      <c r="O1312" s="126"/>
      <c r="P1312" s="127"/>
      <c r="Q1312" s="127"/>
      <c r="R1312" s="126"/>
      <c r="S1312" s="127"/>
      <c r="T1312" s="8"/>
      <c r="U1312" s="158"/>
      <c r="V1312" s="7"/>
      <c r="W1312" s="7"/>
      <c r="X1312" s="146"/>
      <c r="Y1312" s="7"/>
      <c r="Z1312" s="7"/>
      <c r="AA1312" s="7" t="str">
        <f>IFERROR((VLOOKUP(F1312,#REF!,2,FALSE)),"-")</f>
        <v>-</v>
      </c>
      <c r="AB1312" s="119" t="e">
        <f>CONCATENATE(F1312," - ",I1312," - ",#REF!,)</f>
        <v>#REF!</v>
      </c>
    </row>
    <row r="1313" spans="1:28" s="116" customFormat="1" ht="15">
      <c r="A1313" s="114"/>
      <c r="B1313" s="120"/>
      <c r="C1313" s="129" t="str">
        <f t="shared" si="60"/>
        <v>week-0</v>
      </c>
      <c r="D1313" s="120" t="str">
        <f t="shared" si="61"/>
        <v>Jan</v>
      </c>
      <c r="E1313" s="7"/>
      <c r="F1313" s="7"/>
      <c r="G1313" s="120"/>
      <c r="H1313" s="120"/>
      <c r="I1313" s="118"/>
      <c r="J1313" s="118"/>
      <c r="K1313" s="115"/>
      <c r="L1313" s="115"/>
      <c r="M1313" s="8"/>
      <c r="N1313" s="8" t="str">
        <f t="shared" si="62"/>
        <v>-</v>
      </c>
      <c r="O1313" s="126"/>
      <c r="P1313" s="127"/>
      <c r="Q1313" s="127"/>
      <c r="R1313" s="126"/>
      <c r="S1313" s="127"/>
      <c r="T1313" s="8"/>
      <c r="U1313" s="158"/>
      <c r="V1313" s="7"/>
      <c r="W1313" s="7"/>
      <c r="X1313" s="146"/>
      <c r="Y1313" s="7"/>
      <c r="Z1313" s="7"/>
      <c r="AA1313" s="7" t="str">
        <f>IFERROR((VLOOKUP(F1313,#REF!,2,FALSE)),"-")</f>
        <v>-</v>
      </c>
      <c r="AB1313" s="119" t="e">
        <f>CONCATENATE(F1313," - ",I1313," - ",#REF!,)</f>
        <v>#REF!</v>
      </c>
    </row>
    <row r="1314" spans="1:28" s="116" customFormat="1" ht="15">
      <c r="A1314" s="114"/>
      <c r="B1314" s="120"/>
      <c r="C1314" s="129" t="str">
        <f t="shared" si="60"/>
        <v>week-0</v>
      </c>
      <c r="D1314" s="120" t="str">
        <f t="shared" si="61"/>
        <v>Jan</v>
      </c>
      <c r="E1314" s="7"/>
      <c r="F1314" s="7"/>
      <c r="G1314" s="120"/>
      <c r="H1314" s="120"/>
      <c r="I1314" s="118"/>
      <c r="J1314" s="118"/>
      <c r="K1314" s="115"/>
      <c r="L1314" s="115"/>
      <c r="M1314" s="8"/>
      <c r="N1314" s="8" t="str">
        <f t="shared" si="62"/>
        <v>-</v>
      </c>
      <c r="O1314" s="126"/>
      <c r="P1314" s="127"/>
      <c r="Q1314" s="127"/>
      <c r="R1314" s="126"/>
      <c r="S1314" s="127"/>
      <c r="T1314" s="8"/>
      <c r="U1314" s="158"/>
      <c r="V1314" s="7"/>
      <c r="W1314" s="7"/>
      <c r="X1314" s="146"/>
      <c r="Y1314" s="7"/>
      <c r="Z1314" s="7"/>
      <c r="AA1314" s="7" t="str">
        <f>IFERROR((VLOOKUP(F1314,#REF!,2,FALSE)),"-")</f>
        <v>-</v>
      </c>
      <c r="AB1314" s="119" t="e">
        <f>CONCATENATE(F1314," - ",I1314," - ",#REF!,)</f>
        <v>#REF!</v>
      </c>
    </row>
    <row r="1315" spans="1:28" s="116" customFormat="1" ht="15">
      <c r="A1315" s="114"/>
      <c r="B1315" s="120"/>
      <c r="C1315" s="129" t="str">
        <f t="shared" si="60"/>
        <v>week-0</v>
      </c>
      <c r="D1315" s="120" t="str">
        <f t="shared" si="61"/>
        <v>Jan</v>
      </c>
      <c r="E1315" s="7"/>
      <c r="F1315" s="7"/>
      <c r="G1315" s="120"/>
      <c r="H1315" s="120"/>
      <c r="I1315" s="118"/>
      <c r="J1315" s="118"/>
      <c r="K1315" s="115"/>
      <c r="L1315" s="115"/>
      <c r="M1315" s="8"/>
      <c r="N1315" s="8" t="str">
        <f t="shared" si="62"/>
        <v>-</v>
      </c>
      <c r="O1315" s="126"/>
      <c r="P1315" s="127"/>
      <c r="Q1315" s="127"/>
      <c r="R1315" s="126"/>
      <c r="S1315" s="127"/>
      <c r="T1315" s="8"/>
      <c r="U1315" s="158"/>
      <c r="V1315" s="7"/>
      <c r="W1315" s="7"/>
      <c r="X1315" s="146"/>
      <c r="Y1315" s="7"/>
      <c r="Z1315" s="7"/>
      <c r="AA1315" s="7" t="str">
        <f>IFERROR((VLOOKUP(F1315,#REF!,2,FALSE)),"-")</f>
        <v>-</v>
      </c>
      <c r="AB1315" s="119" t="e">
        <f>CONCATENATE(F1315," - ",I1315," - ",#REF!,)</f>
        <v>#REF!</v>
      </c>
    </row>
    <row r="1316" spans="1:28" s="116" customFormat="1" ht="15">
      <c r="A1316" s="114"/>
      <c r="B1316" s="120"/>
      <c r="C1316" s="129" t="str">
        <f t="shared" si="60"/>
        <v>week-0</v>
      </c>
      <c r="D1316" s="120" t="str">
        <f t="shared" si="61"/>
        <v>Jan</v>
      </c>
      <c r="E1316" s="7"/>
      <c r="F1316" s="7"/>
      <c r="G1316" s="120"/>
      <c r="H1316" s="120"/>
      <c r="I1316" s="118"/>
      <c r="J1316" s="118"/>
      <c r="K1316" s="115"/>
      <c r="L1316" s="115"/>
      <c r="M1316" s="8"/>
      <c r="N1316" s="8" t="str">
        <f t="shared" si="62"/>
        <v>-</v>
      </c>
      <c r="O1316" s="126"/>
      <c r="P1316" s="127"/>
      <c r="Q1316" s="127"/>
      <c r="R1316" s="126"/>
      <c r="S1316" s="127"/>
      <c r="T1316" s="8"/>
      <c r="U1316" s="158"/>
      <c r="V1316" s="7"/>
      <c r="W1316" s="7"/>
      <c r="X1316" s="146"/>
      <c r="Y1316" s="7"/>
      <c r="Z1316" s="7"/>
      <c r="AA1316" s="7" t="str">
        <f>IFERROR((VLOOKUP(F1316,#REF!,2,FALSE)),"-")</f>
        <v>-</v>
      </c>
      <c r="AB1316" s="119" t="e">
        <f>CONCATENATE(F1316," - ",I1316," - ",#REF!,)</f>
        <v>#REF!</v>
      </c>
    </row>
    <row r="1317" spans="1:28" s="116" customFormat="1" ht="15">
      <c r="A1317" s="114"/>
      <c r="B1317" s="120"/>
      <c r="C1317" s="129" t="str">
        <f t="shared" si="60"/>
        <v>week-0</v>
      </c>
      <c r="D1317" s="120" t="str">
        <f t="shared" si="61"/>
        <v>Jan</v>
      </c>
      <c r="E1317" s="7"/>
      <c r="F1317" s="7"/>
      <c r="G1317" s="120"/>
      <c r="H1317" s="120"/>
      <c r="I1317" s="118"/>
      <c r="J1317" s="118"/>
      <c r="K1317" s="115"/>
      <c r="L1317" s="115"/>
      <c r="M1317" s="8"/>
      <c r="N1317" s="8" t="str">
        <f t="shared" si="62"/>
        <v>-</v>
      </c>
      <c r="O1317" s="126"/>
      <c r="P1317" s="127"/>
      <c r="Q1317" s="127"/>
      <c r="R1317" s="126"/>
      <c r="S1317" s="127"/>
      <c r="T1317" s="8"/>
      <c r="U1317" s="158"/>
      <c r="V1317" s="7"/>
      <c r="W1317" s="7"/>
      <c r="X1317" s="146"/>
      <c r="Y1317" s="7"/>
      <c r="Z1317" s="7"/>
      <c r="AA1317" s="7" t="str">
        <f>IFERROR((VLOOKUP(F1317,#REF!,2,FALSE)),"-")</f>
        <v>-</v>
      </c>
      <c r="AB1317" s="119" t="e">
        <f>CONCATENATE(F1317," - ",I1317," - ",#REF!,)</f>
        <v>#REF!</v>
      </c>
    </row>
    <row r="1318" spans="1:28" s="116" customFormat="1" ht="15">
      <c r="A1318" s="114"/>
      <c r="B1318" s="120"/>
      <c r="C1318" s="129" t="str">
        <f t="shared" si="60"/>
        <v>week-0</v>
      </c>
      <c r="D1318" s="120" t="str">
        <f t="shared" si="61"/>
        <v>Jan</v>
      </c>
      <c r="E1318" s="7"/>
      <c r="F1318" s="7"/>
      <c r="G1318" s="120"/>
      <c r="H1318" s="120"/>
      <c r="I1318" s="118"/>
      <c r="J1318" s="118"/>
      <c r="K1318" s="115"/>
      <c r="L1318" s="115"/>
      <c r="M1318" s="8"/>
      <c r="N1318" s="8" t="str">
        <f t="shared" si="62"/>
        <v>-</v>
      </c>
      <c r="O1318" s="126"/>
      <c r="P1318" s="127"/>
      <c r="Q1318" s="127"/>
      <c r="R1318" s="126"/>
      <c r="S1318" s="127"/>
      <c r="T1318" s="8"/>
      <c r="U1318" s="158"/>
      <c r="V1318" s="7"/>
      <c r="W1318" s="7"/>
      <c r="X1318" s="146"/>
      <c r="Y1318" s="7"/>
      <c r="Z1318" s="7"/>
      <c r="AA1318" s="7" t="str">
        <f>IFERROR((VLOOKUP(F1318,#REF!,2,FALSE)),"-")</f>
        <v>-</v>
      </c>
      <c r="AB1318" s="119" t="e">
        <f>CONCATENATE(F1318," - ",I1318," - ",#REF!,)</f>
        <v>#REF!</v>
      </c>
    </row>
    <row r="1319" spans="1:28" s="116" customFormat="1" ht="15">
      <c r="A1319" s="114"/>
      <c r="B1319" s="120"/>
      <c r="C1319" s="129" t="str">
        <f t="shared" si="60"/>
        <v>week-0</v>
      </c>
      <c r="D1319" s="120" t="str">
        <f t="shared" si="61"/>
        <v>Jan</v>
      </c>
      <c r="E1319" s="7"/>
      <c r="F1319" s="7"/>
      <c r="G1319" s="120"/>
      <c r="H1319" s="120"/>
      <c r="I1319" s="118"/>
      <c r="J1319" s="118"/>
      <c r="K1319" s="115"/>
      <c r="L1319" s="115"/>
      <c r="M1319" s="8"/>
      <c r="N1319" s="8" t="str">
        <f t="shared" si="62"/>
        <v>-</v>
      </c>
      <c r="O1319" s="126"/>
      <c r="P1319" s="127"/>
      <c r="Q1319" s="127"/>
      <c r="R1319" s="126"/>
      <c r="S1319" s="127"/>
      <c r="T1319" s="8"/>
      <c r="U1319" s="158"/>
      <c r="V1319" s="7"/>
      <c r="W1319" s="7"/>
      <c r="X1319" s="146"/>
      <c r="Y1319" s="7"/>
      <c r="Z1319" s="7"/>
      <c r="AA1319" s="7" t="str">
        <f>IFERROR((VLOOKUP(F1319,#REF!,2,FALSE)),"-")</f>
        <v>-</v>
      </c>
      <c r="AB1319" s="119" t="e">
        <f>CONCATENATE(F1319," - ",I1319," - ",#REF!,)</f>
        <v>#REF!</v>
      </c>
    </row>
    <row r="1320" spans="1:28" s="116" customFormat="1" ht="15">
      <c r="A1320" s="114"/>
      <c r="B1320" s="120"/>
      <c r="C1320" s="129" t="str">
        <f t="shared" si="60"/>
        <v>week-0</v>
      </c>
      <c r="D1320" s="120" t="str">
        <f t="shared" si="61"/>
        <v>Jan</v>
      </c>
      <c r="E1320" s="7"/>
      <c r="F1320" s="7"/>
      <c r="G1320" s="120"/>
      <c r="H1320" s="120"/>
      <c r="I1320" s="118"/>
      <c r="J1320" s="118"/>
      <c r="K1320" s="115"/>
      <c r="L1320" s="115"/>
      <c r="M1320" s="8"/>
      <c r="N1320" s="8" t="str">
        <f t="shared" si="62"/>
        <v>-</v>
      </c>
      <c r="O1320" s="126"/>
      <c r="P1320" s="127"/>
      <c r="Q1320" s="127"/>
      <c r="R1320" s="126"/>
      <c r="S1320" s="127"/>
      <c r="T1320" s="8"/>
      <c r="U1320" s="158"/>
      <c r="V1320" s="7"/>
      <c r="W1320" s="7"/>
      <c r="X1320" s="146"/>
      <c r="Y1320" s="7"/>
      <c r="Z1320" s="7"/>
      <c r="AA1320" s="7" t="str">
        <f>IFERROR((VLOOKUP(F1320,#REF!,2,FALSE)),"-")</f>
        <v>-</v>
      </c>
      <c r="AB1320" s="119" t="e">
        <f>CONCATENATE(F1320," - ",I1320," - ",#REF!,)</f>
        <v>#REF!</v>
      </c>
    </row>
    <row r="1321" spans="1:28" s="116" customFormat="1" ht="15">
      <c r="A1321" s="114"/>
      <c r="B1321" s="120"/>
      <c r="C1321" s="129" t="str">
        <f t="shared" si="60"/>
        <v>week-0</v>
      </c>
      <c r="D1321" s="120" t="str">
        <f t="shared" si="61"/>
        <v>Jan</v>
      </c>
      <c r="E1321" s="7"/>
      <c r="F1321" s="7"/>
      <c r="G1321" s="120"/>
      <c r="H1321" s="120"/>
      <c r="I1321" s="118"/>
      <c r="J1321" s="118"/>
      <c r="K1321" s="115"/>
      <c r="L1321" s="115"/>
      <c r="M1321" s="8"/>
      <c r="N1321" s="8" t="str">
        <f t="shared" si="62"/>
        <v>-</v>
      </c>
      <c r="O1321" s="126"/>
      <c r="P1321" s="127"/>
      <c r="Q1321" s="127"/>
      <c r="R1321" s="126"/>
      <c r="S1321" s="127"/>
      <c r="T1321" s="8"/>
      <c r="U1321" s="158"/>
      <c r="V1321" s="7"/>
      <c r="W1321" s="7"/>
      <c r="X1321" s="146"/>
      <c r="Y1321" s="7"/>
      <c r="Z1321" s="7"/>
      <c r="AA1321" s="7" t="str">
        <f>IFERROR((VLOOKUP(F1321,#REF!,2,FALSE)),"-")</f>
        <v>-</v>
      </c>
      <c r="AB1321" s="119" t="e">
        <f>CONCATENATE(F1321," - ",I1321," - ",#REF!,)</f>
        <v>#REF!</v>
      </c>
    </row>
    <row r="1322" spans="1:28" s="116" customFormat="1" ht="15">
      <c r="A1322" s="114"/>
      <c r="B1322" s="120"/>
      <c r="C1322" s="129" t="str">
        <f t="shared" si="60"/>
        <v>week-0</v>
      </c>
      <c r="D1322" s="120" t="str">
        <f t="shared" si="61"/>
        <v>Jan</v>
      </c>
      <c r="E1322" s="7"/>
      <c r="F1322" s="7"/>
      <c r="G1322" s="120"/>
      <c r="H1322" s="120"/>
      <c r="I1322" s="118"/>
      <c r="J1322" s="118"/>
      <c r="K1322" s="115"/>
      <c r="L1322" s="115"/>
      <c r="M1322" s="8"/>
      <c r="N1322" s="8" t="str">
        <f t="shared" si="62"/>
        <v>-</v>
      </c>
      <c r="O1322" s="126"/>
      <c r="P1322" s="127"/>
      <c r="Q1322" s="127"/>
      <c r="R1322" s="126"/>
      <c r="S1322" s="127"/>
      <c r="T1322" s="8"/>
      <c r="U1322" s="158"/>
      <c r="V1322" s="7"/>
      <c r="W1322" s="7"/>
      <c r="X1322" s="146"/>
      <c r="Y1322" s="7"/>
      <c r="Z1322" s="7"/>
      <c r="AA1322" s="7" t="str">
        <f>IFERROR((VLOOKUP(F1322,#REF!,2,FALSE)),"-")</f>
        <v>-</v>
      </c>
      <c r="AB1322" s="119" t="e">
        <f>CONCATENATE(F1322," - ",I1322," - ",#REF!,)</f>
        <v>#REF!</v>
      </c>
    </row>
    <row r="1323" spans="1:28" s="116" customFormat="1" ht="15">
      <c r="A1323" s="114"/>
      <c r="B1323" s="120"/>
      <c r="C1323" s="129" t="str">
        <f t="shared" si="60"/>
        <v>week-0</v>
      </c>
      <c r="D1323" s="120" t="str">
        <f t="shared" si="61"/>
        <v>Jan</v>
      </c>
      <c r="E1323" s="7"/>
      <c r="F1323" s="7"/>
      <c r="G1323" s="120"/>
      <c r="H1323" s="120"/>
      <c r="I1323" s="118"/>
      <c r="J1323" s="118"/>
      <c r="K1323" s="115"/>
      <c r="L1323" s="115"/>
      <c r="M1323" s="8"/>
      <c r="N1323" s="8" t="str">
        <f t="shared" si="62"/>
        <v>-</v>
      </c>
      <c r="O1323" s="126"/>
      <c r="P1323" s="127"/>
      <c r="Q1323" s="127"/>
      <c r="R1323" s="126"/>
      <c r="S1323" s="127"/>
      <c r="T1323" s="8"/>
      <c r="U1323" s="158"/>
      <c r="V1323" s="7"/>
      <c r="W1323" s="7"/>
      <c r="X1323" s="146"/>
      <c r="Y1323" s="7"/>
      <c r="Z1323" s="7"/>
      <c r="AA1323" s="7" t="str">
        <f>IFERROR((VLOOKUP(F1323,#REF!,2,FALSE)),"-")</f>
        <v>-</v>
      </c>
      <c r="AB1323" s="119" t="e">
        <f>CONCATENATE(F1323," - ",I1323," - ",#REF!,)</f>
        <v>#REF!</v>
      </c>
    </row>
    <row r="1324" spans="1:28" s="116" customFormat="1" ht="15">
      <c r="A1324" s="114"/>
      <c r="B1324" s="120"/>
      <c r="C1324" s="129" t="str">
        <f t="shared" si="60"/>
        <v>week-0</v>
      </c>
      <c r="D1324" s="120" t="str">
        <f t="shared" si="61"/>
        <v>Jan</v>
      </c>
      <c r="E1324" s="7"/>
      <c r="F1324" s="7"/>
      <c r="G1324" s="120"/>
      <c r="H1324" s="120"/>
      <c r="I1324" s="118"/>
      <c r="J1324" s="118"/>
      <c r="K1324" s="115"/>
      <c r="L1324" s="115"/>
      <c r="M1324" s="8"/>
      <c r="N1324" s="8" t="str">
        <f t="shared" si="62"/>
        <v>-</v>
      </c>
      <c r="O1324" s="126"/>
      <c r="P1324" s="127"/>
      <c r="Q1324" s="127"/>
      <c r="R1324" s="126"/>
      <c r="S1324" s="127"/>
      <c r="T1324" s="8"/>
      <c r="U1324" s="158"/>
      <c r="V1324" s="7"/>
      <c r="W1324" s="7"/>
      <c r="X1324" s="146"/>
      <c r="Y1324" s="7"/>
      <c r="Z1324" s="7"/>
      <c r="AA1324" s="7" t="str">
        <f>IFERROR((VLOOKUP(F1324,#REF!,2,FALSE)),"-")</f>
        <v>-</v>
      </c>
      <c r="AB1324" s="119" t="e">
        <f>CONCATENATE(F1324," - ",I1324," - ",#REF!,)</f>
        <v>#REF!</v>
      </c>
    </row>
    <row r="1325" spans="1:28" s="116" customFormat="1" ht="15">
      <c r="A1325" s="114"/>
      <c r="B1325" s="120"/>
      <c r="C1325" s="129" t="str">
        <f t="shared" si="60"/>
        <v>week-0</v>
      </c>
      <c r="D1325" s="120" t="str">
        <f t="shared" si="61"/>
        <v>Jan</v>
      </c>
      <c r="E1325" s="7"/>
      <c r="F1325" s="7"/>
      <c r="G1325" s="120"/>
      <c r="H1325" s="120"/>
      <c r="I1325" s="118"/>
      <c r="J1325" s="118"/>
      <c r="K1325" s="115"/>
      <c r="L1325" s="115"/>
      <c r="M1325" s="8"/>
      <c r="N1325" s="8" t="str">
        <f t="shared" si="62"/>
        <v>-</v>
      </c>
      <c r="O1325" s="126"/>
      <c r="P1325" s="127"/>
      <c r="Q1325" s="127"/>
      <c r="R1325" s="126"/>
      <c r="S1325" s="127"/>
      <c r="T1325" s="8"/>
      <c r="U1325" s="158"/>
      <c r="V1325" s="7"/>
      <c r="W1325" s="7"/>
      <c r="X1325" s="146"/>
      <c r="Y1325" s="7"/>
      <c r="Z1325" s="7"/>
      <c r="AA1325" s="7" t="str">
        <f>IFERROR((VLOOKUP(F1325,#REF!,2,FALSE)),"-")</f>
        <v>-</v>
      </c>
      <c r="AB1325" s="119" t="e">
        <f>CONCATENATE(F1325," - ",I1325," - ",#REF!,)</f>
        <v>#REF!</v>
      </c>
    </row>
    <row r="1326" spans="1:28" s="116" customFormat="1" ht="15">
      <c r="A1326" s="114"/>
      <c r="B1326" s="120"/>
      <c r="C1326" s="129" t="str">
        <f t="shared" si="60"/>
        <v>week-0</v>
      </c>
      <c r="D1326" s="120" t="str">
        <f t="shared" si="61"/>
        <v>Jan</v>
      </c>
      <c r="E1326" s="7"/>
      <c r="F1326" s="7"/>
      <c r="G1326" s="120"/>
      <c r="H1326" s="120"/>
      <c r="I1326" s="118"/>
      <c r="J1326" s="118"/>
      <c r="K1326" s="115"/>
      <c r="L1326" s="115"/>
      <c r="M1326" s="8"/>
      <c r="N1326" s="8" t="str">
        <f t="shared" si="62"/>
        <v>-</v>
      </c>
      <c r="O1326" s="126"/>
      <c r="P1326" s="127"/>
      <c r="Q1326" s="127"/>
      <c r="R1326" s="126"/>
      <c r="S1326" s="127"/>
      <c r="T1326" s="8"/>
      <c r="U1326" s="158"/>
      <c r="V1326" s="7"/>
      <c r="W1326" s="7"/>
      <c r="X1326" s="146"/>
      <c r="Y1326" s="7"/>
      <c r="Z1326" s="7"/>
      <c r="AA1326" s="7" t="str">
        <f>IFERROR((VLOOKUP(F1326,#REF!,2,FALSE)),"-")</f>
        <v>-</v>
      </c>
      <c r="AB1326" s="119" t="e">
        <f>CONCATENATE(F1326," - ",I1326," - ",#REF!,)</f>
        <v>#REF!</v>
      </c>
    </row>
    <row r="1327" spans="1:28" s="116" customFormat="1" ht="15">
      <c r="A1327" s="114"/>
      <c r="B1327" s="120"/>
      <c r="C1327" s="129" t="str">
        <f t="shared" si="60"/>
        <v>week-0</v>
      </c>
      <c r="D1327" s="120" t="str">
        <f t="shared" si="61"/>
        <v>Jan</v>
      </c>
      <c r="E1327" s="7"/>
      <c r="F1327" s="7"/>
      <c r="G1327" s="120"/>
      <c r="H1327" s="120"/>
      <c r="I1327" s="118"/>
      <c r="J1327" s="118"/>
      <c r="K1327" s="115"/>
      <c r="L1327" s="115"/>
      <c r="M1327" s="8"/>
      <c r="N1327" s="8" t="str">
        <f t="shared" si="62"/>
        <v>-</v>
      </c>
      <c r="O1327" s="126"/>
      <c r="P1327" s="127"/>
      <c r="Q1327" s="127"/>
      <c r="R1327" s="126"/>
      <c r="S1327" s="127"/>
      <c r="T1327" s="8"/>
      <c r="U1327" s="158"/>
      <c r="V1327" s="7"/>
      <c r="W1327" s="7"/>
      <c r="X1327" s="146"/>
      <c r="Y1327" s="7"/>
      <c r="Z1327" s="7"/>
      <c r="AA1327" s="7" t="str">
        <f>IFERROR((VLOOKUP(F1327,#REF!,2,FALSE)),"-")</f>
        <v>-</v>
      </c>
      <c r="AB1327" s="119" t="e">
        <f>CONCATENATE(F1327," - ",I1327," - ",#REF!,)</f>
        <v>#REF!</v>
      </c>
    </row>
    <row r="1328" spans="1:28" s="116" customFormat="1" ht="15">
      <c r="A1328" s="114"/>
      <c r="B1328" s="120"/>
      <c r="C1328" s="129" t="str">
        <f t="shared" si="60"/>
        <v>week-0</v>
      </c>
      <c r="D1328" s="120" t="str">
        <f t="shared" si="61"/>
        <v>Jan</v>
      </c>
      <c r="E1328" s="7"/>
      <c r="F1328" s="7"/>
      <c r="G1328" s="120"/>
      <c r="H1328" s="120"/>
      <c r="I1328" s="118"/>
      <c r="J1328" s="118"/>
      <c r="K1328" s="115"/>
      <c r="L1328" s="115"/>
      <c r="M1328" s="8"/>
      <c r="N1328" s="8" t="str">
        <f t="shared" si="62"/>
        <v>-</v>
      </c>
      <c r="O1328" s="126"/>
      <c r="P1328" s="127"/>
      <c r="Q1328" s="127"/>
      <c r="R1328" s="126"/>
      <c r="S1328" s="127"/>
      <c r="T1328" s="8"/>
      <c r="U1328" s="158"/>
      <c r="V1328" s="7"/>
      <c r="W1328" s="7"/>
      <c r="X1328" s="146"/>
      <c r="Y1328" s="7"/>
      <c r="Z1328" s="7"/>
      <c r="AA1328" s="7" t="str">
        <f>IFERROR((VLOOKUP(F1328,#REF!,2,FALSE)),"-")</f>
        <v>-</v>
      </c>
      <c r="AB1328" s="119" t="e">
        <f>CONCATENATE(F1328," - ",I1328," - ",#REF!,)</f>
        <v>#REF!</v>
      </c>
    </row>
    <row r="1329" spans="1:28" s="116" customFormat="1" ht="15">
      <c r="A1329" s="114"/>
      <c r="B1329" s="120"/>
      <c r="C1329" s="129" t="str">
        <f t="shared" si="60"/>
        <v>week-0</v>
      </c>
      <c r="D1329" s="120" t="str">
        <f t="shared" si="61"/>
        <v>Jan</v>
      </c>
      <c r="E1329" s="7"/>
      <c r="F1329" s="7"/>
      <c r="G1329" s="120"/>
      <c r="H1329" s="120"/>
      <c r="I1329" s="118"/>
      <c r="J1329" s="118"/>
      <c r="K1329" s="115"/>
      <c r="L1329" s="115"/>
      <c r="M1329" s="8"/>
      <c r="N1329" s="8" t="str">
        <f t="shared" si="62"/>
        <v>-</v>
      </c>
      <c r="O1329" s="126"/>
      <c r="P1329" s="127"/>
      <c r="Q1329" s="127"/>
      <c r="R1329" s="126"/>
      <c r="S1329" s="127"/>
      <c r="T1329" s="8"/>
      <c r="U1329" s="158"/>
      <c r="V1329" s="7"/>
      <c r="W1329" s="7"/>
      <c r="X1329" s="146"/>
      <c r="Y1329" s="7"/>
      <c r="Z1329" s="7"/>
      <c r="AA1329" s="7" t="str">
        <f>IFERROR((VLOOKUP(F1329,#REF!,2,FALSE)),"-")</f>
        <v>-</v>
      </c>
      <c r="AB1329" s="119" t="e">
        <f>CONCATENATE(F1329," - ",I1329," - ",#REF!,)</f>
        <v>#REF!</v>
      </c>
    </row>
    <row r="1330" spans="1:28" s="116" customFormat="1" ht="15">
      <c r="A1330" s="114"/>
      <c r="B1330" s="120"/>
      <c r="C1330" s="129" t="str">
        <f t="shared" si="60"/>
        <v>week-0</v>
      </c>
      <c r="D1330" s="120" t="str">
        <f t="shared" si="61"/>
        <v>Jan</v>
      </c>
      <c r="E1330" s="7"/>
      <c r="F1330" s="7"/>
      <c r="G1330" s="120"/>
      <c r="H1330" s="120"/>
      <c r="I1330" s="118"/>
      <c r="J1330" s="118"/>
      <c r="K1330" s="115"/>
      <c r="L1330" s="115"/>
      <c r="M1330" s="8"/>
      <c r="N1330" s="8" t="str">
        <f t="shared" si="62"/>
        <v>-</v>
      </c>
      <c r="O1330" s="126"/>
      <c r="P1330" s="127"/>
      <c r="Q1330" s="127"/>
      <c r="R1330" s="126"/>
      <c r="S1330" s="127"/>
      <c r="T1330" s="8"/>
      <c r="U1330" s="158"/>
      <c r="V1330" s="7"/>
      <c r="W1330" s="7"/>
      <c r="X1330" s="146"/>
      <c r="Y1330" s="7"/>
      <c r="Z1330" s="7"/>
      <c r="AA1330" s="7" t="str">
        <f>IFERROR((VLOOKUP(F1330,#REF!,2,FALSE)),"-")</f>
        <v>-</v>
      </c>
      <c r="AB1330" s="119" t="e">
        <f>CONCATENATE(F1330," - ",I1330," - ",#REF!,)</f>
        <v>#REF!</v>
      </c>
    </row>
    <row r="1331" spans="1:28" s="116" customFormat="1" ht="15">
      <c r="A1331" s="114"/>
      <c r="B1331" s="120"/>
      <c r="C1331" s="129" t="str">
        <f t="shared" si="60"/>
        <v>week-0</v>
      </c>
      <c r="D1331" s="120" t="str">
        <f t="shared" si="61"/>
        <v>Jan</v>
      </c>
      <c r="E1331" s="7"/>
      <c r="F1331" s="7"/>
      <c r="G1331" s="120"/>
      <c r="H1331" s="120"/>
      <c r="I1331" s="118"/>
      <c r="J1331" s="118"/>
      <c r="K1331" s="115"/>
      <c r="L1331" s="115"/>
      <c r="M1331" s="8"/>
      <c r="N1331" s="8" t="str">
        <f t="shared" si="62"/>
        <v>-</v>
      </c>
      <c r="O1331" s="126"/>
      <c r="P1331" s="127"/>
      <c r="Q1331" s="127"/>
      <c r="R1331" s="126"/>
      <c r="S1331" s="127"/>
      <c r="T1331" s="8"/>
      <c r="U1331" s="158"/>
      <c r="V1331" s="7"/>
      <c r="W1331" s="7"/>
      <c r="X1331" s="146"/>
      <c r="Y1331" s="7"/>
      <c r="Z1331" s="7"/>
      <c r="AA1331" s="7" t="str">
        <f>IFERROR((VLOOKUP(F1331,#REF!,2,FALSE)),"-")</f>
        <v>-</v>
      </c>
      <c r="AB1331" s="119" t="e">
        <f>CONCATENATE(F1331," - ",I1331," - ",#REF!,)</f>
        <v>#REF!</v>
      </c>
    </row>
    <row r="1332" spans="1:28" s="116" customFormat="1" ht="15">
      <c r="A1332" s="114"/>
      <c r="B1332" s="120"/>
      <c r="C1332" s="129" t="str">
        <f t="shared" si="60"/>
        <v>week-0</v>
      </c>
      <c r="D1332" s="120" t="str">
        <f t="shared" si="61"/>
        <v>Jan</v>
      </c>
      <c r="E1332" s="7"/>
      <c r="F1332" s="7"/>
      <c r="G1332" s="120"/>
      <c r="H1332" s="120"/>
      <c r="I1332" s="118"/>
      <c r="J1332" s="118"/>
      <c r="K1332" s="115"/>
      <c r="L1332" s="115"/>
      <c r="M1332" s="8"/>
      <c r="N1332" s="8" t="str">
        <f t="shared" si="62"/>
        <v>-</v>
      </c>
      <c r="O1332" s="126"/>
      <c r="P1332" s="127"/>
      <c r="Q1332" s="127"/>
      <c r="R1332" s="126"/>
      <c r="S1332" s="127"/>
      <c r="T1332" s="8"/>
      <c r="U1332" s="158"/>
      <c r="V1332" s="7"/>
      <c r="W1332" s="7"/>
      <c r="X1332" s="146"/>
      <c r="Y1332" s="7"/>
      <c r="Z1332" s="7"/>
      <c r="AA1332" s="7" t="str">
        <f>IFERROR((VLOOKUP(F1332,#REF!,2,FALSE)),"-")</f>
        <v>-</v>
      </c>
      <c r="AB1332" s="119" t="e">
        <f>CONCATENATE(F1332," - ",I1332," - ",#REF!,)</f>
        <v>#REF!</v>
      </c>
    </row>
    <row r="1333" spans="1:28" s="116" customFormat="1" ht="15">
      <c r="A1333" s="114"/>
      <c r="B1333" s="120"/>
      <c r="C1333" s="129" t="str">
        <f t="shared" si="60"/>
        <v>week-0</v>
      </c>
      <c r="D1333" s="120" t="str">
        <f t="shared" si="61"/>
        <v>Jan</v>
      </c>
      <c r="E1333" s="7"/>
      <c r="F1333" s="7"/>
      <c r="G1333" s="120"/>
      <c r="H1333" s="120"/>
      <c r="I1333" s="118"/>
      <c r="J1333" s="118"/>
      <c r="K1333" s="115"/>
      <c r="L1333" s="115"/>
      <c r="M1333" s="8"/>
      <c r="N1333" s="8" t="str">
        <f t="shared" si="62"/>
        <v>-</v>
      </c>
      <c r="O1333" s="126"/>
      <c r="P1333" s="127"/>
      <c r="Q1333" s="127"/>
      <c r="R1333" s="126"/>
      <c r="S1333" s="127"/>
      <c r="T1333" s="8"/>
      <c r="U1333" s="158"/>
      <c r="V1333" s="7"/>
      <c r="W1333" s="7"/>
      <c r="X1333" s="146"/>
      <c r="Y1333" s="7"/>
      <c r="Z1333" s="7"/>
      <c r="AA1333" s="7" t="str">
        <f>IFERROR((VLOOKUP(F1333,#REF!,2,FALSE)),"-")</f>
        <v>-</v>
      </c>
      <c r="AB1333" s="119" t="e">
        <f>CONCATENATE(F1333," - ",I1333," - ",#REF!,)</f>
        <v>#REF!</v>
      </c>
    </row>
    <row r="1334" spans="1:28" s="116" customFormat="1" ht="15">
      <c r="A1334" s="114"/>
      <c r="B1334" s="120"/>
      <c r="C1334" s="129" t="str">
        <f t="shared" si="60"/>
        <v>week-0</v>
      </c>
      <c r="D1334" s="120" t="str">
        <f t="shared" si="61"/>
        <v>Jan</v>
      </c>
      <c r="E1334" s="7"/>
      <c r="F1334" s="7"/>
      <c r="G1334" s="120"/>
      <c r="H1334" s="120"/>
      <c r="I1334" s="118"/>
      <c r="J1334" s="118"/>
      <c r="K1334" s="115"/>
      <c r="L1334" s="115"/>
      <c r="M1334" s="8"/>
      <c r="N1334" s="8" t="str">
        <f t="shared" si="62"/>
        <v>-</v>
      </c>
      <c r="O1334" s="126"/>
      <c r="P1334" s="127"/>
      <c r="Q1334" s="127"/>
      <c r="R1334" s="126"/>
      <c r="S1334" s="127"/>
      <c r="T1334" s="8"/>
      <c r="U1334" s="158"/>
      <c r="V1334" s="7"/>
      <c r="W1334" s="7"/>
      <c r="X1334" s="146"/>
      <c r="Y1334" s="7"/>
      <c r="Z1334" s="7"/>
      <c r="AA1334" s="7" t="str">
        <f>IFERROR((VLOOKUP(F1334,#REF!,2,FALSE)),"-")</f>
        <v>-</v>
      </c>
      <c r="AB1334" s="119" t="e">
        <f>CONCATENATE(F1334," - ",I1334," - ",#REF!,)</f>
        <v>#REF!</v>
      </c>
    </row>
    <row r="1335" spans="1:28" s="116" customFormat="1" ht="15">
      <c r="A1335" s="114"/>
      <c r="B1335" s="120"/>
      <c r="C1335" s="129" t="str">
        <f t="shared" si="60"/>
        <v>week-0</v>
      </c>
      <c r="D1335" s="120" t="str">
        <f t="shared" si="61"/>
        <v>Jan</v>
      </c>
      <c r="E1335" s="7"/>
      <c r="F1335" s="7"/>
      <c r="G1335" s="120"/>
      <c r="H1335" s="120"/>
      <c r="I1335" s="118"/>
      <c r="J1335" s="118"/>
      <c r="K1335" s="115"/>
      <c r="L1335" s="115"/>
      <c r="M1335" s="8"/>
      <c r="N1335" s="8" t="str">
        <f t="shared" si="62"/>
        <v>-</v>
      </c>
      <c r="O1335" s="126"/>
      <c r="P1335" s="127"/>
      <c r="Q1335" s="127"/>
      <c r="R1335" s="126"/>
      <c r="S1335" s="127"/>
      <c r="T1335" s="8"/>
      <c r="U1335" s="158"/>
      <c r="V1335" s="7"/>
      <c r="W1335" s="7"/>
      <c r="X1335" s="146"/>
      <c r="Y1335" s="7"/>
      <c r="Z1335" s="7"/>
      <c r="AA1335" s="7" t="str">
        <f>IFERROR((VLOOKUP(F1335,#REF!,2,FALSE)),"-")</f>
        <v>-</v>
      </c>
      <c r="AB1335" s="119" t="e">
        <f>CONCATENATE(F1335," - ",I1335," - ",#REF!,)</f>
        <v>#REF!</v>
      </c>
    </row>
    <row r="1336" spans="1:28" s="116" customFormat="1" ht="15">
      <c r="A1336" s="114"/>
      <c r="B1336" s="120"/>
      <c r="C1336" s="129" t="str">
        <f t="shared" si="60"/>
        <v>week-0</v>
      </c>
      <c r="D1336" s="120" t="str">
        <f t="shared" si="61"/>
        <v>Jan</v>
      </c>
      <c r="E1336" s="7"/>
      <c r="F1336" s="7"/>
      <c r="G1336" s="120"/>
      <c r="H1336" s="120"/>
      <c r="I1336" s="118"/>
      <c r="J1336" s="118"/>
      <c r="K1336" s="115"/>
      <c r="L1336" s="115"/>
      <c r="M1336" s="8"/>
      <c r="N1336" s="8" t="str">
        <f t="shared" si="62"/>
        <v>-</v>
      </c>
      <c r="O1336" s="126"/>
      <c r="P1336" s="127"/>
      <c r="Q1336" s="127"/>
      <c r="R1336" s="126"/>
      <c r="S1336" s="127"/>
      <c r="T1336" s="8"/>
      <c r="U1336" s="158"/>
      <c r="V1336" s="7"/>
      <c r="W1336" s="7"/>
      <c r="X1336" s="146"/>
      <c r="Y1336" s="7"/>
      <c r="Z1336" s="7"/>
      <c r="AA1336" s="7" t="str">
        <f>IFERROR((VLOOKUP(F1336,#REF!,2,FALSE)),"-")</f>
        <v>-</v>
      </c>
      <c r="AB1336" s="119" t="e">
        <f>CONCATENATE(F1336," - ",I1336," - ",#REF!,)</f>
        <v>#REF!</v>
      </c>
    </row>
    <row r="1337" spans="1:28" s="116" customFormat="1" ht="15">
      <c r="A1337" s="114"/>
      <c r="B1337" s="120"/>
      <c r="C1337" s="129" t="str">
        <f t="shared" si="60"/>
        <v>week-0</v>
      </c>
      <c r="D1337" s="120" t="str">
        <f t="shared" si="61"/>
        <v>Jan</v>
      </c>
      <c r="E1337" s="7"/>
      <c r="F1337" s="7"/>
      <c r="G1337" s="120"/>
      <c r="H1337" s="120"/>
      <c r="I1337" s="118"/>
      <c r="J1337" s="118"/>
      <c r="K1337" s="115"/>
      <c r="L1337" s="115"/>
      <c r="M1337" s="8"/>
      <c r="N1337" s="8" t="str">
        <f t="shared" si="62"/>
        <v>-</v>
      </c>
      <c r="O1337" s="126"/>
      <c r="P1337" s="127"/>
      <c r="Q1337" s="127"/>
      <c r="R1337" s="126"/>
      <c r="S1337" s="127"/>
      <c r="T1337" s="8"/>
      <c r="U1337" s="158"/>
      <c r="V1337" s="7"/>
      <c r="W1337" s="7"/>
      <c r="X1337" s="146"/>
      <c r="Y1337" s="7"/>
      <c r="Z1337" s="7"/>
      <c r="AA1337" s="7" t="str">
        <f>IFERROR((VLOOKUP(F1337,#REF!,2,FALSE)),"-")</f>
        <v>-</v>
      </c>
      <c r="AB1337" s="119" t="e">
        <f>CONCATENATE(F1337," - ",I1337," - ",#REF!,)</f>
        <v>#REF!</v>
      </c>
    </row>
    <row r="1338" spans="1:28" s="116" customFormat="1" ht="15">
      <c r="A1338" s="114"/>
      <c r="B1338" s="120"/>
      <c r="C1338" s="129" t="str">
        <f t="shared" si="60"/>
        <v>week-0</v>
      </c>
      <c r="D1338" s="120" t="str">
        <f t="shared" si="61"/>
        <v>Jan</v>
      </c>
      <c r="E1338" s="7"/>
      <c r="F1338" s="7"/>
      <c r="G1338" s="120"/>
      <c r="H1338" s="120"/>
      <c r="I1338" s="118"/>
      <c r="J1338" s="118"/>
      <c r="K1338" s="115"/>
      <c r="L1338" s="115"/>
      <c r="M1338" s="8"/>
      <c r="N1338" s="8" t="str">
        <f t="shared" si="62"/>
        <v>-</v>
      </c>
      <c r="O1338" s="126"/>
      <c r="P1338" s="127"/>
      <c r="Q1338" s="127"/>
      <c r="R1338" s="126"/>
      <c r="S1338" s="127"/>
      <c r="T1338" s="8"/>
      <c r="U1338" s="158"/>
      <c r="V1338" s="7"/>
      <c r="W1338" s="7"/>
      <c r="X1338" s="146"/>
      <c r="Y1338" s="7"/>
      <c r="Z1338" s="7"/>
      <c r="AA1338" s="7" t="str">
        <f>IFERROR((VLOOKUP(F1338,#REF!,2,FALSE)),"-")</f>
        <v>-</v>
      </c>
      <c r="AB1338" s="119" t="e">
        <f>CONCATENATE(F1338," - ",I1338," - ",#REF!,)</f>
        <v>#REF!</v>
      </c>
    </row>
    <row r="1339" spans="1:28" s="116" customFormat="1" ht="15">
      <c r="A1339" s="114"/>
      <c r="B1339" s="120"/>
      <c r="C1339" s="129" t="str">
        <f t="shared" si="60"/>
        <v>week-0</v>
      </c>
      <c r="D1339" s="120" t="str">
        <f t="shared" si="61"/>
        <v>Jan</v>
      </c>
      <c r="E1339" s="7"/>
      <c r="F1339" s="7"/>
      <c r="G1339" s="120"/>
      <c r="H1339" s="120"/>
      <c r="I1339" s="118"/>
      <c r="J1339" s="118"/>
      <c r="K1339" s="115"/>
      <c r="L1339" s="115"/>
      <c r="M1339" s="8"/>
      <c r="N1339" s="8" t="str">
        <f t="shared" si="62"/>
        <v>-</v>
      </c>
      <c r="O1339" s="126"/>
      <c r="P1339" s="127"/>
      <c r="Q1339" s="127"/>
      <c r="R1339" s="126"/>
      <c r="S1339" s="127"/>
      <c r="T1339" s="8"/>
      <c r="U1339" s="158"/>
      <c r="V1339" s="7"/>
      <c r="W1339" s="7"/>
      <c r="X1339" s="146"/>
      <c r="Y1339" s="7"/>
      <c r="Z1339" s="7"/>
      <c r="AA1339" s="7" t="str">
        <f>IFERROR((VLOOKUP(F1339,#REF!,2,FALSE)),"-")</f>
        <v>-</v>
      </c>
      <c r="AB1339" s="119" t="e">
        <f>CONCATENATE(F1339," - ",I1339," - ",#REF!,)</f>
        <v>#REF!</v>
      </c>
    </row>
    <row r="1340" spans="1:28" s="116" customFormat="1" ht="15">
      <c r="A1340" s="114"/>
      <c r="B1340" s="120"/>
      <c r="C1340" s="129" t="str">
        <f t="shared" si="60"/>
        <v>week-0</v>
      </c>
      <c r="D1340" s="120" t="str">
        <f t="shared" si="61"/>
        <v>Jan</v>
      </c>
      <c r="E1340" s="7"/>
      <c r="F1340" s="7"/>
      <c r="G1340" s="120"/>
      <c r="H1340" s="120"/>
      <c r="I1340" s="118"/>
      <c r="J1340" s="118"/>
      <c r="K1340" s="115"/>
      <c r="L1340" s="115"/>
      <c r="M1340" s="8"/>
      <c r="N1340" s="8" t="str">
        <f t="shared" si="62"/>
        <v>-</v>
      </c>
      <c r="O1340" s="126"/>
      <c r="P1340" s="127"/>
      <c r="Q1340" s="127"/>
      <c r="R1340" s="126"/>
      <c r="S1340" s="127"/>
      <c r="T1340" s="8"/>
      <c r="U1340" s="158"/>
      <c r="V1340" s="7"/>
      <c r="W1340" s="7"/>
      <c r="X1340" s="146"/>
      <c r="Y1340" s="7"/>
      <c r="Z1340" s="7"/>
      <c r="AA1340" s="7" t="str">
        <f>IFERROR((VLOOKUP(F1340,#REF!,2,FALSE)),"-")</f>
        <v>-</v>
      </c>
      <c r="AB1340" s="119" t="e">
        <f>CONCATENATE(F1340," - ",I1340," - ",#REF!,)</f>
        <v>#REF!</v>
      </c>
    </row>
    <row r="1341" spans="1:28" s="116" customFormat="1" ht="15">
      <c r="A1341" s="114"/>
      <c r="B1341" s="120"/>
      <c r="C1341" s="129" t="str">
        <f t="shared" si="60"/>
        <v>week-0</v>
      </c>
      <c r="D1341" s="120" t="str">
        <f t="shared" si="61"/>
        <v>Jan</v>
      </c>
      <c r="E1341" s="7"/>
      <c r="F1341" s="7"/>
      <c r="G1341" s="120"/>
      <c r="H1341" s="120"/>
      <c r="I1341" s="118"/>
      <c r="J1341" s="118"/>
      <c r="K1341" s="115"/>
      <c r="L1341" s="115"/>
      <c r="M1341" s="8"/>
      <c r="N1341" s="8" t="str">
        <f t="shared" si="62"/>
        <v>-</v>
      </c>
      <c r="O1341" s="126"/>
      <c r="P1341" s="127"/>
      <c r="Q1341" s="127"/>
      <c r="R1341" s="126"/>
      <c r="S1341" s="127"/>
      <c r="T1341" s="8"/>
      <c r="U1341" s="158"/>
      <c r="V1341" s="7"/>
      <c r="W1341" s="7"/>
      <c r="X1341" s="146"/>
      <c r="Y1341" s="7"/>
      <c r="Z1341" s="7"/>
      <c r="AA1341" s="7" t="str">
        <f>IFERROR((VLOOKUP(F1341,#REF!,2,FALSE)),"-")</f>
        <v>-</v>
      </c>
      <c r="AB1341" s="119" t="e">
        <f>CONCATENATE(F1341," - ",I1341," - ",#REF!,)</f>
        <v>#REF!</v>
      </c>
    </row>
    <row r="1342" spans="1:28" s="116" customFormat="1" ht="15">
      <c r="A1342" s="114"/>
      <c r="B1342" s="120"/>
      <c r="C1342" s="129" t="str">
        <f t="shared" si="60"/>
        <v>week-0</v>
      </c>
      <c r="D1342" s="120" t="str">
        <f t="shared" si="61"/>
        <v>Jan</v>
      </c>
      <c r="E1342" s="7"/>
      <c r="F1342" s="7"/>
      <c r="G1342" s="120"/>
      <c r="H1342" s="120"/>
      <c r="I1342" s="118"/>
      <c r="J1342" s="118"/>
      <c r="K1342" s="115"/>
      <c r="L1342" s="115"/>
      <c r="M1342" s="8"/>
      <c r="N1342" s="8" t="str">
        <f t="shared" si="62"/>
        <v>-</v>
      </c>
      <c r="O1342" s="126"/>
      <c r="P1342" s="127"/>
      <c r="Q1342" s="127"/>
      <c r="R1342" s="126"/>
      <c r="S1342" s="127"/>
      <c r="T1342" s="8"/>
      <c r="U1342" s="158"/>
      <c r="V1342" s="7"/>
      <c r="W1342" s="7"/>
      <c r="X1342" s="146"/>
      <c r="Y1342" s="7"/>
      <c r="Z1342" s="7"/>
      <c r="AA1342" s="7" t="str">
        <f>IFERROR((VLOOKUP(F1342,#REF!,2,FALSE)),"-")</f>
        <v>-</v>
      </c>
      <c r="AB1342" s="119" t="e">
        <f>CONCATENATE(F1342," - ",I1342," - ",#REF!,)</f>
        <v>#REF!</v>
      </c>
    </row>
    <row r="1343" spans="1:28" s="116" customFormat="1" ht="15">
      <c r="A1343" s="114"/>
      <c r="B1343" s="120"/>
      <c r="C1343" s="129" t="str">
        <f t="shared" si="60"/>
        <v>week-0</v>
      </c>
      <c r="D1343" s="120" t="str">
        <f t="shared" si="61"/>
        <v>Jan</v>
      </c>
      <c r="E1343" s="7"/>
      <c r="F1343" s="7"/>
      <c r="G1343" s="120"/>
      <c r="H1343" s="120"/>
      <c r="I1343" s="118"/>
      <c r="J1343" s="118"/>
      <c r="K1343" s="115"/>
      <c r="L1343" s="115"/>
      <c r="M1343" s="8"/>
      <c r="N1343" s="8" t="str">
        <f t="shared" si="62"/>
        <v>-</v>
      </c>
      <c r="O1343" s="126"/>
      <c r="P1343" s="127"/>
      <c r="Q1343" s="127"/>
      <c r="R1343" s="126"/>
      <c r="S1343" s="127"/>
      <c r="T1343" s="8"/>
      <c r="U1343" s="158"/>
      <c r="V1343" s="7"/>
      <c r="W1343" s="7"/>
      <c r="X1343" s="146"/>
      <c r="Y1343" s="7"/>
      <c r="Z1343" s="7"/>
      <c r="AA1343" s="7" t="str">
        <f>IFERROR((VLOOKUP(F1343,#REF!,2,FALSE)),"-")</f>
        <v>-</v>
      </c>
      <c r="AB1343" s="119" t="e">
        <f>CONCATENATE(F1343," - ",I1343," - ",#REF!,)</f>
        <v>#REF!</v>
      </c>
    </row>
    <row r="1344" spans="1:28" s="116" customFormat="1" ht="15">
      <c r="A1344" s="114"/>
      <c r="B1344" s="120"/>
      <c r="C1344" s="129" t="str">
        <f t="shared" si="60"/>
        <v>week-0</v>
      </c>
      <c r="D1344" s="120" t="str">
        <f t="shared" si="61"/>
        <v>Jan</v>
      </c>
      <c r="E1344" s="7"/>
      <c r="F1344" s="7"/>
      <c r="G1344" s="120"/>
      <c r="H1344" s="120"/>
      <c r="I1344" s="118"/>
      <c r="J1344" s="118"/>
      <c r="K1344" s="115"/>
      <c r="L1344" s="115"/>
      <c r="M1344" s="8"/>
      <c r="N1344" s="8" t="str">
        <f t="shared" si="62"/>
        <v>-</v>
      </c>
      <c r="O1344" s="127"/>
      <c r="P1344" s="127"/>
      <c r="Q1344" s="127"/>
      <c r="R1344" s="127"/>
      <c r="S1344" s="127"/>
      <c r="T1344" s="139"/>
      <c r="U1344" s="158"/>
      <c r="V1344" s="7"/>
      <c r="W1344" s="7"/>
      <c r="X1344" s="146"/>
      <c r="Y1344" s="7"/>
      <c r="Z1344" s="7"/>
      <c r="AA1344" s="7" t="str">
        <f>IFERROR((VLOOKUP(F1344,#REF!,2,FALSE)),"-")</f>
        <v>-</v>
      </c>
      <c r="AB1344" s="119" t="e">
        <f>CONCATENATE(F1344," - ",I1344," - ",#REF!,)</f>
        <v>#REF!</v>
      </c>
    </row>
    <row r="1345" spans="1:28" s="116" customFormat="1" ht="15">
      <c r="A1345" s="114"/>
      <c r="B1345" s="120"/>
      <c r="C1345" s="129" t="str">
        <f t="shared" si="60"/>
        <v>week-0</v>
      </c>
      <c r="D1345" s="120" t="str">
        <f t="shared" si="61"/>
        <v>Jan</v>
      </c>
      <c r="E1345" s="7"/>
      <c r="F1345" s="7"/>
      <c r="G1345" s="120"/>
      <c r="H1345" s="120"/>
      <c r="I1345" s="118"/>
      <c r="J1345" s="118"/>
      <c r="K1345" s="115"/>
      <c r="L1345" s="115"/>
      <c r="M1345" s="8"/>
      <c r="N1345" s="8" t="str">
        <f t="shared" si="62"/>
        <v>-</v>
      </c>
      <c r="O1345" s="126"/>
      <c r="P1345" s="127"/>
      <c r="Q1345" s="127"/>
      <c r="R1345" s="126"/>
      <c r="S1345" s="127"/>
      <c r="T1345" s="8"/>
      <c r="U1345" s="158"/>
      <c r="V1345" s="7"/>
      <c r="W1345" s="7"/>
      <c r="X1345" s="146"/>
      <c r="Y1345" s="7"/>
      <c r="Z1345" s="7"/>
      <c r="AA1345" s="7" t="str">
        <f>IFERROR((VLOOKUP(F1345,#REF!,2,FALSE)),"-")</f>
        <v>-</v>
      </c>
      <c r="AB1345" s="119" t="e">
        <f>CONCATENATE(F1345," - ",I1345," - ",#REF!,)</f>
        <v>#REF!</v>
      </c>
    </row>
    <row r="1346" spans="1:28" s="116" customFormat="1" ht="15">
      <c r="A1346" s="114"/>
      <c r="B1346" s="120"/>
      <c r="C1346" s="129" t="str">
        <f t="shared" si="60"/>
        <v>week-0</v>
      </c>
      <c r="D1346" s="120" t="str">
        <f t="shared" si="61"/>
        <v>Jan</v>
      </c>
      <c r="E1346" s="7"/>
      <c r="F1346" s="7"/>
      <c r="G1346" s="120"/>
      <c r="H1346" s="120"/>
      <c r="I1346" s="118"/>
      <c r="J1346" s="118"/>
      <c r="K1346" s="115"/>
      <c r="L1346" s="115"/>
      <c r="M1346" s="8"/>
      <c r="N1346" s="8" t="str">
        <f t="shared" si="62"/>
        <v>-</v>
      </c>
      <c r="O1346" s="126"/>
      <c r="P1346" s="127"/>
      <c r="Q1346" s="127"/>
      <c r="R1346" s="126"/>
      <c r="S1346" s="127"/>
      <c r="T1346" s="8"/>
      <c r="U1346" s="158"/>
      <c r="V1346" s="7"/>
      <c r="W1346" s="7"/>
      <c r="X1346" s="146"/>
      <c r="Y1346" s="7"/>
      <c r="Z1346" s="7"/>
      <c r="AA1346" s="7" t="str">
        <f>IFERROR((VLOOKUP(F1346,#REF!,2,FALSE)),"-")</f>
        <v>-</v>
      </c>
      <c r="AB1346" s="119" t="e">
        <f>CONCATENATE(F1346," - ",I1346," - ",#REF!,)</f>
        <v>#REF!</v>
      </c>
    </row>
    <row r="1347" spans="1:28" s="116" customFormat="1" ht="15">
      <c r="A1347" s="114"/>
      <c r="B1347" s="120"/>
      <c r="C1347" s="129" t="str">
        <f t="shared" si="60"/>
        <v>week-0</v>
      </c>
      <c r="D1347" s="120" t="str">
        <f t="shared" si="61"/>
        <v>Jan</v>
      </c>
      <c r="E1347" s="7"/>
      <c r="F1347" s="7"/>
      <c r="G1347" s="120"/>
      <c r="H1347" s="120"/>
      <c r="I1347" s="118"/>
      <c r="J1347" s="118"/>
      <c r="K1347" s="115"/>
      <c r="L1347" s="115"/>
      <c r="M1347" s="8"/>
      <c r="N1347" s="8" t="str">
        <f t="shared" si="62"/>
        <v>-</v>
      </c>
      <c r="O1347" s="126"/>
      <c r="P1347" s="127"/>
      <c r="Q1347" s="127"/>
      <c r="R1347" s="126"/>
      <c r="S1347" s="127"/>
      <c r="T1347" s="8"/>
      <c r="U1347" s="158"/>
      <c r="V1347" s="7"/>
      <c r="W1347" s="7"/>
      <c r="X1347" s="146"/>
      <c r="Y1347" s="7"/>
      <c r="Z1347" s="7"/>
      <c r="AA1347" s="7" t="str">
        <f>IFERROR((VLOOKUP(F1347,#REF!,2,FALSE)),"-")</f>
        <v>-</v>
      </c>
      <c r="AB1347" s="119" t="e">
        <f>CONCATENATE(F1347," - ",I1347," - ",#REF!,)</f>
        <v>#REF!</v>
      </c>
    </row>
    <row r="1348" spans="1:28" s="116" customFormat="1" ht="15">
      <c r="A1348" s="114"/>
      <c r="B1348" s="120"/>
      <c r="C1348" s="129" t="str">
        <f t="shared" ref="C1348:C1411" si="63">"week-"&amp;WEEKNUM(B1348)</f>
        <v>week-0</v>
      </c>
      <c r="D1348" s="120" t="str">
        <f t="shared" ref="D1348:D1413" si="64">TEXT(B1348,"mmm")</f>
        <v>Jan</v>
      </c>
      <c r="E1348" s="7"/>
      <c r="F1348" s="7"/>
      <c r="G1348" s="120"/>
      <c r="H1348" s="120"/>
      <c r="I1348" s="118"/>
      <c r="J1348" s="118"/>
      <c r="K1348" s="115"/>
      <c r="L1348" s="115"/>
      <c r="M1348" s="8"/>
      <c r="N1348" s="8" t="str">
        <f t="shared" ref="N1348:N1411" si="65">IF(ISBLANK(M1348),"-",(M1348/60))</f>
        <v>-</v>
      </c>
      <c r="O1348" s="126"/>
      <c r="P1348" s="127"/>
      <c r="Q1348" s="127"/>
      <c r="R1348" s="126"/>
      <c r="S1348" s="127"/>
      <c r="T1348" s="8"/>
      <c r="U1348" s="158"/>
      <c r="V1348" s="7"/>
      <c r="W1348" s="7"/>
      <c r="X1348" s="146"/>
      <c r="Y1348" s="7"/>
      <c r="Z1348" s="7"/>
      <c r="AA1348" s="7" t="str">
        <f>IFERROR((VLOOKUP(F1348,#REF!,2,FALSE)),"-")</f>
        <v>-</v>
      </c>
      <c r="AB1348" s="119" t="e">
        <f>CONCATENATE(F1348," - ",I1348," - ",#REF!,)</f>
        <v>#REF!</v>
      </c>
    </row>
    <row r="1349" spans="1:28" s="116" customFormat="1" ht="15">
      <c r="A1349" s="114"/>
      <c r="B1349" s="120"/>
      <c r="C1349" s="129" t="str">
        <f t="shared" si="63"/>
        <v>week-0</v>
      </c>
      <c r="D1349" s="120" t="str">
        <f t="shared" si="64"/>
        <v>Jan</v>
      </c>
      <c r="E1349" s="7"/>
      <c r="F1349" s="7"/>
      <c r="G1349" s="120"/>
      <c r="H1349" s="120"/>
      <c r="I1349" s="118"/>
      <c r="J1349" s="118"/>
      <c r="K1349" s="115"/>
      <c r="L1349" s="115"/>
      <c r="M1349" s="8"/>
      <c r="N1349" s="8" t="str">
        <f t="shared" si="65"/>
        <v>-</v>
      </c>
      <c r="O1349" s="127"/>
      <c r="P1349" s="127"/>
      <c r="Q1349" s="127"/>
      <c r="R1349" s="127"/>
      <c r="S1349" s="127"/>
      <c r="T1349" s="139"/>
      <c r="U1349" s="158"/>
      <c r="V1349" s="7"/>
      <c r="W1349" s="7"/>
      <c r="X1349" s="146"/>
      <c r="Y1349" s="7"/>
      <c r="Z1349" s="7"/>
      <c r="AA1349" s="7" t="str">
        <f>IFERROR((VLOOKUP(F1349,#REF!,2,FALSE)),"-")</f>
        <v>-</v>
      </c>
      <c r="AB1349" s="119" t="e">
        <f>CONCATENATE(F1349," - ",I1349," - ",#REF!,)</f>
        <v>#REF!</v>
      </c>
    </row>
    <row r="1350" spans="1:28" s="116" customFormat="1" ht="15">
      <c r="A1350" s="114"/>
      <c r="B1350" s="120"/>
      <c r="C1350" s="129" t="str">
        <f t="shared" si="63"/>
        <v>week-0</v>
      </c>
      <c r="D1350" s="120" t="str">
        <f t="shared" si="64"/>
        <v>Jan</v>
      </c>
      <c r="E1350" s="7"/>
      <c r="F1350" s="7"/>
      <c r="G1350" s="120"/>
      <c r="H1350" s="120"/>
      <c r="I1350" s="118"/>
      <c r="J1350" s="118"/>
      <c r="K1350" s="115"/>
      <c r="L1350" s="115"/>
      <c r="M1350" s="8"/>
      <c r="N1350" s="8" t="str">
        <f t="shared" si="65"/>
        <v>-</v>
      </c>
      <c r="O1350" s="126"/>
      <c r="P1350" s="127"/>
      <c r="Q1350" s="127"/>
      <c r="R1350" s="126"/>
      <c r="S1350" s="127"/>
      <c r="T1350" s="8"/>
      <c r="U1350" s="158"/>
      <c r="V1350" s="7"/>
      <c r="W1350" s="7"/>
      <c r="X1350" s="146"/>
      <c r="Y1350" s="7"/>
      <c r="Z1350" s="7"/>
      <c r="AA1350" s="7" t="str">
        <f>IFERROR((VLOOKUP(F1350,#REF!,2,FALSE)),"-")</f>
        <v>-</v>
      </c>
      <c r="AB1350" s="119" t="e">
        <f>CONCATENATE(F1350," - ",I1350," - ",#REF!,)</f>
        <v>#REF!</v>
      </c>
    </row>
    <row r="1351" spans="1:28" s="116" customFormat="1" ht="15">
      <c r="A1351" s="114"/>
      <c r="B1351" s="120"/>
      <c r="C1351" s="129" t="str">
        <f t="shared" si="63"/>
        <v>week-0</v>
      </c>
      <c r="D1351" s="120" t="str">
        <f t="shared" si="64"/>
        <v>Jan</v>
      </c>
      <c r="E1351" s="7"/>
      <c r="F1351" s="7"/>
      <c r="G1351" s="120"/>
      <c r="H1351" s="120"/>
      <c r="I1351" s="118"/>
      <c r="J1351" s="118"/>
      <c r="K1351" s="115"/>
      <c r="L1351" s="115"/>
      <c r="M1351" s="8"/>
      <c r="N1351" s="8" t="str">
        <f t="shared" si="65"/>
        <v>-</v>
      </c>
      <c r="O1351" s="126"/>
      <c r="P1351" s="127"/>
      <c r="Q1351" s="127"/>
      <c r="R1351" s="126"/>
      <c r="S1351" s="127"/>
      <c r="T1351" s="8"/>
      <c r="U1351" s="158"/>
      <c r="V1351" s="7"/>
      <c r="W1351" s="7"/>
      <c r="X1351" s="146"/>
      <c r="Y1351" s="7"/>
      <c r="Z1351" s="7"/>
      <c r="AA1351" s="7" t="str">
        <f>IFERROR((VLOOKUP(F1351,#REF!,2,FALSE)),"-")</f>
        <v>-</v>
      </c>
      <c r="AB1351" s="119" t="e">
        <f>CONCATENATE(F1351," - ",I1351," - ",#REF!,)</f>
        <v>#REF!</v>
      </c>
    </row>
    <row r="1352" spans="1:28" s="116" customFormat="1" ht="15">
      <c r="A1352" s="114"/>
      <c r="B1352" s="120"/>
      <c r="C1352" s="129" t="str">
        <f t="shared" si="63"/>
        <v>week-0</v>
      </c>
      <c r="D1352" s="120" t="str">
        <f t="shared" si="64"/>
        <v>Jan</v>
      </c>
      <c r="E1352" s="7"/>
      <c r="F1352" s="7"/>
      <c r="G1352" s="120"/>
      <c r="H1352" s="120"/>
      <c r="I1352" s="118"/>
      <c r="J1352" s="118"/>
      <c r="K1352" s="115"/>
      <c r="L1352" s="115"/>
      <c r="M1352" s="8"/>
      <c r="N1352" s="8" t="str">
        <f t="shared" si="65"/>
        <v>-</v>
      </c>
      <c r="O1352" s="126"/>
      <c r="P1352" s="127"/>
      <c r="Q1352" s="127"/>
      <c r="R1352" s="126"/>
      <c r="S1352" s="127"/>
      <c r="T1352" s="8"/>
      <c r="U1352" s="158"/>
      <c r="V1352" s="7"/>
      <c r="W1352" s="7"/>
      <c r="X1352" s="146"/>
      <c r="Y1352" s="7"/>
      <c r="Z1352" s="7"/>
      <c r="AA1352" s="7" t="str">
        <f>IFERROR((VLOOKUP(F1352,#REF!,2,FALSE)),"-")</f>
        <v>-</v>
      </c>
      <c r="AB1352" s="119" t="e">
        <f>CONCATENATE(F1352," - ",I1352," - ",#REF!,)</f>
        <v>#REF!</v>
      </c>
    </row>
    <row r="1353" spans="1:28" s="116" customFormat="1" ht="15">
      <c r="A1353" s="114"/>
      <c r="B1353" s="120"/>
      <c r="C1353" s="129" t="str">
        <f t="shared" si="63"/>
        <v>week-0</v>
      </c>
      <c r="D1353" s="120" t="str">
        <f t="shared" si="64"/>
        <v>Jan</v>
      </c>
      <c r="E1353" s="7"/>
      <c r="F1353" s="7"/>
      <c r="G1353" s="120"/>
      <c r="H1353" s="120"/>
      <c r="I1353" s="118"/>
      <c r="J1353" s="118"/>
      <c r="K1353" s="115"/>
      <c r="L1353" s="115"/>
      <c r="M1353" s="8"/>
      <c r="N1353" s="8" t="str">
        <f t="shared" si="65"/>
        <v>-</v>
      </c>
      <c r="O1353" s="126"/>
      <c r="P1353" s="127"/>
      <c r="Q1353" s="127"/>
      <c r="R1353" s="126"/>
      <c r="S1353" s="127"/>
      <c r="T1353" s="8"/>
      <c r="U1353" s="158"/>
      <c r="V1353" s="7"/>
      <c r="W1353" s="7"/>
      <c r="X1353" s="146"/>
      <c r="Y1353" s="7"/>
      <c r="Z1353" s="7"/>
      <c r="AA1353" s="7" t="str">
        <f>IFERROR((VLOOKUP(F1353,#REF!,2,FALSE)),"-")</f>
        <v>-</v>
      </c>
      <c r="AB1353" s="119" t="e">
        <f>CONCATENATE(F1353," - ",I1353," - ",#REF!,)</f>
        <v>#REF!</v>
      </c>
    </row>
    <row r="1354" spans="1:28" s="116" customFormat="1" ht="15">
      <c r="A1354" s="114"/>
      <c r="B1354" s="120"/>
      <c r="C1354" s="129" t="str">
        <f t="shared" si="63"/>
        <v>week-0</v>
      </c>
      <c r="D1354" s="120" t="str">
        <f t="shared" si="64"/>
        <v>Jan</v>
      </c>
      <c r="E1354" s="7"/>
      <c r="F1354" s="7"/>
      <c r="G1354" s="120"/>
      <c r="H1354" s="120"/>
      <c r="I1354" s="118"/>
      <c r="J1354" s="118"/>
      <c r="K1354" s="115"/>
      <c r="L1354" s="115"/>
      <c r="M1354" s="8"/>
      <c r="N1354" s="8" t="str">
        <f t="shared" si="65"/>
        <v>-</v>
      </c>
      <c r="O1354" s="126"/>
      <c r="P1354" s="127"/>
      <c r="Q1354" s="127"/>
      <c r="R1354" s="126"/>
      <c r="S1354" s="127"/>
      <c r="T1354" s="8"/>
      <c r="U1354" s="158"/>
      <c r="V1354" s="7"/>
      <c r="W1354" s="7"/>
      <c r="X1354" s="146"/>
      <c r="Y1354" s="7"/>
      <c r="Z1354" s="7"/>
      <c r="AA1354" s="7" t="str">
        <f>IFERROR((VLOOKUP(F1354,#REF!,2,FALSE)),"-")</f>
        <v>-</v>
      </c>
      <c r="AB1354" s="119" t="e">
        <f>CONCATENATE(F1354," - ",I1354," - ",#REF!,)</f>
        <v>#REF!</v>
      </c>
    </row>
    <row r="1355" spans="1:28" s="116" customFormat="1" ht="15">
      <c r="A1355" s="114"/>
      <c r="B1355" s="120"/>
      <c r="C1355" s="129" t="str">
        <f t="shared" si="63"/>
        <v>week-0</v>
      </c>
      <c r="D1355" s="120" t="str">
        <f t="shared" si="64"/>
        <v>Jan</v>
      </c>
      <c r="E1355" s="7"/>
      <c r="F1355" s="7"/>
      <c r="G1355" s="120"/>
      <c r="H1355" s="120"/>
      <c r="I1355" s="118"/>
      <c r="J1355" s="118"/>
      <c r="K1355" s="115"/>
      <c r="L1355" s="115"/>
      <c r="M1355" s="8"/>
      <c r="N1355" s="8" t="str">
        <f t="shared" si="65"/>
        <v>-</v>
      </c>
      <c r="O1355" s="126"/>
      <c r="P1355" s="127"/>
      <c r="Q1355" s="127"/>
      <c r="R1355" s="126"/>
      <c r="S1355" s="127"/>
      <c r="T1355" s="8"/>
      <c r="U1355" s="158"/>
      <c r="V1355" s="7"/>
      <c r="W1355" s="7"/>
      <c r="X1355" s="146"/>
      <c r="Y1355" s="7"/>
      <c r="Z1355" s="7"/>
      <c r="AA1355" s="7" t="str">
        <f>IFERROR((VLOOKUP(F1355,#REF!,2,FALSE)),"-")</f>
        <v>-</v>
      </c>
      <c r="AB1355" s="119" t="e">
        <f>CONCATENATE(F1355," - ",I1355," - ",#REF!,)</f>
        <v>#REF!</v>
      </c>
    </row>
    <row r="1356" spans="1:28" s="116" customFormat="1" ht="15">
      <c r="A1356" s="114"/>
      <c r="B1356" s="120"/>
      <c r="C1356" s="129" t="str">
        <f t="shared" si="63"/>
        <v>week-0</v>
      </c>
      <c r="D1356" s="120" t="str">
        <f t="shared" si="64"/>
        <v>Jan</v>
      </c>
      <c r="E1356" s="7"/>
      <c r="F1356" s="7"/>
      <c r="G1356" s="120"/>
      <c r="H1356" s="120"/>
      <c r="I1356" s="118"/>
      <c r="J1356" s="118"/>
      <c r="K1356" s="115"/>
      <c r="L1356" s="115"/>
      <c r="M1356" s="8"/>
      <c r="N1356" s="8" t="str">
        <f t="shared" si="65"/>
        <v>-</v>
      </c>
      <c r="O1356" s="126"/>
      <c r="P1356" s="127"/>
      <c r="Q1356" s="127"/>
      <c r="R1356" s="126"/>
      <c r="S1356" s="127"/>
      <c r="T1356" s="8"/>
      <c r="U1356" s="158"/>
      <c r="V1356" s="7"/>
      <c r="W1356" s="7"/>
      <c r="X1356" s="146"/>
      <c r="Y1356" s="7"/>
      <c r="Z1356" s="7"/>
      <c r="AA1356" s="7" t="str">
        <f>IFERROR((VLOOKUP(F1356,#REF!,2,FALSE)),"-")</f>
        <v>-</v>
      </c>
      <c r="AB1356" s="119" t="e">
        <f>CONCATENATE(F1356," - ",I1356," - ",#REF!,)</f>
        <v>#REF!</v>
      </c>
    </row>
    <row r="1357" spans="1:28" s="116" customFormat="1" ht="15">
      <c r="A1357" s="114"/>
      <c r="B1357" s="120"/>
      <c r="C1357" s="129" t="str">
        <f t="shared" si="63"/>
        <v>week-0</v>
      </c>
      <c r="D1357" s="120" t="str">
        <f t="shared" si="64"/>
        <v>Jan</v>
      </c>
      <c r="E1357" s="7"/>
      <c r="F1357" s="7"/>
      <c r="G1357" s="120"/>
      <c r="H1357" s="120"/>
      <c r="I1357" s="118"/>
      <c r="J1357" s="118"/>
      <c r="K1357" s="115"/>
      <c r="L1357" s="115"/>
      <c r="M1357" s="8"/>
      <c r="N1357" s="8" t="str">
        <f t="shared" si="65"/>
        <v>-</v>
      </c>
      <c r="O1357" s="126"/>
      <c r="P1357" s="127"/>
      <c r="Q1357" s="127"/>
      <c r="R1357" s="126"/>
      <c r="S1357" s="127"/>
      <c r="T1357" s="8"/>
      <c r="U1357" s="158"/>
      <c r="V1357" s="7"/>
      <c r="W1357" s="7"/>
      <c r="X1357" s="146"/>
      <c r="Y1357" s="7"/>
      <c r="Z1357" s="7"/>
      <c r="AA1357" s="7" t="str">
        <f>IFERROR((VLOOKUP(F1357,#REF!,2,FALSE)),"-")</f>
        <v>-</v>
      </c>
      <c r="AB1357" s="119" t="e">
        <f>CONCATENATE(F1357," - ",I1357," - ",#REF!,)</f>
        <v>#REF!</v>
      </c>
    </row>
    <row r="1358" spans="1:28" s="116" customFormat="1" ht="15">
      <c r="A1358" s="114"/>
      <c r="B1358" s="120"/>
      <c r="C1358" s="129" t="str">
        <f t="shared" si="63"/>
        <v>week-0</v>
      </c>
      <c r="D1358" s="120" t="str">
        <f t="shared" si="64"/>
        <v>Jan</v>
      </c>
      <c r="E1358" s="7"/>
      <c r="F1358" s="7"/>
      <c r="G1358" s="120"/>
      <c r="H1358" s="120"/>
      <c r="I1358" s="118"/>
      <c r="J1358" s="118"/>
      <c r="K1358" s="115"/>
      <c r="L1358" s="115"/>
      <c r="M1358" s="8"/>
      <c r="N1358" s="8" t="str">
        <f t="shared" si="65"/>
        <v>-</v>
      </c>
      <c r="O1358" s="126"/>
      <c r="P1358" s="127"/>
      <c r="Q1358" s="127"/>
      <c r="R1358" s="126"/>
      <c r="S1358" s="127"/>
      <c r="T1358" s="8"/>
      <c r="U1358" s="158"/>
      <c r="V1358" s="7"/>
      <c r="W1358" s="7"/>
      <c r="X1358" s="146"/>
      <c r="Y1358" s="7"/>
      <c r="Z1358" s="7"/>
      <c r="AA1358" s="7" t="str">
        <f>IFERROR((VLOOKUP(F1358,#REF!,2,FALSE)),"-")</f>
        <v>-</v>
      </c>
      <c r="AB1358" s="119" t="e">
        <f>CONCATENATE(F1358," - ",I1358," - ",#REF!,)</f>
        <v>#REF!</v>
      </c>
    </row>
    <row r="1359" spans="1:28" s="116" customFormat="1" ht="15">
      <c r="A1359" s="114"/>
      <c r="B1359" s="120"/>
      <c r="C1359" s="129" t="str">
        <f t="shared" si="63"/>
        <v>week-0</v>
      </c>
      <c r="D1359" s="120" t="str">
        <f t="shared" si="64"/>
        <v>Jan</v>
      </c>
      <c r="E1359" s="7"/>
      <c r="F1359" s="7"/>
      <c r="G1359" s="120"/>
      <c r="H1359" s="120"/>
      <c r="I1359" s="118"/>
      <c r="J1359" s="118"/>
      <c r="K1359" s="115"/>
      <c r="L1359" s="115"/>
      <c r="M1359" s="8"/>
      <c r="N1359" s="8" t="str">
        <f t="shared" si="65"/>
        <v>-</v>
      </c>
      <c r="O1359" s="126"/>
      <c r="P1359" s="127"/>
      <c r="Q1359" s="127"/>
      <c r="R1359" s="126"/>
      <c r="S1359" s="127"/>
      <c r="T1359" s="8"/>
      <c r="U1359" s="158"/>
      <c r="V1359" s="7"/>
      <c r="W1359" s="7"/>
      <c r="X1359" s="146"/>
      <c r="Y1359" s="7"/>
      <c r="Z1359" s="7"/>
      <c r="AA1359" s="7" t="str">
        <f>IFERROR((VLOOKUP(F1359,#REF!,2,FALSE)),"-")</f>
        <v>-</v>
      </c>
      <c r="AB1359" s="119" t="e">
        <f>CONCATENATE(F1359," - ",I1359," - ",#REF!,)</f>
        <v>#REF!</v>
      </c>
    </row>
    <row r="1360" spans="1:28" s="116" customFormat="1" ht="15">
      <c r="A1360" s="114"/>
      <c r="B1360" s="120"/>
      <c r="C1360" s="129" t="str">
        <f t="shared" si="63"/>
        <v>week-0</v>
      </c>
      <c r="D1360" s="120" t="str">
        <f t="shared" si="64"/>
        <v>Jan</v>
      </c>
      <c r="E1360" s="7"/>
      <c r="F1360" s="7"/>
      <c r="G1360" s="120"/>
      <c r="H1360" s="120"/>
      <c r="I1360" s="118"/>
      <c r="J1360" s="118"/>
      <c r="K1360" s="115"/>
      <c r="L1360" s="115"/>
      <c r="M1360" s="8"/>
      <c r="N1360" s="8" t="str">
        <f t="shared" si="65"/>
        <v>-</v>
      </c>
      <c r="O1360" s="126"/>
      <c r="P1360" s="127"/>
      <c r="Q1360" s="127"/>
      <c r="R1360" s="126"/>
      <c r="S1360" s="127"/>
      <c r="T1360" s="8"/>
      <c r="U1360" s="158"/>
      <c r="V1360" s="7"/>
      <c r="W1360" s="7"/>
      <c r="X1360" s="146"/>
      <c r="Y1360" s="7"/>
      <c r="Z1360" s="7"/>
      <c r="AA1360" s="7" t="str">
        <f>IFERROR((VLOOKUP(F1360,#REF!,2,FALSE)),"-")</f>
        <v>-</v>
      </c>
      <c r="AB1360" s="119" t="e">
        <f>CONCATENATE(F1360," - ",I1360," - ",#REF!,)</f>
        <v>#REF!</v>
      </c>
    </row>
    <row r="1361" spans="1:28" s="116" customFormat="1" ht="15">
      <c r="A1361" s="114"/>
      <c r="B1361" s="120"/>
      <c r="C1361" s="129" t="str">
        <f t="shared" si="63"/>
        <v>week-0</v>
      </c>
      <c r="D1361" s="120" t="str">
        <f t="shared" si="64"/>
        <v>Jan</v>
      </c>
      <c r="E1361" s="7"/>
      <c r="F1361" s="7"/>
      <c r="G1361" s="120"/>
      <c r="H1361" s="120"/>
      <c r="I1361" s="118"/>
      <c r="J1361" s="118"/>
      <c r="K1361" s="115"/>
      <c r="L1361" s="115"/>
      <c r="M1361" s="8"/>
      <c r="N1361" s="8" t="str">
        <f t="shared" si="65"/>
        <v>-</v>
      </c>
      <c r="O1361" s="126"/>
      <c r="P1361" s="127"/>
      <c r="Q1361" s="127"/>
      <c r="R1361" s="126"/>
      <c r="S1361" s="127"/>
      <c r="T1361" s="8"/>
      <c r="U1361" s="158"/>
      <c r="V1361" s="7"/>
      <c r="W1361" s="7"/>
      <c r="X1361" s="146"/>
      <c r="Y1361" s="7"/>
      <c r="Z1361" s="7"/>
      <c r="AA1361" s="7" t="str">
        <f>IFERROR((VLOOKUP(F1361,#REF!,2,FALSE)),"-")</f>
        <v>-</v>
      </c>
      <c r="AB1361" s="119" t="e">
        <f>CONCATENATE(F1361," - ",I1361," - ",#REF!,)</f>
        <v>#REF!</v>
      </c>
    </row>
    <row r="1362" spans="1:28" s="116" customFormat="1" ht="15">
      <c r="A1362" s="114"/>
      <c r="B1362" s="120"/>
      <c r="C1362" s="129" t="str">
        <f t="shared" si="63"/>
        <v>week-0</v>
      </c>
      <c r="D1362" s="120" t="str">
        <f t="shared" si="64"/>
        <v>Jan</v>
      </c>
      <c r="E1362" s="7"/>
      <c r="F1362" s="7"/>
      <c r="G1362" s="120"/>
      <c r="H1362" s="120"/>
      <c r="I1362" s="118"/>
      <c r="J1362" s="118"/>
      <c r="K1362" s="115"/>
      <c r="L1362" s="115"/>
      <c r="M1362" s="8"/>
      <c r="N1362" s="8" t="str">
        <f t="shared" si="65"/>
        <v>-</v>
      </c>
      <c r="O1362" s="126"/>
      <c r="P1362" s="127"/>
      <c r="Q1362" s="127"/>
      <c r="R1362" s="126"/>
      <c r="S1362" s="127"/>
      <c r="T1362" s="8"/>
      <c r="U1362" s="158"/>
      <c r="V1362" s="7"/>
      <c r="W1362" s="7"/>
      <c r="X1362" s="146"/>
      <c r="Y1362" s="7"/>
      <c r="Z1362" s="7"/>
      <c r="AA1362" s="7" t="str">
        <f>IFERROR((VLOOKUP(F1362,#REF!,2,FALSE)),"-")</f>
        <v>-</v>
      </c>
      <c r="AB1362" s="119" t="e">
        <f>CONCATENATE(F1362," - ",I1362," - ",#REF!,)</f>
        <v>#REF!</v>
      </c>
    </row>
    <row r="1363" spans="1:28" s="116" customFormat="1" ht="15">
      <c r="A1363" s="114"/>
      <c r="B1363" s="120"/>
      <c r="C1363" s="129" t="str">
        <f t="shared" si="63"/>
        <v>week-0</v>
      </c>
      <c r="D1363" s="120" t="str">
        <f t="shared" si="64"/>
        <v>Jan</v>
      </c>
      <c r="E1363" s="7"/>
      <c r="F1363" s="7"/>
      <c r="G1363" s="120"/>
      <c r="H1363" s="120"/>
      <c r="I1363" s="118"/>
      <c r="J1363" s="118"/>
      <c r="K1363" s="115"/>
      <c r="L1363" s="115"/>
      <c r="M1363" s="8"/>
      <c r="N1363" s="8" t="str">
        <f t="shared" si="65"/>
        <v>-</v>
      </c>
      <c r="O1363" s="126"/>
      <c r="P1363" s="127"/>
      <c r="Q1363" s="127"/>
      <c r="R1363" s="126"/>
      <c r="S1363" s="127"/>
      <c r="T1363" s="8"/>
      <c r="U1363" s="158"/>
      <c r="V1363" s="7"/>
      <c r="W1363" s="7"/>
      <c r="X1363" s="146"/>
      <c r="Y1363" s="7"/>
      <c r="Z1363" s="7"/>
      <c r="AA1363" s="7" t="str">
        <f>IFERROR((VLOOKUP(F1363,#REF!,2,FALSE)),"-")</f>
        <v>-</v>
      </c>
      <c r="AB1363" s="119" t="e">
        <f>CONCATENATE(F1363," - ",I1363," - ",#REF!,)</f>
        <v>#REF!</v>
      </c>
    </row>
    <row r="1364" spans="1:28" s="116" customFormat="1" ht="15">
      <c r="A1364" s="114"/>
      <c r="B1364" s="120"/>
      <c r="C1364" s="129" t="str">
        <f t="shared" si="63"/>
        <v>week-0</v>
      </c>
      <c r="D1364" s="120" t="str">
        <f t="shared" si="64"/>
        <v>Jan</v>
      </c>
      <c r="E1364" s="7"/>
      <c r="F1364" s="7"/>
      <c r="G1364" s="120"/>
      <c r="H1364" s="120"/>
      <c r="I1364" s="118"/>
      <c r="J1364" s="118"/>
      <c r="K1364" s="115"/>
      <c r="L1364" s="115"/>
      <c r="M1364" s="8"/>
      <c r="N1364" s="8" t="str">
        <f t="shared" si="65"/>
        <v>-</v>
      </c>
      <c r="O1364" s="126"/>
      <c r="P1364" s="127"/>
      <c r="Q1364" s="127"/>
      <c r="R1364" s="126"/>
      <c r="S1364" s="127"/>
      <c r="T1364" s="8"/>
      <c r="U1364" s="158"/>
      <c r="V1364" s="7"/>
      <c r="W1364" s="7"/>
      <c r="X1364" s="146"/>
      <c r="Y1364" s="7"/>
      <c r="Z1364" s="7"/>
      <c r="AA1364" s="7" t="str">
        <f>IFERROR((VLOOKUP(F1364,#REF!,2,FALSE)),"-")</f>
        <v>-</v>
      </c>
      <c r="AB1364" s="119" t="e">
        <f>CONCATENATE(F1364," - ",I1364," - ",#REF!,)</f>
        <v>#REF!</v>
      </c>
    </row>
    <row r="1365" spans="1:28" s="116" customFormat="1" ht="15">
      <c r="A1365" s="114"/>
      <c r="B1365" s="120"/>
      <c r="C1365" s="129" t="str">
        <f t="shared" si="63"/>
        <v>week-0</v>
      </c>
      <c r="D1365" s="120" t="str">
        <f t="shared" si="64"/>
        <v>Jan</v>
      </c>
      <c r="E1365" s="7"/>
      <c r="F1365" s="7"/>
      <c r="G1365" s="120"/>
      <c r="H1365" s="120"/>
      <c r="I1365" s="118"/>
      <c r="J1365" s="118"/>
      <c r="K1365" s="115"/>
      <c r="L1365" s="115"/>
      <c r="M1365" s="8"/>
      <c r="N1365" s="8" t="str">
        <f t="shared" si="65"/>
        <v>-</v>
      </c>
      <c r="O1365" s="126"/>
      <c r="P1365" s="127"/>
      <c r="Q1365" s="127"/>
      <c r="R1365" s="126"/>
      <c r="S1365" s="127"/>
      <c r="T1365" s="8"/>
      <c r="U1365" s="158"/>
      <c r="V1365" s="7"/>
      <c r="W1365" s="7"/>
      <c r="X1365" s="146"/>
      <c r="Y1365" s="7"/>
      <c r="Z1365" s="7"/>
      <c r="AA1365" s="7" t="str">
        <f>IFERROR((VLOOKUP(F1365,#REF!,2,FALSE)),"-")</f>
        <v>-</v>
      </c>
      <c r="AB1365" s="119" t="e">
        <f>CONCATENATE(F1365," - ",I1365," - ",#REF!,)</f>
        <v>#REF!</v>
      </c>
    </row>
    <row r="1366" spans="1:28" s="116" customFormat="1" ht="15">
      <c r="A1366" s="114"/>
      <c r="B1366" s="120"/>
      <c r="C1366" s="129" t="str">
        <f t="shared" si="63"/>
        <v>week-0</v>
      </c>
      <c r="D1366" s="120" t="str">
        <f t="shared" si="64"/>
        <v>Jan</v>
      </c>
      <c r="E1366" s="7"/>
      <c r="F1366" s="7"/>
      <c r="G1366" s="120"/>
      <c r="H1366" s="120"/>
      <c r="I1366" s="118"/>
      <c r="J1366" s="118"/>
      <c r="K1366" s="115"/>
      <c r="L1366" s="115"/>
      <c r="M1366" s="8"/>
      <c r="N1366" s="8" t="str">
        <f t="shared" si="65"/>
        <v>-</v>
      </c>
      <c r="O1366" s="126"/>
      <c r="P1366" s="127"/>
      <c r="Q1366" s="127"/>
      <c r="R1366" s="126"/>
      <c r="S1366" s="127"/>
      <c r="T1366" s="8"/>
      <c r="U1366" s="158"/>
      <c r="V1366" s="7"/>
      <c r="W1366" s="7"/>
      <c r="X1366" s="146"/>
      <c r="Y1366" s="7"/>
      <c r="Z1366" s="7"/>
      <c r="AA1366" s="7" t="str">
        <f>IFERROR((VLOOKUP(F1366,#REF!,2,FALSE)),"-")</f>
        <v>-</v>
      </c>
      <c r="AB1366" s="119" t="e">
        <f>CONCATENATE(F1366," - ",I1366," - ",#REF!,)</f>
        <v>#REF!</v>
      </c>
    </row>
    <row r="1367" spans="1:28" s="116" customFormat="1" ht="15">
      <c r="A1367" s="114"/>
      <c r="B1367" s="120"/>
      <c r="C1367" s="129" t="str">
        <f t="shared" si="63"/>
        <v>week-0</v>
      </c>
      <c r="D1367" s="120" t="str">
        <f t="shared" si="64"/>
        <v>Jan</v>
      </c>
      <c r="E1367" s="7"/>
      <c r="F1367" s="7"/>
      <c r="G1367" s="120"/>
      <c r="H1367" s="120"/>
      <c r="I1367" s="118"/>
      <c r="J1367" s="118"/>
      <c r="K1367" s="115"/>
      <c r="L1367" s="115"/>
      <c r="M1367" s="8"/>
      <c r="N1367" s="8" t="str">
        <f t="shared" si="65"/>
        <v>-</v>
      </c>
      <c r="O1367" s="126"/>
      <c r="P1367" s="127"/>
      <c r="Q1367" s="127"/>
      <c r="R1367" s="126"/>
      <c r="S1367" s="127"/>
      <c r="T1367" s="8"/>
      <c r="U1367" s="158"/>
      <c r="V1367" s="7"/>
      <c r="W1367" s="7"/>
      <c r="X1367" s="146"/>
      <c r="Y1367" s="7"/>
      <c r="Z1367" s="7"/>
      <c r="AA1367" s="7" t="str">
        <f>IFERROR((VLOOKUP(F1367,#REF!,2,FALSE)),"-")</f>
        <v>-</v>
      </c>
      <c r="AB1367" s="119" t="e">
        <f>CONCATENATE(F1367," - ",I1367," - ",#REF!,)</f>
        <v>#REF!</v>
      </c>
    </row>
    <row r="1368" spans="1:28" s="116" customFormat="1" ht="15">
      <c r="A1368" s="114"/>
      <c r="B1368" s="120"/>
      <c r="C1368" s="129" t="str">
        <f t="shared" si="63"/>
        <v>week-0</v>
      </c>
      <c r="D1368" s="120" t="str">
        <f t="shared" si="64"/>
        <v>Jan</v>
      </c>
      <c r="E1368" s="7"/>
      <c r="F1368" s="7"/>
      <c r="G1368" s="120"/>
      <c r="H1368" s="120"/>
      <c r="I1368" s="118"/>
      <c r="J1368" s="118"/>
      <c r="K1368" s="115"/>
      <c r="L1368" s="115"/>
      <c r="M1368" s="8"/>
      <c r="N1368" s="8" t="str">
        <f t="shared" si="65"/>
        <v>-</v>
      </c>
      <c r="O1368" s="126"/>
      <c r="P1368" s="127"/>
      <c r="Q1368" s="127"/>
      <c r="R1368" s="126"/>
      <c r="S1368" s="127"/>
      <c r="T1368" s="8"/>
      <c r="U1368" s="158"/>
      <c r="V1368" s="7"/>
      <c r="W1368" s="7"/>
      <c r="X1368" s="146"/>
      <c r="Y1368" s="7"/>
      <c r="Z1368" s="7"/>
      <c r="AA1368" s="7" t="str">
        <f>IFERROR((VLOOKUP(F1368,#REF!,2,FALSE)),"-")</f>
        <v>-</v>
      </c>
      <c r="AB1368" s="119" t="e">
        <f>CONCATENATE(F1368," - ",I1368," - ",#REF!,)</f>
        <v>#REF!</v>
      </c>
    </row>
    <row r="1369" spans="1:28" s="116" customFormat="1" ht="15">
      <c r="A1369" s="114"/>
      <c r="B1369" s="120"/>
      <c r="C1369" s="129" t="str">
        <f t="shared" si="63"/>
        <v>week-0</v>
      </c>
      <c r="D1369" s="120" t="str">
        <f t="shared" si="64"/>
        <v>Jan</v>
      </c>
      <c r="E1369" s="7"/>
      <c r="F1369" s="7"/>
      <c r="G1369" s="120"/>
      <c r="H1369" s="120"/>
      <c r="I1369" s="118"/>
      <c r="J1369" s="118"/>
      <c r="K1369" s="115"/>
      <c r="L1369" s="115"/>
      <c r="M1369" s="8"/>
      <c r="N1369" s="8" t="str">
        <f t="shared" si="65"/>
        <v>-</v>
      </c>
      <c r="O1369" s="126"/>
      <c r="P1369" s="127"/>
      <c r="Q1369" s="127"/>
      <c r="R1369" s="126"/>
      <c r="S1369" s="127"/>
      <c r="T1369" s="8"/>
      <c r="U1369" s="158"/>
      <c r="V1369" s="7"/>
      <c r="W1369" s="7"/>
      <c r="X1369" s="146"/>
      <c r="Y1369" s="7"/>
      <c r="Z1369" s="7"/>
      <c r="AA1369" s="7" t="str">
        <f>IFERROR((VLOOKUP(F1369,#REF!,2,FALSE)),"-")</f>
        <v>-</v>
      </c>
      <c r="AB1369" s="119" t="e">
        <f>CONCATENATE(F1369," - ",I1369," - ",#REF!,)</f>
        <v>#REF!</v>
      </c>
    </row>
    <row r="1370" spans="1:28" s="116" customFormat="1" ht="15">
      <c r="A1370" s="114"/>
      <c r="B1370" s="120"/>
      <c r="C1370" s="129" t="str">
        <f t="shared" si="63"/>
        <v>week-0</v>
      </c>
      <c r="D1370" s="120" t="str">
        <f t="shared" si="64"/>
        <v>Jan</v>
      </c>
      <c r="E1370" s="7"/>
      <c r="F1370" s="7"/>
      <c r="G1370" s="120"/>
      <c r="H1370" s="120"/>
      <c r="I1370" s="118"/>
      <c r="J1370" s="118"/>
      <c r="K1370" s="115"/>
      <c r="L1370" s="115"/>
      <c r="M1370" s="8"/>
      <c r="N1370" s="8" t="str">
        <f t="shared" si="65"/>
        <v>-</v>
      </c>
      <c r="O1370" s="126"/>
      <c r="P1370" s="127"/>
      <c r="Q1370" s="127"/>
      <c r="R1370" s="126"/>
      <c r="S1370" s="127"/>
      <c r="T1370" s="8"/>
      <c r="U1370" s="158"/>
      <c r="V1370" s="7"/>
      <c r="W1370" s="7"/>
      <c r="X1370" s="146"/>
      <c r="Y1370" s="7"/>
      <c r="Z1370" s="7"/>
      <c r="AA1370" s="7" t="str">
        <f>IFERROR((VLOOKUP(F1370,#REF!,2,FALSE)),"-")</f>
        <v>-</v>
      </c>
      <c r="AB1370" s="119" t="e">
        <f>CONCATENATE(F1370," - ",I1370," - ",#REF!,)</f>
        <v>#REF!</v>
      </c>
    </row>
    <row r="1371" spans="1:28" s="116" customFormat="1" ht="15">
      <c r="A1371" s="114"/>
      <c r="B1371" s="120"/>
      <c r="C1371" s="129" t="str">
        <f t="shared" si="63"/>
        <v>week-0</v>
      </c>
      <c r="D1371" s="120" t="str">
        <f t="shared" si="64"/>
        <v>Jan</v>
      </c>
      <c r="E1371" s="7"/>
      <c r="F1371" s="7"/>
      <c r="G1371" s="120"/>
      <c r="H1371" s="120"/>
      <c r="I1371" s="118"/>
      <c r="J1371" s="118"/>
      <c r="K1371" s="115"/>
      <c r="L1371" s="115"/>
      <c r="M1371" s="8"/>
      <c r="N1371" s="8" t="str">
        <f t="shared" si="65"/>
        <v>-</v>
      </c>
      <c r="O1371" s="126"/>
      <c r="P1371" s="127"/>
      <c r="Q1371" s="127"/>
      <c r="R1371" s="126"/>
      <c r="S1371" s="127"/>
      <c r="T1371" s="8"/>
      <c r="U1371" s="158"/>
      <c r="V1371" s="7"/>
      <c r="W1371" s="7"/>
      <c r="X1371" s="146"/>
      <c r="Y1371" s="7"/>
      <c r="Z1371" s="7"/>
      <c r="AA1371" s="7" t="str">
        <f>IFERROR((VLOOKUP(F1371,#REF!,2,FALSE)),"-")</f>
        <v>-</v>
      </c>
      <c r="AB1371" s="119" t="e">
        <f>CONCATENATE(F1371," - ",I1371," - ",#REF!,)</f>
        <v>#REF!</v>
      </c>
    </row>
    <row r="1372" spans="1:28" s="116" customFormat="1" ht="15">
      <c r="A1372" s="114"/>
      <c r="B1372" s="120"/>
      <c r="C1372" s="129" t="str">
        <f t="shared" si="63"/>
        <v>week-0</v>
      </c>
      <c r="D1372" s="120" t="str">
        <f t="shared" si="64"/>
        <v>Jan</v>
      </c>
      <c r="E1372" s="7"/>
      <c r="F1372" s="7"/>
      <c r="G1372" s="120"/>
      <c r="H1372" s="120"/>
      <c r="I1372" s="118"/>
      <c r="J1372" s="118"/>
      <c r="K1372" s="115"/>
      <c r="L1372" s="115"/>
      <c r="M1372" s="8"/>
      <c r="N1372" s="8" t="str">
        <f t="shared" si="65"/>
        <v>-</v>
      </c>
      <c r="O1372" s="126"/>
      <c r="P1372" s="127"/>
      <c r="Q1372" s="127"/>
      <c r="R1372" s="126"/>
      <c r="S1372" s="127"/>
      <c r="T1372" s="8"/>
      <c r="U1372" s="158"/>
      <c r="V1372" s="7"/>
      <c r="W1372" s="7"/>
      <c r="X1372" s="146"/>
      <c r="Y1372" s="7"/>
      <c r="Z1372" s="7"/>
      <c r="AA1372" s="7" t="str">
        <f>IFERROR((VLOOKUP(F1372,#REF!,2,FALSE)),"-")</f>
        <v>-</v>
      </c>
      <c r="AB1372" s="119" t="e">
        <f>CONCATENATE(F1372," - ",I1372," - ",#REF!,)</f>
        <v>#REF!</v>
      </c>
    </row>
    <row r="1373" spans="1:28" s="116" customFormat="1" ht="15">
      <c r="A1373" s="114"/>
      <c r="B1373" s="120"/>
      <c r="C1373" s="129" t="str">
        <f t="shared" si="63"/>
        <v>week-0</v>
      </c>
      <c r="D1373" s="120" t="str">
        <f t="shared" si="64"/>
        <v>Jan</v>
      </c>
      <c r="E1373" s="7"/>
      <c r="F1373" s="7"/>
      <c r="G1373" s="120"/>
      <c r="H1373" s="120"/>
      <c r="I1373" s="118"/>
      <c r="J1373" s="118"/>
      <c r="K1373" s="115"/>
      <c r="L1373" s="115"/>
      <c r="M1373" s="8"/>
      <c r="N1373" s="8" t="str">
        <f t="shared" si="65"/>
        <v>-</v>
      </c>
      <c r="O1373" s="126"/>
      <c r="P1373" s="127"/>
      <c r="Q1373" s="127"/>
      <c r="R1373" s="126"/>
      <c r="S1373" s="127"/>
      <c r="T1373" s="8"/>
      <c r="U1373" s="158"/>
      <c r="V1373" s="7"/>
      <c r="W1373" s="7"/>
      <c r="X1373" s="146"/>
      <c r="Y1373" s="7"/>
      <c r="Z1373" s="7"/>
      <c r="AA1373" s="7" t="str">
        <f>IFERROR((VLOOKUP(F1373,#REF!,2,FALSE)),"-")</f>
        <v>-</v>
      </c>
      <c r="AB1373" s="119" t="e">
        <f>CONCATENATE(F1373," - ",I1373," - ",#REF!,)</f>
        <v>#REF!</v>
      </c>
    </row>
    <row r="1374" spans="1:28" s="116" customFormat="1" ht="15">
      <c r="A1374" s="114"/>
      <c r="B1374" s="120"/>
      <c r="C1374" s="129" t="str">
        <f t="shared" si="63"/>
        <v>week-0</v>
      </c>
      <c r="D1374" s="120" t="str">
        <f t="shared" si="64"/>
        <v>Jan</v>
      </c>
      <c r="E1374" s="7"/>
      <c r="F1374" s="7"/>
      <c r="G1374" s="120"/>
      <c r="H1374" s="120"/>
      <c r="I1374" s="118"/>
      <c r="J1374" s="118"/>
      <c r="K1374" s="115"/>
      <c r="L1374" s="115"/>
      <c r="M1374" s="8"/>
      <c r="N1374" s="8" t="str">
        <f t="shared" si="65"/>
        <v>-</v>
      </c>
      <c r="O1374" s="126"/>
      <c r="P1374" s="127"/>
      <c r="Q1374" s="127"/>
      <c r="R1374" s="126"/>
      <c r="S1374" s="127"/>
      <c r="T1374" s="8"/>
      <c r="U1374" s="158"/>
      <c r="V1374" s="7"/>
      <c r="W1374" s="7"/>
      <c r="X1374" s="146"/>
      <c r="Y1374" s="7"/>
      <c r="Z1374" s="7"/>
      <c r="AA1374" s="7" t="str">
        <f>IFERROR((VLOOKUP(F1374,#REF!,2,FALSE)),"-")</f>
        <v>-</v>
      </c>
      <c r="AB1374" s="119" t="e">
        <f>CONCATENATE(F1374," - ",I1374," - ",#REF!,)</f>
        <v>#REF!</v>
      </c>
    </row>
    <row r="1375" spans="1:28" s="116" customFormat="1" ht="15">
      <c r="A1375" s="114"/>
      <c r="B1375" s="120"/>
      <c r="C1375" s="129" t="str">
        <f t="shared" si="63"/>
        <v>week-0</v>
      </c>
      <c r="D1375" s="120" t="str">
        <f t="shared" si="64"/>
        <v>Jan</v>
      </c>
      <c r="E1375" s="7"/>
      <c r="F1375" s="7"/>
      <c r="G1375" s="120"/>
      <c r="H1375" s="120"/>
      <c r="I1375" s="118"/>
      <c r="J1375" s="118"/>
      <c r="K1375" s="115"/>
      <c r="L1375" s="115"/>
      <c r="M1375" s="8"/>
      <c r="N1375" s="8" t="str">
        <f t="shared" si="65"/>
        <v>-</v>
      </c>
      <c r="O1375" s="126"/>
      <c r="P1375" s="127"/>
      <c r="Q1375" s="127"/>
      <c r="R1375" s="126"/>
      <c r="S1375" s="127"/>
      <c r="T1375" s="8"/>
      <c r="U1375" s="158"/>
      <c r="V1375" s="7"/>
      <c r="W1375" s="7"/>
      <c r="X1375" s="146"/>
      <c r="Y1375" s="7"/>
      <c r="Z1375" s="7"/>
      <c r="AA1375" s="7" t="str">
        <f>IFERROR((VLOOKUP(F1375,#REF!,2,FALSE)),"-")</f>
        <v>-</v>
      </c>
      <c r="AB1375" s="119" t="e">
        <f>CONCATENATE(F1375," - ",I1375," - ",#REF!,)</f>
        <v>#REF!</v>
      </c>
    </row>
    <row r="1376" spans="1:28" s="116" customFormat="1" ht="15">
      <c r="A1376" s="114"/>
      <c r="B1376" s="120"/>
      <c r="C1376" s="129" t="str">
        <f t="shared" si="63"/>
        <v>week-0</v>
      </c>
      <c r="D1376" s="120" t="str">
        <f t="shared" si="64"/>
        <v>Jan</v>
      </c>
      <c r="E1376" s="7"/>
      <c r="F1376" s="7"/>
      <c r="G1376" s="120"/>
      <c r="H1376" s="120"/>
      <c r="I1376" s="118"/>
      <c r="J1376" s="118"/>
      <c r="K1376" s="115"/>
      <c r="L1376" s="115"/>
      <c r="M1376" s="8"/>
      <c r="N1376" s="8" t="str">
        <f t="shared" si="65"/>
        <v>-</v>
      </c>
      <c r="O1376" s="126"/>
      <c r="P1376" s="127"/>
      <c r="Q1376" s="127"/>
      <c r="R1376" s="126"/>
      <c r="S1376" s="127"/>
      <c r="T1376" s="8"/>
      <c r="U1376" s="158"/>
      <c r="V1376" s="7"/>
      <c r="W1376" s="7"/>
      <c r="X1376" s="146"/>
      <c r="Y1376" s="7"/>
      <c r="Z1376" s="7"/>
      <c r="AA1376" s="7" t="str">
        <f>IFERROR((VLOOKUP(F1376,#REF!,2,FALSE)),"-")</f>
        <v>-</v>
      </c>
      <c r="AB1376" s="119" t="e">
        <f>CONCATENATE(F1376," - ",I1376," - ",#REF!,)</f>
        <v>#REF!</v>
      </c>
    </row>
    <row r="1377" spans="1:28" s="116" customFormat="1" ht="15">
      <c r="A1377" s="114"/>
      <c r="B1377" s="120"/>
      <c r="C1377" s="129" t="str">
        <f t="shared" si="63"/>
        <v>week-0</v>
      </c>
      <c r="D1377" s="120" t="str">
        <f t="shared" si="64"/>
        <v>Jan</v>
      </c>
      <c r="E1377" s="7"/>
      <c r="F1377" s="7"/>
      <c r="G1377" s="120"/>
      <c r="H1377" s="120"/>
      <c r="I1377" s="118"/>
      <c r="J1377" s="118"/>
      <c r="K1377" s="115"/>
      <c r="L1377" s="115"/>
      <c r="M1377" s="8"/>
      <c r="N1377" s="8" t="str">
        <f t="shared" si="65"/>
        <v>-</v>
      </c>
      <c r="O1377" s="126"/>
      <c r="P1377" s="127"/>
      <c r="Q1377" s="127"/>
      <c r="R1377" s="126"/>
      <c r="S1377" s="127"/>
      <c r="T1377" s="8"/>
      <c r="U1377" s="158"/>
      <c r="V1377" s="7"/>
      <c r="W1377" s="7"/>
      <c r="X1377" s="146"/>
      <c r="Y1377" s="7"/>
      <c r="Z1377" s="7"/>
      <c r="AA1377" s="7" t="str">
        <f>IFERROR((VLOOKUP(F1377,#REF!,2,FALSE)),"-")</f>
        <v>-</v>
      </c>
      <c r="AB1377" s="119" t="e">
        <f>CONCATENATE(F1377," - ",I1377," - ",#REF!,)</f>
        <v>#REF!</v>
      </c>
    </row>
    <row r="1378" spans="1:28" s="116" customFormat="1" ht="15">
      <c r="A1378" s="114"/>
      <c r="B1378" s="120"/>
      <c r="C1378" s="129" t="str">
        <f t="shared" si="63"/>
        <v>week-0</v>
      </c>
      <c r="D1378" s="120" t="str">
        <f t="shared" si="64"/>
        <v>Jan</v>
      </c>
      <c r="E1378" s="7"/>
      <c r="F1378" s="7"/>
      <c r="G1378" s="120"/>
      <c r="H1378" s="120"/>
      <c r="I1378" s="118"/>
      <c r="J1378" s="118"/>
      <c r="K1378" s="115"/>
      <c r="L1378" s="115"/>
      <c r="M1378" s="8"/>
      <c r="N1378" s="8" t="str">
        <f t="shared" si="65"/>
        <v>-</v>
      </c>
      <c r="O1378" s="126"/>
      <c r="P1378" s="127"/>
      <c r="Q1378" s="127"/>
      <c r="R1378" s="126"/>
      <c r="S1378" s="127"/>
      <c r="T1378" s="8"/>
      <c r="U1378" s="158"/>
      <c r="V1378" s="7"/>
      <c r="W1378" s="7"/>
      <c r="X1378" s="146"/>
      <c r="Y1378" s="7"/>
      <c r="Z1378" s="7"/>
      <c r="AA1378" s="7" t="str">
        <f>IFERROR((VLOOKUP(F1378,#REF!,2,FALSE)),"-")</f>
        <v>-</v>
      </c>
      <c r="AB1378" s="119" t="e">
        <f>CONCATENATE(F1378," - ",I1378," - ",#REF!,)</f>
        <v>#REF!</v>
      </c>
    </row>
    <row r="1379" spans="1:28" s="116" customFormat="1" ht="15">
      <c r="A1379" s="114"/>
      <c r="B1379" s="120"/>
      <c r="C1379" s="129" t="str">
        <f t="shared" si="63"/>
        <v>week-0</v>
      </c>
      <c r="D1379" s="120" t="str">
        <f t="shared" si="64"/>
        <v>Jan</v>
      </c>
      <c r="E1379" s="7"/>
      <c r="F1379" s="7"/>
      <c r="G1379" s="120"/>
      <c r="H1379" s="120"/>
      <c r="I1379" s="118"/>
      <c r="J1379" s="118"/>
      <c r="K1379" s="115"/>
      <c r="L1379" s="115"/>
      <c r="M1379" s="8"/>
      <c r="N1379" s="8" t="str">
        <f t="shared" si="65"/>
        <v>-</v>
      </c>
      <c r="O1379" s="126"/>
      <c r="P1379" s="127"/>
      <c r="Q1379" s="127"/>
      <c r="R1379" s="126"/>
      <c r="S1379" s="127"/>
      <c r="T1379" s="8"/>
      <c r="U1379" s="158"/>
      <c r="V1379" s="7"/>
      <c r="W1379" s="7"/>
      <c r="X1379" s="146"/>
      <c r="Y1379" s="7"/>
      <c r="Z1379" s="7"/>
      <c r="AA1379" s="7" t="str">
        <f>IFERROR((VLOOKUP(F1379,#REF!,2,FALSE)),"-")</f>
        <v>-</v>
      </c>
      <c r="AB1379" s="119" t="e">
        <f>CONCATENATE(F1379," - ",I1379," - ",#REF!,)</f>
        <v>#REF!</v>
      </c>
    </row>
    <row r="1380" spans="1:28" s="116" customFormat="1" ht="15">
      <c r="A1380" s="114"/>
      <c r="B1380" s="120"/>
      <c r="C1380" s="129" t="str">
        <f t="shared" si="63"/>
        <v>week-0</v>
      </c>
      <c r="D1380" s="120" t="str">
        <f t="shared" si="64"/>
        <v>Jan</v>
      </c>
      <c r="E1380" s="7"/>
      <c r="F1380" s="7"/>
      <c r="G1380" s="120"/>
      <c r="H1380" s="120"/>
      <c r="I1380" s="118"/>
      <c r="J1380" s="118"/>
      <c r="K1380" s="115"/>
      <c r="L1380" s="115"/>
      <c r="M1380" s="8"/>
      <c r="N1380" s="8" t="str">
        <f t="shared" si="65"/>
        <v>-</v>
      </c>
      <c r="O1380" s="126"/>
      <c r="P1380" s="127"/>
      <c r="Q1380" s="127"/>
      <c r="R1380" s="126"/>
      <c r="S1380" s="127"/>
      <c r="T1380" s="8"/>
      <c r="U1380" s="158"/>
      <c r="V1380" s="7"/>
      <c r="W1380" s="7"/>
      <c r="X1380" s="146"/>
      <c r="Y1380" s="7"/>
      <c r="Z1380" s="7"/>
      <c r="AA1380" s="7" t="str">
        <f>IFERROR((VLOOKUP(F1380,#REF!,2,FALSE)),"-")</f>
        <v>-</v>
      </c>
      <c r="AB1380" s="119" t="e">
        <f>CONCATENATE(F1380," - ",I1380," - ",#REF!,)</f>
        <v>#REF!</v>
      </c>
    </row>
    <row r="1381" spans="1:28" s="116" customFormat="1" ht="15">
      <c r="A1381" s="114"/>
      <c r="B1381" s="120"/>
      <c r="C1381" s="129" t="str">
        <f t="shared" si="63"/>
        <v>week-0</v>
      </c>
      <c r="D1381" s="120" t="str">
        <f t="shared" si="64"/>
        <v>Jan</v>
      </c>
      <c r="E1381" s="7"/>
      <c r="F1381" s="7"/>
      <c r="G1381" s="120"/>
      <c r="H1381" s="120"/>
      <c r="I1381" s="118"/>
      <c r="J1381" s="118"/>
      <c r="K1381" s="115"/>
      <c r="L1381" s="115"/>
      <c r="M1381" s="8"/>
      <c r="N1381" s="8" t="str">
        <f t="shared" si="65"/>
        <v>-</v>
      </c>
      <c r="O1381" s="126"/>
      <c r="P1381" s="127"/>
      <c r="Q1381" s="127"/>
      <c r="R1381" s="126"/>
      <c r="S1381" s="127"/>
      <c r="T1381" s="8"/>
      <c r="U1381" s="158"/>
      <c r="V1381" s="7"/>
      <c r="W1381" s="7"/>
      <c r="X1381" s="146"/>
      <c r="Y1381" s="7"/>
      <c r="Z1381" s="7"/>
      <c r="AA1381" s="7" t="str">
        <f>IFERROR((VLOOKUP(F1381,#REF!,2,FALSE)),"-")</f>
        <v>-</v>
      </c>
      <c r="AB1381" s="119" t="e">
        <f>CONCATENATE(F1381," - ",I1381," - ",#REF!,)</f>
        <v>#REF!</v>
      </c>
    </row>
    <row r="1382" spans="1:28" s="116" customFormat="1" ht="15">
      <c r="A1382" s="114"/>
      <c r="B1382" s="120"/>
      <c r="C1382" s="129" t="str">
        <f t="shared" si="63"/>
        <v>week-0</v>
      </c>
      <c r="D1382" s="120" t="str">
        <f t="shared" si="64"/>
        <v>Jan</v>
      </c>
      <c r="E1382" s="7"/>
      <c r="F1382" s="7"/>
      <c r="G1382" s="120"/>
      <c r="H1382" s="120"/>
      <c r="I1382" s="118"/>
      <c r="J1382" s="118"/>
      <c r="K1382" s="115"/>
      <c r="L1382" s="115"/>
      <c r="M1382" s="8"/>
      <c r="N1382" s="8" t="str">
        <f t="shared" si="65"/>
        <v>-</v>
      </c>
      <c r="O1382" s="126"/>
      <c r="P1382" s="127"/>
      <c r="Q1382" s="127"/>
      <c r="R1382" s="126"/>
      <c r="S1382" s="127"/>
      <c r="T1382" s="8"/>
      <c r="U1382" s="158"/>
      <c r="V1382" s="7"/>
      <c r="W1382" s="7"/>
      <c r="X1382" s="146"/>
      <c r="Y1382" s="7"/>
      <c r="Z1382" s="7"/>
      <c r="AA1382" s="7" t="str">
        <f>IFERROR((VLOOKUP(F1382,#REF!,2,FALSE)),"-")</f>
        <v>-</v>
      </c>
      <c r="AB1382" s="119" t="e">
        <f>CONCATENATE(F1382," - ",I1382," - ",#REF!,)</f>
        <v>#REF!</v>
      </c>
    </row>
    <row r="1383" spans="1:28" s="116" customFormat="1" ht="15">
      <c r="A1383" s="114"/>
      <c r="B1383" s="120"/>
      <c r="C1383" s="129" t="str">
        <f t="shared" si="63"/>
        <v>week-0</v>
      </c>
      <c r="D1383" s="120" t="str">
        <f t="shared" si="64"/>
        <v>Jan</v>
      </c>
      <c r="E1383" s="7"/>
      <c r="F1383" s="7"/>
      <c r="G1383" s="120"/>
      <c r="H1383" s="120"/>
      <c r="I1383" s="118"/>
      <c r="J1383" s="118"/>
      <c r="K1383" s="115"/>
      <c r="L1383" s="115"/>
      <c r="M1383" s="8"/>
      <c r="N1383" s="8" t="str">
        <f t="shared" si="65"/>
        <v>-</v>
      </c>
      <c r="O1383" s="126"/>
      <c r="P1383" s="127"/>
      <c r="Q1383" s="127"/>
      <c r="R1383" s="126"/>
      <c r="S1383" s="127"/>
      <c r="T1383" s="8"/>
      <c r="U1383" s="158"/>
      <c r="V1383" s="7"/>
      <c r="W1383" s="7"/>
      <c r="X1383" s="146"/>
      <c r="Y1383" s="7"/>
      <c r="Z1383" s="7"/>
      <c r="AA1383" s="7" t="str">
        <f>IFERROR((VLOOKUP(F1383,#REF!,2,FALSE)),"-")</f>
        <v>-</v>
      </c>
      <c r="AB1383" s="119" t="e">
        <f>CONCATENATE(F1383," - ",I1383," - ",#REF!,)</f>
        <v>#REF!</v>
      </c>
    </row>
    <row r="1384" spans="1:28" s="116" customFormat="1" ht="15">
      <c r="A1384" s="114"/>
      <c r="B1384" s="120"/>
      <c r="C1384" s="129" t="str">
        <f t="shared" si="63"/>
        <v>week-0</v>
      </c>
      <c r="D1384" s="120" t="str">
        <f t="shared" si="64"/>
        <v>Jan</v>
      </c>
      <c r="E1384" s="7"/>
      <c r="F1384" s="7"/>
      <c r="G1384" s="120"/>
      <c r="H1384" s="120"/>
      <c r="I1384" s="118"/>
      <c r="J1384" s="118"/>
      <c r="K1384" s="115"/>
      <c r="L1384" s="115"/>
      <c r="M1384" s="8"/>
      <c r="N1384" s="8" t="str">
        <f t="shared" si="65"/>
        <v>-</v>
      </c>
      <c r="O1384" s="126"/>
      <c r="P1384" s="127"/>
      <c r="Q1384" s="127"/>
      <c r="R1384" s="126"/>
      <c r="S1384" s="127"/>
      <c r="T1384" s="8"/>
      <c r="U1384" s="158"/>
      <c r="V1384" s="7"/>
      <c r="W1384" s="7"/>
      <c r="X1384" s="146"/>
      <c r="Y1384" s="7"/>
      <c r="Z1384" s="7"/>
      <c r="AA1384" s="7" t="str">
        <f>IFERROR((VLOOKUP(F1384,#REF!,2,FALSE)),"-")</f>
        <v>-</v>
      </c>
      <c r="AB1384" s="119" t="e">
        <f>CONCATENATE(F1384," - ",I1384," - ",#REF!,)</f>
        <v>#REF!</v>
      </c>
    </row>
    <row r="1385" spans="1:28" s="116" customFormat="1" ht="15">
      <c r="A1385" s="114"/>
      <c r="B1385" s="120"/>
      <c r="C1385" s="129" t="str">
        <f t="shared" si="63"/>
        <v>week-0</v>
      </c>
      <c r="D1385" s="120" t="str">
        <f t="shared" si="64"/>
        <v>Jan</v>
      </c>
      <c r="E1385" s="7"/>
      <c r="F1385" s="7"/>
      <c r="G1385" s="120"/>
      <c r="H1385" s="120"/>
      <c r="I1385" s="118"/>
      <c r="J1385" s="118"/>
      <c r="K1385" s="115"/>
      <c r="L1385" s="115"/>
      <c r="M1385" s="8"/>
      <c r="N1385" s="8" t="str">
        <f t="shared" si="65"/>
        <v>-</v>
      </c>
      <c r="O1385" s="126"/>
      <c r="P1385" s="127"/>
      <c r="Q1385" s="127"/>
      <c r="R1385" s="126"/>
      <c r="S1385" s="127"/>
      <c r="T1385" s="8"/>
      <c r="U1385" s="158"/>
      <c r="V1385" s="7"/>
      <c r="W1385" s="7"/>
      <c r="X1385" s="146"/>
      <c r="Y1385" s="7"/>
      <c r="Z1385" s="7"/>
      <c r="AA1385" s="7" t="str">
        <f>IFERROR((VLOOKUP(F1385,#REF!,2,FALSE)),"-")</f>
        <v>-</v>
      </c>
      <c r="AB1385" s="119" t="e">
        <f>CONCATENATE(F1385," - ",I1385," - ",#REF!,)</f>
        <v>#REF!</v>
      </c>
    </row>
    <row r="1386" spans="1:28" s="116" customFormat="1" ht="15">
      <c r="A1386" s="114"/>
      <c r="B1386" s="120"/>
      <c r="C1386" s="129" t="str">
        <f t="shared" si="63"/>
        <v>week-0</v>
      </c>
      <c r="D1386" s="120" t="str">
        <f t="shared" si="64"/>
        <v>Jan</v>
      </c>
      <c r="E1386" s="7"/>
      <c r="F1386" s="7"/>
      <c r="G1386" s="120"/>
      <c r="H1386" s="120"/>
      <c r="I1386" s="118"/>
      <c r="J1386" s="118"/>
      <c r="K1386" s="115"/>
      <c r="L1386" s="115"/>
      <c r="M1386" s="8"/>
      <c r="N1386" s="8" t="str">
        <f t="shared" si="65"/>
        <v>-</v>
      </c>
      <c r="O1386" s="126"/>
      <c r="P1386" s="127"/>
      <c r="Q1386" s="127"/>
      <c r="R1386" s="126"/>
      <c r="S1386" s="127"/>
      <c r="T1386" s="8"/>
      <c r="U1386" s="158"/>
      <c r="V1386" s="7"/>
      <c r="W1386" s="7"/>
      <c r="X1386" s="146"/>
      <c r="Y1386" s="7"/>
      <c r="Z1386" s="7"/>
      <c r="AA1386" s="7" t="str">
        <f>IFERROR((VLOOKUP(F1386,#REF!,2,FALSE)),"-")</f>
        <v>-</v>
      </c>
      <c r="AB1386" s="119" t="e">
        <f>CONCATENATE(F1386," - ",I1386," - ",#REF!,)</f>
        <v>#REF!</v>
      </c>
    </row>
    <row r="1387" spans="1:28" s="116" customFormat="1" ht="15">
      <c r="A1387" s="114"/>
      <c r="B1387" s="120"/>
      <c r="C1387" s="129" t="str">
        <f t="shared" si="63"/>
        <v>week-0</v>
      </c>
      <c r="D1387" s="120" t="str">
        <f t="shared" si="64"/>
        <v>Jan</v>
      </c>
      <c r="E1387" s="7"/>
      <c r="F1387" s="7"/>
      <c r="G1387" s="120"/>
      <c r="H1387" s="120"/>
      <c r="I1387" s="118"/>
      <c r="J1387" s="118"/>
      <c r="K1387" s="115"/>
      <c r="L1387" s="115"/>
      <c r="M1387" s="8"/>
      <c r="N1387" s="8" t="str">
        <f t="shared" si="65"/>
        <v>-</v>
      </c>
      <c r="O1387" s="126"/>
      <c r="P1387" s="127"/>
      <c r="Q1387" s="127"/>
      <c r="R1387" s="126"/>
      <c r="S1387" s="127"/>
      <c r="T1387" s="8"/>
      <c r="U1387" s="158"/>
      <c r="V1387" s="7"/>
      <c r="W1387" s="7"/>
      <c r="X1387" s="146"/>
      <c r="Y1387" s="7"/>
      <c r="Z1387" s="7"/>
      <c r="AA1387" s="7" t="str">
        <f>IFERROR((VLOOKUP(F1387,#REF!,2,FALSE)),"-")</f>
        <v>-</v>
      </c>
      <c r="AB1387" s="119" t="e">
        <f>CONCATENATE(F1387," - ",I1387," - ",#REF!,)</f>
        <v>#REF!</v>
      </c>
    </row>
    <row r="1388" spans="1:28" s="116" customFormat="1" ht="15">
      <c r="A1388" s="114"/>
      <c r="B1388" s="120"/>
      <c r="C1388" s="129" t="str">
        <f t="shared" si="63"/>
        <v>week-0</v>
      </c>
      <c r="D1388" s="120" t="str">
        <f t="shared" si="64"/>
        <v>Jan</v>
      </c>
      <c r="E1388" s="7"/>
      <c r="F1388" s="7"/>
      <c r="G1388" s="120"/>
      <c r="H1388" s="120"/>
      <c r="I1388" s="118"/>
      <c r="J1388" s="118"/>
      <c r="K1388" s="115"/>
      <c r="L1388" s="115"/>
      <c r="M1388" s="8"/>
      <c r="N1388" s="8" t="str">
        <f t="shared" si="65"/>
        <v>-</v>
      </c>
      <c r="O1388" s="126"/>
      <c r="P1388" s="127"/>
      <c r="Q1388" s="127"/>
      <c r="R1388" s="126"/>
      <c r="S1388" s="127"/>
      <c r="T1388" s="8"/>
      <c r="U1388" s="158"/>
      <c r="V1388" s="7"/>
      <c r="W1388" s="7"/>
      <c r="X1388" s="146"/>
      <c r="Y1388" s="7"/>
      <c r="Z1388" s="7"/>
      <c r="AA1388" s="7" t="str">
        <f>IFERROR((VLOOKUP(F1388,#REF!,2,FALSE)),"-")</f>
        <v>-</v>
      </c>
      <c r="AB1388" s="119" t="e">
        <f>CONCATENATE(F1388," - ",I1388," - ",#REF!,)</f>
        <v>#REF!</v>
      </c>
    </row>
    <row r="1389" spans="1:28" s="116" customFormat="1" ht="15">
      <c r="A1389" s="114"/>
      <c r="B1389" s="120"/>
      <c r="C1389" s="129" t="str">
        <f t="shared" si="63"/>
        <v>week-0</v>
      </c>
      <c r="D1389" s="120" t="str">
        <f t="shared" si="64"/>
        <v>Jan</v>
      </c>
      <c r="E1389" s="7"/>
      <c r="F1389" s="7"/>
      <c r="G1389" s="120"/>
      <c r="H1389" s="120"/>
      <c r="I1389" s="118"/>
      <c r="J1389" s="118"/>
      <c r="K1389" s="115"/>
      <c r="L1389" s="115"/>
      <c r="M1389" s="8"/>
      <c r="N1389" s="8" t="str">
        <f t="shared" si="65"/>
        <v>-</v>
      </c>
      <c r="O1389" s="126"/>
      <c r="P1389" s="127"/>
      <c r="Q1389" s="127"/>
      <c r="R1389" s="126"/>
      <c r="S1389" s="127"/>
      <c r="T1389" s="8"/>
      <c r="U1389" s="158"/>
      <c r="V1389" s="7"/>
      <c r="W1389" s="7"/>
      <c r="X1389" s="146"/>
      <c r="Y1389" s="7"/>
      <c r="Z1389" s="7"/>
      <c r="AA1389" s="7" t="str">
        <f>IFERROR((VLOOKUP(F1389,#REF!,2,FALSE)),"-")</f>
        <v>-</v>
      </c>
      <c r="AB1389" s="119" t="e">
        <f>CONCATENATE(F1389," - ",I1389," - ",#REF!,)</f>
        <v>#REF!</v>
      </c>
    </row>
    <row r="1390" spans="1:28" s="116" customFormat="1" ht="15">
      <c r="A1390" s="114"/>
      <c r="B1390" s="120"/>
      <c r="C1390" s="129" t="str">
        <f t="shared" si="63"/>
        <v>week-0</v>
      </c>
      <c r="D1390" s="120" t="str">
        <f t="shared" si="64"/>
        <v>Jan</v>
      </c>
      <c r="E1390" s="7"/>
      <c r="F1390" s="7"/>
      <c r="G1390" s="120"/>
      <c r="H1390" s="120"/>
      <c r="I1390" s="118"/>
      <c r="J1390" s="118"/>
      <c r="K1390" s="115"/>
      <c r="L1390" s="115"/>
      <c r="M1390" s="8"/>
      <c r="N1390" s="8" t="str">
        <f t="shared" si="65"/>
        <v>-</v>
      </c>
      <c r="O1390" s="126"/>
      <c r="P1390" s="127"/>
      <c r="Q1390" s="127"/>
      <c r="R1390" s="126"/>
      <c r="S1390" s="127"/>
      <c r="T1390" s="8"/>
      <c r="U1390" s="158"/>
      <c r="V1390" s="7"/>
      <c r="W1390" s="7"/>
      <c r="X1390" s="146"/>
      <c r="Y1390" s="7"/>
      <c r="Z1390" s="7"/>
      <c r="AA1390" s="7" t="str">
        <f>IFERROR((VLOOKUP(F1390,#REF!,2,FALSE)),"-")</f>
        <v>-</v>
      </c>
      <c r="AB1390" s="119" t="e">
        <f>CONCATENATE(F1390," - ",I1390," - ",#REF!,)</f>
        <v>#REF!</v>
      </c>
    </row>
    <row r="1391" spans="1:28" s="116" customFormat="1" ht="15">
      <c r="A1391" s="114"/>
      <c r="B1391" s="120"/>
      <c r="C1391" s="129" t="str">
        <f t="shared" si="63"/>
        <v>week-0</v>
      </c>
      <c r="D1391" s="120" t="str">
        <f t="shared" si="64"/>
        <v>Jan</v>
      </c>
      <c r="E1391" s="7"/>
      <c r="F1391" s="7"/>
      <c r="G1391" s="120"/>
      <c r="H1391" s="120"/>
      <c r="I1391" s="118"/>
      <c r="J1391" s="118"/>
      <c r="K1391" s="115"/>
      <c r="L1391" s="115"/>
      <c r="M1391" s="8"/>
      <c r="N1391" s="8" t="str">
        <f t="shared" si="65"/>
        <v>-</v>
      </c>
      <c r="O1391" s="126"/>
      <c r="P1391" s="127"/>
      <c r="Q1391" s="127"/>
      <c r="R1391" s="126"/>
      <c r="S1391" s="127"/>
      <c r="T1391" s="8"/>
      <c r="U1391" s="158"/>
      <c r="V1391" s="7"/>
      <c r="W1391" s="7"/>
      <c r="X1391" s="146"/>
      <c r="Y1391" s="7"/>
      <c r="Z1391" s="7"/>
      <c r="AA1391" s="7" t="str">
        <f>IFERROR((VLOOKUP(F1391,#REF!,2,FALSE)),"-")</f>
        <v>-</v>
      </c>
      <c r="AB1391" s="119" t="e">
        <f>CONCATENATE(F1391," - ",I1391," - ",#REF!,)</f>
        <v>#REF!</v>
      </c>
    </row>
    <row r="1392" spans="1:28" s="116" customFormat="1" ht="15">
      <c r="A1392" s="114"/>
      <c r="B1392" s="120"/>
      <c r="C1392" s="129" t="str">
        <f t="shared" si="63"/>
        <v>week-0</v>
      </c>
      <c r="D1392" s="120" t="str">
        <f t="shared" si="64"/>
        <v>Jan</v>
      </c>
      <c r="E1392" s="7"/>
      <c r="F1392" s="7"/>
      <c r="G1392" s="120"/>
      <c r="H1392" s="120"/>
      <c r="I1392" s="118"/>
      <c r="J1392" s="118"/>
      <c r="K1392" s="115"/>
      <c r="L1392" s="115"/>
      <c r="M1392" s="8"/>
      <c r="N1392" s="8" t="str">
        <f t="shared" si="65"/>
        <v>-</v>
      </c>
      <c r="O1392" s="126"/>
      <c r="P1392" s="127"/>
      <c r="Q1392" s="127"/>
      <c r="R1392" s="126"/>
      <c r="S1392" s="127"/>
      <c r="T1392" s="8"/>
      <c r="U1392" s="158"/>
      <c r="V1392" s="7"/>
      <c r="W1392" s="7"/>
      <c r="X1392" s="146"/>
      <c r="Y1392" s="7"/>
      <c r="Z1392" s="7"/>
      <c r="AA1392" s="7" t="str">
        <f>IFERROR((VLOOKUP(F1392,#REF!,2,FALSE)),"-")</f>
        <v>-</v>
      </c>
      <c r="AB1392" s="119" t="e">
        <f>CONCATENATE(F1392," - ",I1392," - ",#REF!,)</f>
        <v>#REF!</v>
      </c>
    </row>
    <row r="1393" spans="1:28" s="116" customFormat="1" ht="15">
      <c r="A1393" s="114"/>
      <c r="B1393" s="120"/>
      <c r="C1393" s="129" t="str">
        <f t="shared" si="63"/>
        <v>week-0</v>
      </c>
      <c r="D1393" s="120" t="str">
        <f t="shared" si="64"/>
        <v>Jan</v>
      </c>
      <c r="E1393" s="7"/>
      <c r="F1393" s="7"/>
      <c r="G1393" s="120"/>
      <c r="H1393" s="120"/>
      <c r="I1393" s="118"/>
      <c r="J1393" s="118"/>
      <c r="K1393" s="115"/>
      <c r="L1393" s="115"/>
      <c r="M1393" s="8"/>
      <c r="N1393" s="8" t="str">
        <f t="shared" si="65"/>
        <v>-</v>
      </c>
      <c r="O1393" s="126"/>
      <c r="P1393" s="127"/>
      <c r="Q1393" s="127"/>
      <c r="R1393" s="126"/>
      <c r="S1393" s="127"/>
      <c r="T1393" s="8"/>
      <c r="U1393" s="158"/>
      <c r="V1393" s="7"/>
      <c r="W1393" s="7"/>
      <c r="X1393" s="146"/>
      <c r="Y1393" s="7"/>
      <c r="Z1393" s="7"/>
      <c r="AA1393" s="7" t="str">
        <f>IFERROR((VLOOKUP(F1393,#REF!,2,FALSE)),"-")</f>
        <v>-</v>
      </c>
      <c r="AB1393" s="119" t="e">
        <f>CONCATENATE(F1393," - ",I1393," - ",#REF!,)</f>
        <v>#REF!</v>
      </c>
    </row>
    <row r="1394" spans="1:28" s="116" customFormat="1" ht="15">
      <c r="A1394" s="114"/>
      <c r="B1394" s="120"/>
      <c r="C1394" s="129" t="str">
        <f t="shared" si="63"/>
        <v>week-0</v>
      </c>
      <c r="D1394" s="120" t="str">
        <f t="shared" si="64"/>
        <v>Jan</v>
      </c>
      <c r="E1394" s="7"/>
      <c r="F1394" s="7"/>
      <c r="G1394" s="120"/>
      <c r="H1394" s="120"/>
      <c r="I1394" s="118"/>
      <c r="J1394" s="118"/>
      <c r="K1394" s="115"/>
      <c r="L1394" s="115"/>
      <c r="M1394" s="8"/>
      <c r="N1394" s="8" t="str">
        <f t="shared" si="65"/>
        <v>-</v>
      </c>
      <c r="O1394" s="126"/>
      <c r="P1394" s="127"/>
      <c r="Q1394" s="127"/>
      <c r="R1394" s="126"/>
      <c r="S1394" s="127"/>
      <c r="T1394" s="8"/>
      <c r="U1394" s="158"/>
      <c r="V1394" s="7"/>
      <c r="W1394" s="7"/>
      <c r="X1394" s="146"/>
      <c r="Y1394" s="7"/>
      <c r="Z1394" s="7"/>
      <c r="AA1394" s="7" t="str">
        <f>IFERROR((VLOOKUP(F1394,#REF!,2,FALSE)),"-")</f>
        <v>-</v>
      </c>
      <c r="AB1394" s="119" t="e">
        <f>CONCATENATE(F1394," - ",I1394," - ",#REF!,)</f>
        <v>#REF!</v>
      </c>
    </row>
    <row r="1395" spans="1:28" s="116" customFormat="1" ht="15">
      <c r="A1395" s="114"/>
      <c r="B1395" s="120"/>
      <c r="C1395" s="129" t="str">
        <f t="shared" si="63"/>
        <v>week-0</v>
      </c>
      <c r="D1395" s="120" t="str">
        <f t="shared" si="64"/>
        <v>Jan</v>
      </c>
      <c r="E1395" s="7"/>
      <c r="F1395" s="7"/>
      <c r="G1395" s="120"/>
      <c r="H1395" s="120"/>
      <c r="I1395" s="118"/>
      <c r="J1395" s="118"/>
      <c r="K1395" s="115"/>
      <c r="L1395" s="115"/>
      <c r="M1395" s="8"/>
      <c r="N1395" s="8" t="str">
        <f t="shared" si="65"/>
        <v>-</v>
      </c>
      <c r="O1395" s="126"/>
      <c r="P1395" s="127"/>
      <c r="Q1395" s="127"/>
      <c r="R1395" s="126"/>
      <c r="S1395" s="127"/>
      <c r="T1395" s="8"/>
      <c r="U1395" s="158"/>
      <c r="V1395" s="7"/>
      <c r="W1395" s="7"/>
      <c r="X1395" s="146"/>
      <c r="Y1395" s="7"/>
      <c r="Z1395" s="7"/>
      <c r="AA1395" s="7" t="str">
        <f>IFERROR((VLOOKUP(F1395,#REF!,2,FALSE)),"-")</f>
        <v>-</v>
      </c>
      <c r="AB1395" s="119" t="e">
        <f>CONCATENATE(F1395," - ",I1395," - ",#REF!,)</f>
        <v>#REF!</v>
      </c>
    </row>
    <row r="1396" spans="1:28" s="116" customFormat="1" ht="15">
      <c r="A1396" s="114"/>
      <c r="B1396" s="120"/>
      <c r="C1396" s="129" t="str">
        <f t="shared" si="63"/>
        <v>week-0</v>
      </c>
      <c r="D1396" s="120" t="str">
        <f t="shared" si="64"/>
        <v>Jan</v>
      </c>
      <c r="E1396" s="7"/>
      <c r="F1396" s="7"/>
      <c r="G1396" s="120"/>
      <c r="H1396" s="120"/>
      <c r="I1396" s="118"/>
      <c r="J1396" s="118"/>
      <c r="K1396" s="115"/>
      <c r="L1396" s="115"/>
      <c r="M1396" s="8"/>
      <c r="N1396" s="8" t="str">
        <f t="shared" si="65"/>
        <v>-</v>
      </c>
      <c r="O1396" s="126"/>
      <c r="P1396" s="127"/>
      <c r="Q1396" s="127"/>
      <c r="R1396" s="126"/>
      <c r="S1396" s="127"/>
      <c r="T1396" s="8"/>
      <c r="U1396" s="158"/>
      <c r="V1396" s="7"/>
      <c r="W1396" s="7"/>
      <c r="X1396" s="146"/>
      <c r="Y1396" s="7"/>
      <c r="Z1396" s="7"/>
      <c r="AA1396" s="7" t="str">
        <f>IFERROR((VLOOKUP(F1396,#REF!,2,FALSE)),"-")</f>
        <v>-</v>
      </c>
      <c r="AB1396" s="119" t="e">
        <f>CONCATENATE(F1396," - ",I1396," - ",#REF!,)</f>
        <v>#REF!</v>
      </c>
    </row>
    <row r="1397" spans="1:28" s="116" customFormat="1" ht="15">
      <c r="A1397" s="114"/>
      <c r="B1397" s="120"/>
      <c r="C1397" s="129" t="str">
        <f t="shared" si="63"/>
        <v>week-0</v>
      </c>
      <c r="D1397" s="120" t="str">
        <f t="shared" si="64"/>
        <v>Jan</v>
      </c>
      <c r="E1397" s="7"/>
      <c r="F1397" s="7"/>
      <c r="G1397" s="120"/>
      <c r="H1397" s="120"/>
      <c r="I1397" s="118"/>
      <c r="J1397" s="118"/>
      <c r="K1397" s="115"/>
      <c r="L1397" s="115"/>
      <c r="M1397" s="8"/>
      <c r="N1397" s="8" t="str">
        <f t="shared" si="65"/>
        <v>-</v>
      </c>
      <c r="O1397" s="126"/>
      <c r="P1397" s="127"/>
      <c r="Q1397" s="127"/>
      <c r="R1397" s="126"/>
      <c r="S1397" s="127"/>
      <c r="T1397" s="8"/>
      <c r="U1397" s="158"/>
      <c r="V1397" s="7"/>
      <c r="W1397" s="7"/>
      <c r="X1397" s="146"/>
      <c r="Y1397" s="7"/>
      <c r="Z1397" s="7"/>
      <c r="AA1397" s="7" t="str">
        <f>IFERROR((VLOOKUP(F1397,#REF!,2,FALSE)),"-")</f>
        <v>-</v>
      </c>
      <c r="AB1397" s="119" t="e">
        <f>CONCATENATE(F1397," - ",I1397," - ",#REF!,)</f>
        <v>#REF!</v>
      </c>
    </row>
    <row r="1398" spans="1:28" s="116" customFormat="1" ht="15">
      <c r="A1398" s="114"/>
      <c r="B1398" s="120"/>
      <c r="C1398" s="129" t="str">
        <f t="shared" si="63"/>
        <v>week-0</v>
      </c>
      <c r="D1398" s="120" t="str">
        <f t="shared" si="64"/>
        <v>Jan</v>
      </c>
      <c r="E1398" s="7"/>
      <c r="F1398" s="7"/>
      <c r="G1398" s="120"/>
      <c r="H1398" s="120"/>
      <c r="I1398" s="118"/>
      <c r="J1398" s="118"/>
      <c r="K1398" s="115"/>
      <c r="L1398" s="115"/>
      <c r="M1398" s="8"/>
      <c r="N1398" s="8" t="str">
        <f t="shared" si="65"/>
        <v>-</v>
      </c>
      <c r="O1398" s="126"/>
      <c r="P1398" s="127"/>
      <c r="Q1398" s="127"/>
      <c r="R1398" s="126"/>
      <c r="S1398" s="127"/>
      <c r="T1398" s="8"/>
      <c r="U1398" s="158"/>
      <c r="V1398" s="7"/>
      <c r="W1398" s="7"/>
      <c r="X1398" s="146"/>
      <c r="Y1398" s="7"/>
      <c r="Z1398" s="7"/>
      <c r="AA1398" s="7" t="str">
        <f>IFERROR((VLOOKUP(F1398,#REF!,2,FALSE)),"-")</f>
        <v>-</v>
      </c>
      <c r="AB1398" s="119" t="e">
        <f>CONCATENATE(F1398," - ",I1398," - ",#REF!,)</f>
        <v>#REF!</v>
      </c>
    </row>
    <row r="1399" spans="1:28" s="116" customFormat="1" ht="15">
      <c r="A1399" s="114"/>
      <c r="B1399" s="120"/>
      <c r="C1399" s="129" t="str">
        <f t="shared" si="63"/>
        <v>week-0</v>
      </c>
      <c r="D1399" s="120" t="str">
        <f t="shared" si="64"/>
        <v>Jan</v>
      </c>
      <c r="E1399" s="7"/>
      <c r="F1399" s="7"/>
      <c r="G1399" s="120"/>
      <c r="H1399" s="120"/>
      <c r="I1399" s="118"/>
      <c r="J1399" s="118"/>
      <c r="K1399" s="115"/>
      <c r="L1399" s="115"/>
      <c r="M1399" s="8"/>
      <c r="N1399" s="8" t="str">
        <f t="shared" si="65"/>
        <v>-</v>
      </c>
      <c r="O1399" s="126"/>
      <c r="P1399" s="127"/>
      <c r="Q1399" s="127"/>
      <c r="R1399" s="126"/>
      <c r="S1399" s="127"/>
      <c r="T1399" s="8"/>
      <c r="U1399" s="158"/>
      <c r="V1399" s="7"/>
      <c r="W1399" s="7"/>
      <c r="X1399" s="146"/>
      <c r="Y1399" s="7"/>
      <c r="Z1399" s="7"/>
      <c r="AA1399" s="7" t="str">
        <f>IFERROR((VLOOKUP(F1399,#REF!,2,FALSE)),"-")</f>
        <v>-</v>
      </c>
      <c r="AB1399" s="119" t="e">
        <f>CONCATENATE(F1399," - ",I1399," - ",#REF!,)</f>
        <v>#REF!</v>
      </c>
    </row>
    <row r="1400" spans="1:28" s="116" customFormat="1" ht="15">
      <c r="A1400" s="114"/>
      <c r="B1400" s="120"/>
      <c r="C1400" s="129" t="str">
        <f t="shared" si="63"/>
        <v>week-0</v>
      </c>
      <c r="D1400" s="120" t="str">
        <f t="shared" si="64"/>
        <v>Jan</v>
      </c>
      <c r="E1400" s="7"/>
      <c r="F1400" s="7"/>
      <c r="G1400" s="120"/>
      <c r="H1400" s="120"/>
      <c r="I1400" s="118"/>
      <c r="J1400" s="118"/>
      <c r="K1400" s="115"/>
      <c r="L1400" s="115"/>
      <c r="M1400" s="8"/>
      <c r="N1400" s="8" t="str">
        <f t="shared" si="65"/>
        <v>-</v>
      </c>
      <c r="O1400" s="126"/>
      <c r="P1400" s="127"/>
      <c r="Q1400" s="127"/>
      <c r="R1400" s="126"/>
      <c r="S1400" s="127"/>
      <c r="T1400" s="8"/>
      <c r="U1400" s="158"/>
      <c r="V1400" s="7"/>
      <c r="W1400" s="7"/>
      <c r="X1400" s="146"/>
      <c r="Y1400" s="7"/>
      <c r="Z1400" s="7"/>
      <c r="AA1400" s="7" t="str">
        <f>IFERROR((VLOOKUP(F1400,#REF!,2,FALSE)),"-")</f>
        <v>-</v>
      </c>
      <c r="AB1400" s="119" t="e">
        <f>CONCATENATE(F1400," - ",I1400," - ",#REF!,)</f>
        <v>#REF!</v>
      </c>
    </row>
    <row r="1401" spans="1:28" s="116" customFormat="1" ht="15">
      <c r="A1401" s="114"/>
      <c r="B1401" s="120"/>
      <c r="C1401" s="129" t="str">
        <f t="shared" si="63"/>
        <v>week-0</v>
      </c>
      <c r="D1401" s="120" t="str">
        <f t="shared" si="64"/>
        <v>Jan</v>
      </c>
      <c r="E1401" s="7"/>
      <c r="F1401" s="7"/>
      <c r="G1401" s="120"/>
      <c r="H1401" s="120"/>
      <c r="I1401" s="118"/>
      <c r="J1401" s="118"/>
      <c r="K1401" s="115"/>
      <c r="L1401" s="115"/>
      <c r="M1401" s="8"/>
      <c r="N1401" s="8" t="str">
        <f t="shared" si="65"/>
        <v>-</v>
      </c>
      <c r="O1401" s="126"/>
      <c r="P1401" s="127"/>
      <c r="Q1401" s="127"/>
      <c r="R1401" s="126"/>
      <c r="S1401" s="127"/>
      <c r="T1401" s="8"/>
      <c r="U1401" s="158"/>
      <c r="V1401" s="7"/>
      <c r="W1401" s="7"/>
      <c r="X1401" s="146"/>
      <c r="Y1401" s="7"/>
      <c r="Z1401" s="7"/>
      <c r="AA1401" s="7" t="str">
        <f>IFERROR((VLOOKUP(F1401,#REF!,2,FALSE)),"-")</f>
        <v>-</v>
      </c>
      <c r="AB1401" s="119" t="e">
        <f>CONCATENATE(F1401," - ",I1401," - ",#REF!,)</f>
        <v>#REF!</v>
      </c>
    </row>
    <row r="1402" spans="1:28" s="116" customFormat="1" ht="15">
      <c r="A1402" s="114"/>
      <c r="B1402" s="120"/>
      <c r="C1402" s="129" t="str">
        <f t="shared" si="63"/>
        <v>week-0</v>
      </c>
      <c r="D1402" s="120" t="str">
        <f t="shared" si="64"/>
        <v>Jan</v>
      </c>
      <c r="E1402" s="7"/>
      <c r="F1402" s="7"/>
      <c r="G1402" s="120"/>
      <c r="H1402" s="120"/>
      <c r="I1402" s="118"/>
      <c r="J1402" s="118"/>
      <c r="K1402" s="115"/>
      <c r="L1402" s="115"/>
      <c r="M1402" s="8"/>
      <c r="N1402" s="8" t="str">
        <f t="shared" si="65"/>
        <v>-</v>
      </c>
      <c r="O1402" s="126"/>
      <c r="P1402" s="127"/>
      <c r="Q1402" s="127"/>
      <c r="R1402" s="126"/>
      <c r="S1402" s="127"/>
      <c r="T1402" s="8"/>
      <c r="U1402" s="158"/>
      <c r="V1402" s="7"/>
      <c r="W1402" s="7"/>
      <c r="X1402" s="146"/>
      <c r="Y1402" s="7"/>
      <c r="Z1402" s="7"/>
      <c r="AA1402" s="7" t="str">
        <f>IFERROR((VLOOKUP(F1402,#REF!,2,FALSE)),"-")</f>
        <v>-</v>
      </c>
      <c r="AB1402" s="119" t="e">
        <f>CONCATENATE(F1402," - ",I1402," - ",#REF!,)</f>
        <v>#REF!</v>
      </c>
    </row>
    <row r="1403" spans="1:28" s="116" customFormat="1" ht="15">
      <c r="A1403" s="114"/>
      <c r="B1403" s="120"/>
      <c r="C1403" s="129" t="str">
        <f t="shared" si="63"/>
        <v>week-0</v>
      </c>
      <c r="D1403" s="120" t="str">
        <f t="shared" si="64"/>
        <v>Jan</v>
      </c>
      <c r="E1403" s="7"/>
      <c r="F1403" s="7"/>
      <c r="G1403" s="120"/>
      <c r="H1403" s="120"/>
      <c r="I1403" s="118"/>
      <c r="J1403" s="118"/>
      <c r="K1403" s="115"/>
      <c r="L1403" s="115"/>
      <c r="M1403" s="8"/>
      <c r="N1403" s="8" t="str">
        <f t="shared" si="65"/>
        <v>-</v>
      </c>
      <c r="O1403" s="126"/>
      <c r="P1403" s="127"/>
      <c r="Q1403" s="127"/>
      <c r="R1403" s="126"/>
      <c r="S1403" s="127"/>
      <c r="T1403" s="8"/>
      <c r="U1403" s="158"/>
      <c r="V1403" s="7"/>
      <c r="W1403" s="7"/>
      <c r="X1403" s="146"/>
      <c r="Y1403" s="7"/>
      <c r="Z1403" s="7"/>
      <c r="AA1403" s="7" t="str">
        <f>IFERROR((VLOOKUP(F1403,#REF!,2,FALSE)),"-")</f>
        <v>-</v>
      </c>
      <c r="AB1403" s="119" t="e">
        <f>CONCATENATE(F1403," - ",I1403," - ",#REF!,)</f>
        <v>#REF!</v>
      </c>
    </row>
    <row r="1404" spans="1:28" s="116" customFormat="1" ht="15">
      <c r="A1404" s="114"/>
      <c r="B1404" s="120"/>
      <c r="C1404" s="129" t="str">
        <f t="shared" si="63"/>
        <v>week-0</v>
      </c>
      <c r="D1404" s="120" t="str">
        <f t="shared" si="64"/>
        <v>Jan</v>
      </c>
      <c r="E1404" s="7"/>
      <c r="F1404" s="7"/>
      <c r="G1404" s="120"/>
      <c r="H1404" s="120"/>
      <c r="I1404" s="118"/>
      <c r="J1404" s="118"/>
      <c r="K1404" s="115"/>
      <c r="L1404" s="115"/>
      <c r="M1404" s="8"/>
      <c r="N1404" s="8" t="str">
        <f t="shared" si="65"/>
        <v>-</v>
      </c>
      <c r="O1404" s="126"/>
      <c r="P1404" s="127"/>
      <c r="Q1404" s="127"/>
      <c r="R1404" s="126"/>
      <c r="S1404" s="127"/>
      <c r="T1404" s="8"/>
      <c r="U1404" s="158"/>
      <c r="V1404" s="7"/>
      <c r="W1404" s="7"/>
      <c r="X1404" s="146"/>
      <c r="Y1404" s="7"/>
      <c r="Z1404" s="7"/>
      <c r="AA1404" s="7" t="str">
        <f>IFERROR((VLOOKUP(F1404,#REF!,2,FALSE)),"-")</f>
        <v>-</v>
      </c>
      <c r="AB1404" s="119" t="e">
        <f>CONCATENATE(F1404," - ",I1404," - ",#REF!,)</f>
        <v>#REF!</v>
      </c>
    </row>
    <row r="1405" spans="1:28" s="116" customFormat="1" ht="15">
      <c r="A1405" s="114"/>
      <c r="B1405" s="120"/>
      <c r="C1405" s="129" t="str">
        <f t="shared" si="63"/>
        <v>week-0</v>
      </c>
      <c r="D1405" s="120" t="str">
        <f t="shared" si="64"/>
        <v>Jan</v>
      </c>
      <c r="E1405" s="7"/>
      <c r="F1405" s="7"/>
      <c r="G1405" s="120"/>
      <c r="H1405" s="120"/>
      <c r="I1405" s="118"/>
      <c r="J1405" s="118"/>
      <c r="K1405" s="115"/>
      <c r="L1405" s="115"/>
      <c r="M1405" s="8"/>
      <c r="N1405" s="8" t="str">
        <f t="shared" si="65"/>
        <v>-</v>
      </c>
      <c r="O1405" s="126"/>
      <c r="P1405" s="127"/>
      <c r="Q1405" s="127"/>
      <c r="R1405" s="126"/>
      <c r="S1405" s="127"/>
      <c r="T1405" s="8"/>
      <c r="U1405" s="158"/>
      <c r="V1405" s="7"/>
      <c r="W1405" s="7"/>
      <c r="X1405" s="146"/>
      <c r="Y1405" s="7"/>
      <c r="Z1405" s="7"/>
      <c r="AA1405" s="7" t="str">
        <f>IFERROR((VLOOKUP(F1405,#REF!,2,FALSE)),"-")</f>
        <v>-</v>
      </c>
      <c r="AB1405" s="119" t="e">
        <f>CONCATENATE(F1405," - ",I1405," - ",#REF!,)</f>
        <v>#REF!</v>
      </c>
    </row>
    <row r="1406" spans="1:28" s="116" customFormat="1" ht="15">
      <c r="A1406" s="114"/>
      <c r="B1406" s="120"/>
      <c r="C1406" s="129" t="str">
        <f t="shared" si="63"/>
        <v>week-0</v>
      </c>
      <c r="D1406" s="120" t="str">
        <f t="shared" si="64"/>
        <v>Jan</v>
      </c>
      <c r="E1406" s="7"/>
      <c r="F1406" s="7"/>
      <c r="G1406" s="120"/>
      <c r="H1406" s="120"/>
      <c r="I1406" s="118"/>
      <c r="J1406" s="118"/>
      <c r="K1406" s="115"/>
      <c r="L1406" s="115"/>
      <c r="M1406" s="8"/>
      <c r="N1406" s="8" t="str">
        <f t="shared" si="65"/>
        <v>-</v>
      </c>
      <c r="O1406" s="126"/>
      <c r="P1406" s="127"/>
      <c r="Q1406" s="127"/>
      <c r="R1406" s="126"/>
      <c r="S1406" s="127"/>
      <c r="T1406" s="8"/>
      <c r="U1406" s="158"/>
      <c r="V1406" s="7"/>
      <c r="W1406" s="7"/>
      <c r="X1406" s="146"/>
      <c r="Y1406" s="7"/>
      <c r="Z1406" s="7"/>
      <c r="AA1406" s="7" t="str">
        <f>IFERROR((VLOOKUP(F1406,#REF!,2,FALSE)),"-")</f>
        <v>-</v>
      </c>
      <c r="AB1406" s="119" t="e">
        <f>CONCATENATE(F1406," - ",I1406," - ",#REF!,)</f>
        <v>#REF!</v>
      </c>
    </row>
    <row r="1407" spans="1:28" s="116" customFormat="1" ht="15">
      <c r="A1407" s="114"/>
      <c r="B1407" s="120"/>
      <c r="C1407" s="129" t="str">
        <f t="shared" si="63"/>
        <v>week-0</v>
      </c>
      <c r="D1407" s="120" t="str">
        <f t="shared" si="64"/>
        <v>Jan</v>
      </c>
      <c r="E1407" s="7"/>
      <c r="F1407" s="7"/>
      <c r="G1407" s="120"/>
      <c r="H1407" s="120"/>
      <c r="I1407" s="118"/>
      <c r="J1407" s="118"/>
      <c r="K1407" s="115"/>
      <c r="L1407" s="115"/>
      <c r="M1407" s="8"/>
      <c r="N1407" s="8" t="str">
        <f t="shared" si="65"/>
        <v>-</v>
      </c>
      <c r="O1407" s="126"/>
      <c r="P1407" s="127"/>
      <c r="Q1407" s="127"/>
      <c r="R1407" s="126"/>
      <c r="S1407" s="127"/>
      <c r="T1407" s="8"/>
      <c r="U1407" s="158"/>
      <c r="V1407" s="7"/>
      <c r="W1407" s="7"/>
      <c r="X1407" s="146"/>
      <c r="Y1407" s="7"/>
      <c r="Z1407" s="7"/>
      <c r="AA1407" s="7" t="str">
        <f>IFERROR((VLOOKUP(F1407,#REF!,2,FALSE)),"-")</f>
        <v>-</v>
      </c>
      <c r="AB1407" s="119" t="e">
        <f>CONCATENATE(F1407," - ",I1407," - ",#REF!,)</f>
        <v>#REF!</v>
      </c>
    </row>
    <row r="1408" spans="1:28" s="116" customFormat="1" ht="15">
      <c r="A1408" s="114"/>
      <c r="B1408" s="120"/>
      <c r="C1408" s="129" t="str">
        <f t="shared" si="63"/>
        <v>week-0</v>
      </c>
      <c r="D1408" s="120" t="str">
        <f t="shared" si="64"/>
        <v>Jan</v>
      </c>
      <c r="E1408" s="7"/>
      <c r="F1408" s="7"/>
      <c r="G1408" s="120"/>
      <c r="H1408" s="120"/>
      <c r="I1408" s="118"/>
      <c r="J1408" s="118"/>
      <c r="K1408" s="115"/>
      <c r="L1408" s="115"/>
      <c r="M1408" s="8"/>
      <c r="N1408" s="8" t="str">
        <f t="shared" si="65"/>
        <v>-</v>
      </c>
      <c r="O1408" s="126"/>
      <c r="P1408" s="127"/>
      <c r="Q1408" s="127"/>
      <c r="R1408" s="126"/>
      <c r="S1408" s="127"/>
      <c r="T1408" s="8"/>
      <c r="U1408" s="158"/>
      <c r="V1408" s="7"/>
      <c r="W1408" s="7"/>
      <c r="X1408" s="146"/>
      <c r="Y1408" s="7"/>
      <c r="Z1408" s="7"/>
      <c r="AA1408" s="7" t="str">
        <f>IFERROR((VLOOKUP(F1408,#REF!,2,FALSE)),"-")</f>
        <v>-</v>
      </c>
      <c r="AB1408" s="119" t="e">
        <f>CONCATENATE(F1408," - ",I1408," - ",#REF!,)</f>
        <v>#REF!</v>
      </c>
    </row>
    <row r="1409" spans="1:28" s="116" customFormat="1" ht="15">
      <c r="A1409" s="114"/>
      <c r="B1409" s="120"/>
      <c r="C1409" s="129" t="str">
        <f t="shared" si="63"/>
        <v>week-0</v>
      </c>
      <c r="D1409" s="120" t="str">
        <f t="shared" si="64"/>
        <v>Jan</v>
      </c>
      <c r="E1409" s="7"/>
      <c r="F1409" s="7"/>
      <c r="G1409" s="120"/>
      <c r="H1409" s="120"/>
      <c r="I1409" s="118"/>
      <c r="J1409" s="118"/>
      <c r="K1409" s="115"/>
      <c r="L1409" s="115"/>
      <c r="M1409" s="8"/>
      <c r="N1409" s="8" t="str">
        <f t="shared" si="65"/>
        <v>-</v>
      </c>
      <c r="O1409" s="126"/>
      <c r="P1409" s="127"/>
      <c r="Q1409" s="127"/>
      <c r="R1409" s="126"/>
      <c r="S1409" s="127"/>
      <c r="T1409" s="8"/>
      <c r="U1409" s="158"/>
      <c r="V1409" s="7"/>
      <c r="W1409" s="7"/>
      <c r="X1409" s="146"/>
      <c r="Y1409" s="7"/>
      <c r="Z1409" s="7"/>
      <c r="AA1409" s="7" t="str">
        <f>IFERROR((VLOOKUP(F1409,#REF!,2,FALSE)),"-")</f>
        <v>-</v>
      </c>
      <c r="AB1409" s="119" t="e">
        <f>CONCATENATE(F1409," - ",I1409," - ",#REF!,)</f>
        <v>#REF!</v>
      </c>
    </row>
    <row r="1410" spans="1:28" s="116" customFormat="1" ht="15">
      <c r="A1410" s="114"/>
      <c r="B1410" s="120"/>
      <c r="C1410" s="129" t="str">
        <f t="shared" si="63"/>
        <v>week-0</v>
      </c>
      <c r="D1410" s="120" t="str">
        <f t="shared" si="64"/>
        <v>Jan</v>
      </c>
      <c r="E1410" s="7"/>
      <c r="F1410" s="7"/>
      <c r="G1410" s="120"/>
      <c r="H1410" s="120"/>
      <c r="I1410" s="118"/>
      <c r="J1410" s="118"/>
      <c r="K1410" s="115"/>
      <c r="L1410" s="115"/>
      <c r="M1410" s="8"/>
      <c r="N1410" s="8" t="str">
        <f t="shared" si="65"/>
        <v>-</v>
      </c>
      <c r="O1410" s="126"/>
      <c r="P1410" s="127"/>
      <c r="Q1410" s="127"/>
      <c r="R1410" s="126"/>
      <c r="S1410" s="127"/>
      <c r="T1410" s="8"/>
      <c r="U1410" s="158"/>
      <c r="V1410" s="7"/>
      <c r="W1410" s="7"/>
      <c r="X1410" s="146"/>
      <c r="Y1410" s="7"/>
      <c r="Z1410" s="7"/>
      <c r="AA1410" s="7" t="str">
        <f>IFERROR((VLOOKUP(F1410,#REF!,2,FALSE)),"-")</f>
        <v>-</v>
      </c>
      <c r="AB1410" s="119" t="e">
        <f>CONCATENATE(F1410," - ",I1410," - ",#REF!,)</f>
        <v>#REF!</v>
      </c>
    </row>
    <row r="1411" spans="1:28" s="116" customFormat="1" ht="15">
      <c r="A1411" s="114"/>
      <c r="B1411" s="120"/>
      <c r="C1411" s="129" t="str">
        <f t="shared" si="63"/>
        <v>week-0</v>
      </c>
      <c r="D1411" s="120" t="str">
        <f t="shared" si="64"/>
        <v>Jan</v>
      </c>
      <c r="E1411" s="7"/>
      <c r="F1411" s="7"/>
      <c r="G1411" s="120"/>
      <c r="H1411" s="120"/>
      <c r="I1411" s="118"/>
      <c r="J1411" s="118"/>
      <c r="K1411" s="115"/>
      <c r="L1411" s="115"/>
      <c r="M1411" s="8"/>
      <c r="N1411" s="8" t="str">
        <f t="shared" si="65"/>
        <v>-</v>
      </c>
      <c r="O1411" s="126"/>
      <c r="P1411" s="127"/>
      <c r="Q1411" s="127"/>
      <c r="R1411" s="126"/>
      <c r="S1411" s="127"/>
      <c r="T1411" s="8"/>
      <c r="U1411" s="158"/>
      <c r="V1411" s="7"/>
      <c r="W1411" s="7"/>
      <c r="X1411" s="146"/>
      <c r="Y1411" s="7"/>
      <c r="Z1411" s="7"/>
      <c r="AA1411" s="7" t="str">
        <f>IFERROR((VLOOKUP(F1411,#REF!,2,FALSE)),"-")</f>
        <v>-</v>
      </c>
      <c r="AB1411" s="119" t="e">
        <f>CONCATENATE(F1411," - ",I1411," - ",#REF!,)</f>
        <v>#REF!</v>
      </c>
    </row>
    <row r="1412" spans="1:28" s="116" customFormat="1" ht="15">
      <c r="A1412" s="114"/>
      <c r="B1412" s="120"/>
      <c r="C1412" s="129" t="str">
        <f t="shared" ref="C1412:C1413" si="66">"week-"&amp;WEEKNUM(B1412)</f>
        <v>week-0</v>
      </c>
      <c r="D1412" s="120" t="str">
        <f t="shared" si="64"/>
        <v>Jan</v>
      </c>
      <c r="E1412" s="7"/>
      <c r="F1412" s="7"/>
      <c r="G1412" s="120"/>
      <c r="H1412" s="120"/>
      <c r="I1412" s="118"/>
      <c r="J1412" s="118"/>
      <c r="K1412" s="115"/>
      <c r="L1412" s="115"/>
      <c r="M1412" s="8"/>
      <c r="N1412" s="8" t="str">
        <f t="shared" ref="N1412:N1413" si="67">IF(ISBLANK(M1412),"-",(M1412/60))</f>
        <v>-</v>
      </c>
      <c r="O1412" s="126"/>
      <c r="P1412" s="127"/>
      <c r="Q1412" s="127"/>
      <c r="R1412" s="126"/>
      <c r="S1412" s="127"/>
      <c r="T1412" s="8"/>
      <c r="U1412" s="158"/>
      <c r="V1412" s="7"/>
      <c r="W1412" s="7"/>
      <c r="X1412" s="146"/>
      <c r="Y1412" s="7"/>
      <c r="Z1412" s="7"/>
      <c r="AA1412" s="7" t="str">
        <f>IFERROR((VLOOKUP(F1412,#REF!,2,FALSE)),"-")</f>
        <v>-</v>
      </c>
      <c r="AB1412" s="119" t="e">
        <f>CONCATENATE(F1412," - ",I1412," - ",#REF!,)</f>
        <v>#REF!</v>
      </c>
    </row>
    <row r="1413" spans="1:28" s="116" customFormat="1" ht="15">
      <c r="A1413" s="114"/>
      <c r="B1413" s="120"/>
      <c r="C1413" s="129" t="str">
        <f t="shared" si="66"/>
        <v>week-0</v>
      </c>
      <c r="D1413" s="120" t="str">
        <f t="shared" si="64"/>
        <v>Jan</v>
      </c>
      <c r="E1413" s="7"/>
      <c r="F1413" s="7"/>
      <c r="G1413" s="120"/>
      <c r="H1413" s="120"/>
      <c r="I1413" s="118"/>
      <c r="J1413" s="118"/>
      <c r="K1413" s="115"/>
      <c r="L1413" s="115"/>
      <c r="M1413" s="8"/>
      <c r="N1413" s="8" t="str">
        <f t="shared" si="67"/>
        <v>-</v>
      </c>
      <c r="O1413" s="126"/>
      <c r="P1413" s="127"/>
      <c r="Q1413" s="127"/>
      <c r="R1413" s="126"/>
      <c r="S1413" s="127"/>
      <c r="T1413" s="8"/>
      <c r="U1413" s="158"/>
      <c r="V1413" s="7"/>
      <c r="W1413" s="7"/>
      <c r="X1413" s="146"/>
      <c r="Y1413" s="7"/>
      <c r="Z1413" s="7"/>
      <c r="AA1413" s="7" t="str">
        <f>IFERROR((VLOOKUP(F1413,#REF!,2,FALSE)),"-")</f>
        <v>-</v>
      </c>
      <c r="AB1413" s="119" t="e">
        <f>CONCATENATE(F1413," - ",I1413," - ",#REF!,)</f>
        <v>#REF!</v>
      </c>
    </row>
    <row r="1414" spans="1:28" s="116" customFormat="1" thickBot="1">
      <c r="A1414" s="133"/>
      <c r="B1414" s="134"/>
      <c r="C1414" s="134"/>
      <c r="D1414" s="134"/>
      <c r="E1414" s="135"/>
      <c r="F1414" s="135"/>
      <c r="G1414" s="134"/>
      <c r="H1414" s="134"/>
      <c r="I1414" s="131"/>
      <c r="J1414" s="131"/>
      <c r="K1414" s="135"/>
      <c r="L1414" s="135"/>
      <c r="M1414" s="136"/>
      <c r="N1414" s="137"/>
      <c r="O1414" s="89"/>
      <c r="P1414" s="127"/>
      <c r="Q1414" s="164"/>
      <c r="R1414" s="89"/>
      <c r="S1414" s="150"/>
      <c r="T1414" s="135"/>
      <c r="U1414" s="147"/>
      <c r="V1414" s="135"/>
      <c r="W1414" s="135"/>
      <c r="X1414" s="147"/>
      <c r="Y1414" s="135"/>
      <c r="Z1414" s="135"/>
      <c r="AA1414" s="137"/>
      <c r="AB1414" s="138"/>
    </row>
    <row r="1415" spans="1:28" s="116" customFormat="1" thickBot="1">
      <c r="A1415" s="133"/>
      <c r="B1415" s="134"/>
      <c r="C1415" s="134"/>
      <c r="D1415" s="134"/>
      <c r="E1415" s="135"/>
      <c r="F1415" s="135"/>
      <c r="G1415" s="134"/>
      <c r="H1415" s="134"/>
      <c r="I1415" s="131"/>
      <c r="J1415" s="131"/>
      <c r="K1415" s="135"/>
      <c r="L1415" s="135"/>
      <c r="M1415" s="136"/>
      <c r="N1415" s="137"/>
      <c r="O1415" s="89"/>
      <c r="P1415" s="150"/>
      <c r="Q1415" s="150"/>
      <c r="R1415" s="89"/>
      <c r="S1415" s="150"/>
      <c r="T1415" s="135"/>
      <c r="U1415" s="147"/>
      <c r="V1415" s="135"/>
      <c r="W1415" s="135"/>
      <c r="X1415" s="147"/>
      <c r="Y1415" s="135"/>
      <c r="Z1415" s="135"/>
      <c r="AA1415" s="137"/>
      <c r="AB1415" s="138"/>
    </row>
    <row r="1416" spans="1:28" s="116" customFormat="1" thickBot="1">
      <c r="A1416" s="133"/>
      <c r="B1416" s="134"/>
      <c r="C1416" s="134"/>
      <c r="D1416" s="134"/>
      <c r="E1416" s="135"/>
      <c r="F1416" s="135"/>
      <c r="G1416" s="134"/>
      <c r="H1416" s="134"/>
      <c r="I1416" s="131"/>
      <c r="J1416" s="131"/>
      <c r="K1416" s="135"/>
      <c r="L1416" s="135"/>
      <c r="M1416" s="136"/>
      <c r="N1416" s="137"/>
      <c r="O1416" s="89"/>
      <c r="P1416" s="150"/>
      <c r="Q1416" s="150"/>
      <c r="R1416" s="89"/>
      <c r="S1416" s="150"/>
      <c r="T1416" s="135"/>
      <c r="U1416" s="147"/>
      <c r="V1416" s="135"/>
      <c r="W1416" s="135"/>
      <c r="X1416" s="147"/>
      <c r="Y1416" s="135"/>
      <c r="Z1416" s="135"/>
      <c r="AA1416" s="137"/>
      <c r="AB1416" s="138"/>
    </row>
    <row r="1417" spans="1:28" s="116" customFormat="1" thickBot="1">
      <c r="A1417" s="133"/>
      <c r="B1417" s="134"/>
      <c r="C1417" s="134"/>
      <c r="D1417" s="134"/>
      <c r="E1417" s="135"/>
      <c r="F1417" s="135"/>
      <c r="G1417" s="134"/>
      <c r="H1417" s="134"/>
      <c r="I1417" s="131"/>
      <c r="J1417" s="131"/>
      <c r="K1417" s="135"/>
      <c r="L1417" s="135"/>
      <c r="M1417" s="136"/>
      <c r="N1417" s="137"/>
      <c r="O1417" s="89"/>
      <c r="P1417" s="150"/>
      <c r="Q1417" s="150"/>
      <c r="R1417" s="89"/>
      <c r="S1417" s="150"/>
      <c r="T1417" s="135"/>
      <c r="U1417" s="147"/>
      <c r="V1417" s="135"/>
      <c r="W1417" s="135"/>
      <c r="X1417" s="147"/>
      <c r="Y1417" s="135"/>
      <c r="Z1417" s="135"/>
      <c r="AA1417" s="137"/>
      <c r="AB1417" s="138"/>
    </row>
    <row r="1418" spans="1:28" s="116" customFormat="1" thickBot="1">
      <c r="A1418" s="133"/>
      <c r="B1418" s="134"/>
      <c r="C1418" s="134"/>
      <c r="D1418" s="134"/>
      <c r="E1418" s="135"/>
      <c r="F1418" s="135"/>
      <c r="G1418" s="134"/>
      <c r="H1418" s="134"/>
      <c r="I1418" s="131"/>
      <c r="J1418" s="131"/>
      <c r="K1418" s="135"/>
      <c r="L1418" s="135"/>
      <c r="M1418" s="136"/>
      <c r="N1418" s="137"/>
      <c r="O1418" s="89"/>
      <c r="P1418" s="150"/>
      <c r="Q1418" s="150"/>
      <c r="R1418" s="89"/>
      <c r="S1418" s="150"/>
      <c r="T1418" s="135"/>
      <c r="U1418" s="147"/>
      <c r="V1418" s="135"/>
      <c r="W1418" s="135"/>
      <c r="X1418" s="147"/>
      <c r="Y1418" s="135"/>
      <c r="Z1418" s="135"/>
      <c r="AA1418" s="137"/>
      <c r="AB1418" s="138"/>
    </row>
    <row r="1419" spans="1:28" s="116" customFormat="1" thickBot="1">
      <c r="A1419" s="133"/>
      <c r="B1419" s="134"/>
      <c r="C1419" s="134"/>
      <c r="D1419" s="134"/>
      <c r="E1419" s="135"/>
      <c r="F1419" s="135"/>
      <c r="G1419" s="134"/>
      <c r="H1419" s="134"/>
      <c r="I1419" s="131"/>
      <c r="J1419" s="131"/>
      <c r="K1419" s="135"/>
      <c r="L1419" s="135"/>
      <c r="M1419" s="136"/>
      <c r="N1419" s="137"/>
      <c r="O1419" s="89"/>
      <c r="P1419" s="150"/>
      <c r="Q1419" s="150"/>
      <c r="R1419" s="89"/>
      <c r="S1419" s="150"/>
      <c r="T1419" s="135"/>
      <c r="U1419" s="147"/>
      <c r="V1419" s="135"/>
      <c r="W1419" s="135"/>
      <c r="X1419" s="147"/>
      <c r="Y1419" s="135"/>
      <c r="Z1419" s="135"/>
      <c r="AA1419" s="137"/>
      <c r="AB1419" s="138"/>
    </row>
    <row r="1420" spans="1:28" s="116" customFormat="1" thickBot="1">
      <c r="A1420" s="133"/>
      <c r="B1420" s="134"/>
      <c r="C1420" s="134"/>
      <c r="D1420" s="134"/>
      <c r="E1420" s="135"/>
      <c r="F1420" s="135"/>
      <c r="G1420" s="134"/>
      <c r="H1420" s="134"/>
      <c r="I1420" s="131"/>
      <c r="J1420" s="131"/>
      <c r="K1420" s="135"/>
      <c r="L1420" s="135"/>
      <c r="M1420" s="136"/>
      <c r="N1420" s="137"/>
      <c r="O1420" s="89"/>
      <c r="P1420" s="150"/>
      <c r="Q1420" s="150"/>
      <c r="R1420" s="89"/>
      <c r="S1420" s="150"/>
      <c r="T1420" s="135"/>
      <c r="U1420" s="147"/>
      <c r="V1420" s="135"/>
      <c r="W1420" s="135"/>
      <c r="X1420" s="147"/>
      <c r="Y1420" s="135"/>
      <c r="Z1420" s="135"/>
      <c r="AA1420" s="137"/>
      <c r="AB1420" s="138"/>
    </row>
    <row r="1421" spans="1:28" s="116" customFormat="1" thickBot="1">
      <c r="A1421" s="133"/>
      <c r="B1421" s="134"/>
      <c r="C1421" s="134"/>
      <c r="D1421" s="134"/>
      <c r="E1421" s="135"/>
      <c r="F1421" s="135"/>
      <c r="G1421" s="134"/>
      <c r="H1421" s="134"/>
      <c r="I1421" s="131"/>
      <c r="J1421" s="131"/>
      <c r="K1421" s="135"/>
      <c r="L1421" s="135"/>
      <c r="M1421" s="136"/>
      <c r="N1421" s="137"/>
      <c r="O1421" s="89"/>
      <c r="P1421" s="150"/>
      <c r="Q1421" s="150"/>
      <c r="R1421" s="89"/>
      <c r="S1421" s="150"/>
      <c r="T1421" s="135"/>
      <c r="U1421" s="147"/>
      <c r="V1421" s="135"/>
      <c r="W1421" s="135"/>
      <c r="X1421" s="147"/>
      <c r="Y1421" s="135"/>
      <c r="Z1421" s="135"/>
      <c r="AA1421" s="137"/>
      <c r="AB1421" s="138"/>
    </row>
    <row r="1422" spans="1:28" s="116" customFormat="1" thickBot="1">
      <c r="A1422" s="133"/>
      <c r="B1422" s="134"/>
      <c r="C1422" s="134"/>
      <c r="D1422" s="134"/>
      <c r="E1422" s="135"/>
      <c r="F1422" s="135"/>
      <c r="G1422" s="134"/>
      <c r="H1422" s="134"/>
      <c r="I1422" s="131"/>
      <c r="J1422" s="131"/>
      <c r="K1422" s="135"/>
      <c r="L1422" s="135"/>
      <c r="M1422" s="136"/>
      <c r="N1422" s="137"/>
      <c r="O1422" s="89"/>
      <c r="P1422" s="150"/>
      <c r="Q1422" s="150"/>
      <c r="R1422" s="89"/>
      <c r="S1422" s="150"/>
      <c r="T1422" s="135"/>
      <c r="U1422" s="147"/>
      <c r="V1422" s="135"/>
      <c r="W1422" s="135"/>
      <c r="X1422" s="147"/>
      <c r="Y1422" s="135"/>
      <c r="Z1422" s="135"/>
      <c r="AA1422" s="137"/>
      <c r="AB1422" s="138"/>
    </row>
    <row r="1423" spans="1:28" s="116" customFormat="1" thickBot="1">
      <c r="A1423" s="133"/>
      <c r="B1423" s="134"/>
      <c r="C1423" s="134"/>
      <c r="D1423" s="134"/>
      <c r="E1423" s="135"/>
      <c r="F1423" s="135"/>
      <c r="G1423" s="134"/>
      <c r="H1423" s="134"/>
      <c r="I1423" s="131"/>
      <c r="J1423" s="131"/>
      <c r="K1423" s="135"/>
      <c r="L1423" s="135"/>
      <c r="M1423" s="136"/>
      <c r="N1423" s="137"/>
      <c r="O1423" s="89"/>
      <c r="P1423" s="150"/>
      <c r="Q1423" s="150"/>
      <c r="R1423" s="89"/>
      <c r="S1423" s="150"/>
      <c r="T1423" s="135"/>
      <c r="U1423" s="147"/>
      <c r="V1423" s="135"/>
      <c r="W1423" s="135"/>
      <c r="X1423" s="147"/>
      <c r="Y1423" s="135"/>
      <c r="Z1423" s="135"/>
      <c r="AA1423" s="137"/>
      <c r="AB1423" s="138"/>
    </row>
    <row r="1424" spans="1:28" s="116" customFormat="1" thickBot="1">
      <c r="A1424" s="133"/>
      <c r="B1424" s="134"/>
      <c r="C1424" s="134"/>
      <c r="D1424" s="134"/>
      <c r="E1424" s="135"/>
      <c r="F1424" s="135"/>
      <c r="G1424" s="134"/>
      <c r="H1424" s="134"/>
      <c r="I1424" s="131"/>
      <c r="J1424" s="131"/>
      <c r="K1424" s="135"/>
      <c r="L1424" s="135"/>
      <c r="M1424" s="136"/>
      <c r="N1424" s="137"/>
      <c r="O1424" s="89"/>
      <c r="P1424" s="150"/>
      <c r="Q1424" s="150"/>
      <c r="R1424" s="89"/>
      <c r="S1424" s="150"/>
      <c r="T1424" s="135"/>
      <c r="U1424" s="147"/>
      <c r="V1424" s="135"/>
      <c r="W1424" s="135"/>
      <c r="X1424" s="147"/>
      <c r="Y1424" s="135"/>
      <c r="Z1424" s="135"/>
      <c r="AA1424" s="137"/>
      <c r="AB1424" s="138"/>
    </row>
    <row r="1425" spans="1:28" s="116" customFormat="1" thickBot="1">
      <c r="A1425" s="133"/>
      <c r="B1425" s="134"/>
      <c r="C1425" s="134"/>
      <c r="D1425" s="134"/>
      <c r="E1425" s="135"/>
      <c r="F1425" s="135"/>
      <c r="G1425" s="134"/>
      <c r="H1425" s="134"/>
      <c r="I1425" s="131"/>
      <c r="J1425" s="131"/>
      <c r="K1425" s="135"/>
      <c r="L1425" s="135"/>
      <c r="M1425" s="136"/>
      <c r="N1425" s="137"/>
      <c r="O1425" s="89"/>
      <c r="P1425" s="150"/>
      <c r="Q1425" s="150"/>
      <c r="R1425" s="89"/>
      <c r="S1425" s="150"/>
      <c r="T1425" s="135"/>
      <c r="U1425" s="147"/>
      <c r="V1425" s="135"/>
      <c r="W1425" s="135"/>
      <c r="X1425" s="147"/>
      <c r="Y1425" s="135"/>
      <c r="Z1425" s="135"/>
      <c r="AA1425" s="137"/>
      <c r="AB1425" s="138"/>
    </row>
    <row r="1426" spans="1:28" s="116" customFormat="1" thickBot="1">
      <c r="A1426" s="133"/>
      <c r="B1426" s="134"/>
      <c r="C1426" s="134"/>
      <c r="D1426" s="134"/>
      <c r="E1426" s="135"/>
      <c r="F1426" s="135"/>
      <c r="G1426" s="134"/>
      <c r="H1426" s="134"/>
      <c r="I1426" s="131"/>
      <c r="J1426" s="131"/>
      <c r="K1426" s="135"/>
      <c r="L1426" s="135"/>
      <c r="M1426" s="136"/>
      <c r="N1426" s="137"/>
      <c r="O1426" s="89"/>
      <c r="P1426" s="150"/>
      <c r="Q1426" s="150"/>
      <c r="R1426" s="89"/>
      <c r="S1426" s="150"/>
      <c r="T1426" s="135"/>
      <c r="U1426" s="147"/>
      <c r="V1426" s="135"/>
      <c r="W1426" s="135"/>
      <c r="X1426" s="147"/>
      <c r="Y1426" s="135"/>
      <c r="Z1426" s="135"/>
      <c r="AA1426" s="137"/>
      <c r="AB1426" s="138"/>
    </row>
    <row r="1427" spans="1:28" s="116" customFormat="1" thickBot="1">
      <c r="A1427" s="133"/>
      <c r="B1427" s="134"/>
      <c r="C1427" s="134"/>
      <c r="D1427" s="134"/>
      <c r="E1427" s="135"/>
      <c r="F1427" s="135"/>
      <c r="G1427" s="134"/>
      <c r="H1427" s="134"/>
      <c r="I1427" s="131"/>
      <c r="J1427" s="131"/>
      <c r="K1427" s="135"/>
      <c r="L1427" s="135"/>
      <c r="M1427" s="136"/>
      <c r="N1427" s="137"/>
      <c r="O1427" s="89"/>
      <c r="P1427" s="150"/>
      <c r="Q1427" s="150"/>
      <c r="R1427" s="89"/>
      <c r="S1427" s="150"/>
      <c r="T1427" s="135"/>
      <c r="U1427" s="147"/>
      <c r="V1427" s="135"/>
      <c r="W1427" s="135"/>
      <c r="X1427" s="147"/>
      <c r="Y1427" s="135"/>
      <c r="Z1427" s="135"/>
      <c r="AA1427" s="137"/>
      <c r="AB1427" s="138"/>
    </row>
    <row r="1428" spans="1:28" s="116" customFormat="1" thickBot="1">
      <c r="A1428" s="133"/>
      <c r="B1428" s="134"/>
      <c r="C1428" s="134"/>
      <c r="D1428" s="134"/>
      <c r="E1428" s="135"/>
      <c r="F1428" s="135"/>
      <c r="G1428" s="134"/>
      <c r="H1428" s="134"/>
      <c r="I1428" s="131" t="s">
        <v>633</v>
      </c>
      <c r="J1428" s="131"/>
      <c r="K1428" s="135"/>
      <c r="L1428" s="135"/>
      <c r="M1428" s="136"/>
      <c r="N1428" s="137"/>
      <c r="O1428" s="89"/>
      <c r="P1428" s="150"/>
      <c r="Q1428" s="150"/>
      <c r="R1428" s="89"/>
      <c r="S1428" s="150"/>
      <c r="T1428" s="135"/>
      <c r="U1428" s="147"/>
      <c r="V1428" s="135"/>
      <c r="W1428" s="135"/>
      <c r="X1428" s="147"/>
      <c r="Y1428" s="135"/>
      <c r="Z1428" s="135"/>
      <c r="AA1428" s="137"/>
      <c r="AB1428" s="138"/>
    </row>
    <row r="1429" spans="1:28" s="116" customFormat="1" thickBot="1">
      <c r="A1429" s="133"/>
      <c r="B1429" s="134"/>
      <c r="C1429" s="134"/>
      <c r="D1429" s="134"/>
      <c r="E1429" s="135"/>
      <c r="F1429" s="135"/>
      <c r="G1429" s="134"/>
      <c r="H1429" s="134"/>
      <c r="I1429" s="131"/>
      <c r="J1429" s="131"/>
      <c r="K1429" s="135"/>
      <c r="L1429" s="135"/>
      <c r="M1429" s="136"/>
      <c r="N1429" s="137"/>
      <c r="O1429" s="89"/>
      <c r="P1429" s="150"/>
      <c r="Q1429" s="150"/>
      <c r="R1429" s="89"/>
      <c r="S1429" s="150"/>
      <c r="T1429" s="135"/>
      <c r="U1429" s="147"/>
      <c r="V1429" s="135"/>
      <c r="W1429" s="135"/>
      <c r="X1429" s="147"/>
      <c r="Y1429" s="135"/>
      <c r="Z1429" s="135"/>
      <c r="AA1429" s="137"/>
      <c r="AB1429" s="138"/>
    </row>
    <row r="1430" spans="1:28" s="116" customFormat="1" thickBot="1">
      <c r="A1430" s="133"/>
      <c r="B1430" s="134"/>
      <c r="C1430" s="134"/>
      <c r="D1430" s="134"/>
      <c r="E1430" s="135"/>
      <c r="F1430" s="135"/>
      <c r="G1430" s="134"/>
      <c r="H1430" s="134"/>
      <c r="I1430" s="131"/>
      <c r="J1430" s="131"/>
      <c r="K1430" s="135"/>
      <c r="L1430" s="135"/>
      <c r="M1430" s="136"/>
      <c r="N1430" s="137"/>
      <c r="O1430" s="89"/>
      <c r="P1430" s="150"/>
      <c r="Q1430" s="150"/>
      <c r="R1430" s="89"/>
      <c r="S1430" s="150"/>
      <c r="T1430" s="135"/>
      <c r="U1430" s="147"/>
      <c r="V1430" s="135"/>
      <c r="W1430" s="135"/>
      <c r="X1430" s="147"/>
      <c r="Y1430" s="135"/>
      <c r="Z1430" s="135"/>
      <c r="AA1430" s="137"/>
      <c r="AB1430" s="138"/>
    </row>
    <row r="1431" spans="1:28" s="116" customFormat="1" thickBot="1">
      <c r="A1431" s="133"/>
      <c r="B1431" s="134"/>
      <c r="C1431" s="134"/>
      <c r="D1431" s="134"/>
      <c r="E1431" s="135"/>
      <c r="F1431" s="135"/>
      <c r="G1431" s="134"/>
      <c r="H1431" s="134"/>
      <c r="I1431" s="131"/>
      <c r="J1431" s="131"/>
      <c r="K1431" s="135"/>
      <c r="L1431" s="135"/>
      <c r="M1431" s="136"/>
      <c r="N1431" s="137"/>
      <c r="O1431" s="89"/>
      <c r="P1431" s="150"/>
      <c r="Q1431" s="150"/>
      <c r="R1431" s="89"/>
      <c r="S1431" s="150"/>
      <c r="T1431" s="135"/>
      <c r="U1431" s="147"/>
      <c r="V1431" s="135"/>
      <c r="W1431" s="135"/>
      <c r="X1431" s="147"/>
      <c r="Y1431" s="135"/>
      <c r="Z1431" s="135"/>
      <c r="AA1431" s="137"/>
      <c r="AB1431" s="138"/>
    </row>
    <row r="1432" spans="1:28" s="116" customFormat="1" thickBot="1">
      <c r="A1432" s="133"/>
      <c r="B1432" s="134"/>
      <c r="C1432" s="134"/>
      <c r="D1432" s="134"/>
      <c r="E1432" s="135"/>
      <c r="F1432" s="135"/>
      <c r="G1432" s="134"/>
      <c r="H1432" s="134"/>
      <c r="I1432" s="131"/>
      <c r="J1432" s="131"/>
      <c r="K1432" s="135"/>
      <c r="L1432" s="135"/>
      <c r="M1432" s="136"/>
      <c r="N1432" s="137"/>
      <c r="O1432" s="89"/>
      <c r="P1432" s="150"/>
      <c r="Q1432" s="150"/>
      <c r="R1432" s="89"/>
      <c r="S1432" s="150"/>
      <c r="T1432" s="135"/>
      <c r="U1432" s="147"/>
      <c r="V1432" s="135"/>
      <c r="W1432" s="135"/>
      <c r="X1432" s="147"/>
      <c r="Y1432" s="135"/>
      <c r="Z1432" s="135"/>
      <c r="AA1432" s="137"/>
      <c r="AB1432" s="138"/>
    </row>
    <row r="1433" spans="1:28" s="116" customFormat="1" thickBot="1">
      <c r="A1433" s="133"/>
      <c r="B1433" s="134"/>
      <c r="C1433" s="134"/>
      <c r="D1433" s="134"/>
      <c r="E1433" s="135"/>
      <c r="F1433" s="135"/>
      <c r="G1433" s="134"/>
      <c r="H1433" s="134"/>
      <c r="I1433" s="131"/>
      <c r="J1433" s="131"/>
      <c r="K1433" s="135"/>
      <c r="L1433" s="135"/>
      <c r="M1433" s="136"/>
      <c r="N1433" s="137"/>
      <c r="O1433" s="89"/>
      <c r="P1433" s="150"/>
      <c r="Q1433" s="150"/>
      <c r="R1433" s="89"/>
      <c r="S1433" s="150"/>
      <c r="T1433" s="135"/>
      <c r="U1433" s="147"/>
      <c r="V1433" s="135"/>
      <c r="W1433" s="135"/>
      <c r="X1433" s="147"/>
      <c r="Y1433" s="135"/>
      <c r="Z1433" s="135"/>
      <c r="AA1433" s="137"/>
      <c r="AB1433" s="138"/>
    </row>
    <row r="1434" spans="1:28" s="116" customFormat="1" thickBot="1">
      <c r="A1434" s="133"/>
      <c r="B1434" s="134"/>
      <c r="C1434" s="134"/>
      <c r="D1434" s="134"/>
      <c r="E1434" s="135"/>
      <c r="F1434" s="135"/>
      <c r="G1434" s="134"/>
      <c r="H1434" s="134"/>
      <c r="I1434" s="131"/>
      <c r="J1434" s="131"/>
      <c r="K1434" s="135"/>
      <c r="L1434" s="135"/>
      <c r="M1434" s="136"/>
      <c r="N1434" s="137"/>
      <c r="O1434" s="89"/>
      <c r="P1434" s="150"/>
      <c r="Q1434" s="150"/>
      <c r="R1434" s="89"/>
      <c r="S1434" s="150"/>
      <c r="T1434" s="135"/>
      <c r="U1434" s="147"/>
      <c r="V1434" s="135"/>
      <c r="W1434" s="135"/>
      <c r="X1434" s="147"/>
      <c r="Y1434" s="135"/>
      <c r="Z1434" s="135"/>
      <c r="AA1434" s="137"/>
      <c r="AB1434" s="138"/>
    </row>
    <row r="1435" spans="1:28" s="116" customFormat="1" thickBot="1">
      <c r="A1435" s="133"/>
      <c r="B1435" s="134"/>
      <c r="C1435" s="134"/>
      <c r="D1435" s="134"/>
      <c r="E1435" s="135"/>
      <c r="F1435" s="135"/>
      <c r="G1435" s="134"/>
      <c r="H1435" s="134"/>
      <c r="I1435" s="131"/>
      <c r="J1435" s="131"/>
      <c r="K1435" s="135"/>
      <c r="L1435" s="135"/>
      <c r="M1435" s="136"/>
      <c r="N1435" s="137"/>
      <c r="O1435" s="89"/>
      <c r="P1435" s="150"/>
      <c r="Q1435" s="150"/>
      <c r="R1435" s="89"/>
      <c r="S1435" s="150"/>
      <c r="T1435" s="135"/>
      <c r="U1435" s="147"/>
      <c r="V1435" s="135"/>
      <c r="W1435" s="135"/>
      <c r="X1435" s="147"/>
      <c r="Y1435" s="135"/>
      <c r="Z1435" s="135"/>
      <c r="AA1435" s="137"/>
      <c r="AB1435" s="138"/>
    </row>
    <row r="1436" spans="1:28" s="116" customFormat="1" thickBot="1">
      <c r="A1436" s="133"/>
      <c r="B1436" s="134"/>
      <c r="C1436" s="134"/>
      <c r="D1436" s="134"/>
      <c r="E1436" s="135"/>
      <c r="F1436" s="135"/>
      <c r="G1436" s="134"/>
      <c r="H1436" s="134"/>
      <c r="I1436" s="131"/>
      <c r="J1436" s="131"/>
      <c r="K1436" s="135"/>
      <c r="L1436" s="135"/>
      <c r="M1436" s="136"/>
      <c r="N1436" s="137"/>
      <c r="O1436" s="89"/>
      <c r="P1436" s="150"/>
      <c r="Q1436" s="150"/>
      <c r="R1436" s="89"/>
      <c r="S1436" s="150"/>
      <c r="T1436" s="135"/>
      <c r="U1436" s="147"/>
      <c r="V1436" s="135"/>
      <c r="W1436" s="135"/>
      <c r="X1436" s="147"/>
      <c r="Y1436" s="135"/>
      <c r="Z1436" s="135"/>
      <c r="AA1436" s="137"/>
      <c r="AB1436" s="138"/>
    </row>
    <row r="1437" spans="1:28" s="116" customFormat="1" thickBot="1">
      <c r="A1437" s="133"/>
      <c r="B1437" s="134"/>
      <c r="C1437" s="134"/>
      <c r="D1437" s="134"/>
      <c r="E1437" s="135"/>
      <c r="F1437" s="135"/>
      <c r="G1437" s="134"/>
      <c r="H1437" s="134"/>
      <c r="I1437" s="131"/>
      <c r="J1437" s="131"/>
      <c r="K1437" s="135"/>
      <c r="L1437" s="135"/>
      <c r="M1437" s="136"/>
      <c r="N1437" s="137"/>
      <c r="O1437" s="89"/>
      <c r="P1437" s="150"/>
      <c r="Q1437" s="150"/>
      <c r="R1437" s="89"/>
      <c r="S1437" s="150"/>
      <c r="T1437" s="135"/>
      <c r="U1437" s="147"/>
      <c r="V1437" s="135"/>
      <c r="W1437" s="135"/>
      <c r="X1437" s="147"/>
      <c r="Y1437" s="135"/>
      <c r="Z1437" s="135"/>
      <c r="AA1437" s="137"/>
      <c r="AB1437" s="138"/>
    </row>
    <row r="1438" spans="1:28" s="116" customFormat="1" thickBot="1">
      <c r="A1438" s="133"/>
      <c r="B1438" s="134"/>
      <c r="C1438" s="134"/>
      <c r="D1438" s="134"/>
      <c r="E1438" s="135"/>
      <c r="F1438" s="135"/>
      <c r="G1438" s="134"/>
      <c r="H1438" s="134"/>
      <c r="I1438" s="131"/>
      <c r="J1438" s="131"/>
      <c r="K1438" s="135"/>
      <c r="L1438" s="135"/>
      <c r="M1438" s="136"/>
      <c r="N1438" s="137"/>
      <c r="O1438" s="89"/>
      <c r="P1438" s="150"/>
      <c r="Q1438" s="150"/>
      <c r="R1438" s="89"/>
      <c r="S1438" s="150"/>
      <c r="T1438" s="135"/>
      <c r="U1438" s="147"/>
      <c r="V1438" s="135"/>
      <c r="W1438" s="135"/>
      <c r="X1438" s="147"/>
      <c r="Y1438" s="135"/>
      <c r="Z1438" s="135"/>
      <c r="AA1438" s="137"/>
      <c r="AB1438" s="138"/>
    </row>
    <row r="1439" spans="1:28" thickBot="1">
      <c r="P1439" s="150"/>
      <c r="Q1439" s="150"/>
    </row>
  </sheetData>
  <sheetProtection formatCells="0" formatColumns="0" formatRows="0" insertHyperlinks="0" sort="0" autoFilter="0"/>
  <autoFilter ref="A2:AB1413">
    <filterColumn colId="18" showButton="0"/>
    <sortState ref="A5:AB1413">
      <sortCondition ref="B2:B1413"/>
    </sortState>
  </autoFilter>
  <dataConsolidate/>
  <mergeCells count="23">
    <mergeCell ref="A1:AB1"/>
    <mergeCell ref="S2:T2"/>
    <mergeCell ref="AA2:AA3"/>
    <mergeCell ref="AB2:AB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Q2:Q3"/>
    <mergeCell ref="R2:R3"/>
    <mergeCell ref="U2:U3"/>
    <mergeCell ref="M2:M3"/>
    <mergeCell ref="N2:N3"/>
    <mergeCell ref="O2:O3"/>
    <mergeCell ref="P2:P3"/>
  </mergeCells>
  <conditionalFormatting sqref="M138:M177 M534:M676 M681:M979 M984:M1048576 M27:M132 M4:M25 M181:M193 M195:M532">
    <cfRule type="cellIs" dxfId="704" priority="1981" operator="greaterThan">
      <formula>29.99</formula>
    </cfRule>
  </conditionalFormatting>
  <conditionalFormatting sqref="V2:Z2 V13:Z13 U14:Z26 U27:V27 X27:Z27 U28:Z177 U4:Z12 U181:Z1048576">
    <cfRule type="containsText" dxfId="703" priority="1976" operator="containsText" text="Yes">
      <formula>NOT(ISERROR(SEARCH("Yes",U2)))</formula>
    </cfRule>
  </conditionalFormatting>
  <conditionalFormatting sqref="T7:T36 T4:T5 O183:Q185 S183:T185 O186:T188 Q189:Q190 S189:T190 O189:P192 Q191:T192 T193 Q198:T198 Q199 S199:T199 O198:P200 Q200:T200 S202:T202 O37:T182 N5:N1413 O194:T197 N1414:T1048576 O6:T6 O7:R36 N4:R4 O193:R193 O201:T201 O202:Q202 O5:R5 O203:T1413">
    <cfRule type="cellIs" dxfId="702" priority="1974" operator="greaterThan">
      <formula>0.99</formula>
    </cfRule>
  </conditionalFormatting>
  <conditionalFormatting sqref="V2:Z2 V13:Z13 U14:Z26 U27:V27 X27:Z27 U28:Z177 U4:Z12 U181:Z1048576">
    <cfRule type="cellIs" dxfId="701" priority="1970" operator="equal">
      <formula>"Yes"</formula>
    </cfRule>
  </conditionalFormatting>
  <conditionalFormatting sqref="M138:M177 M534:M676 M681:M979 M984:M1048576 M27:M132 M4:M25 M181:M193 M195:M532">
    <cfRule type="cellIs" dxfId="700" priority="1969" operator="greaterThan">
      <formula>29.9</formula>
    </cfRule>
  </conditionalFormatting>
  <conditionalFormatting sqref="M194">
    <cfRule type="cellIs" dxfId="699" priority="1869" operator="greaterThan">
      <formula>29.99</formula>
    </cfRule>
  </conditionalFormatting>
  <conditionalFormatting sqref="M194">
    <cfRule type="cellIs" dxfId="698" priority="1868" operator="greaterThan">
      <formula>29.9</formula>
    </cfRule>
  </conditionalFormatting>
  <conditionalFormatting sqref="M533">
    <cfRule type="cellIs" dxfId="697" priority="1725" operator="greaterThan">
      <formula>29.99</formula>
    </cfRule>
  </conditionalFormatting>
  <conditionalFormatting sqref="M533">
    <cfRule type="cellIs" dxfId="696" priority="1715" operator="greaterThan">
      <formula>29.9</formula>
    </cfRule>
  </conditionalFormatting>
  <conditionalFormatting sqref="M133:M137">
    <cfRule type="cellIs" dxfId="695" priority="1467" operator="greaterThan">
      <formula>29.99</formula>
    </cfRule>
  </conditionalFormatting>
  <conditionalFormatting sqref="M133:M137">
    <cfRule type="cellIs" dxfId="694" priority="1457" operator="greaterThan">
      <formula>29.9</formula>
    </cfRule>
  </conditionalFormatting>
  <conditionalFormatting sqref="M677:M680">
    <cfRule type="cellIs" dxfId="693" priority="1231" operator="greaterThan">
      <formula>29.99</formula>
    </cfRule>
  </conditionalFormatting>
  <conditionalFormatting sqref="M677:M680">
    <cfRule type="cellIs" dxfId="692" priority="1226" operator="greaterThan">
      <formula>29.9</formula>
    </cfRule>
  </conditionalFormatting>
  <conditionalFormatting sqref="M980:M983">
    <cfRule type="cellIs" dxfId="691" priority="1111" operator="greaterThan">
      <formula>29.99</formula>
    </cfRule>
  </conditionalFormatting>
  <conditionalFormatting sqref="M980:M983">
    <cfRule type="cellIs" dxfId="690" priority="1110" operator="greaterThan">
      <formula>29.9</formula>
    </cfRule>
  </conditionalFormatting>
  <conditionalFormatting sqref="M26">
    <cfRule type="cellIs" dxfId="689" priority="502" operator="greaterThan">
      <formula>29.99</formula>
    </cfRule>
  </conditionalFormatting>
  <conditionalFormatting sqref="M26">
    <cfRule type="cellIs" dxfId="688" priority="501" operator="greaterThan">
      <formula>29.9</formula>
    </cfRule>
  </conditionalFormatting>
  <conditionalFormatting sqref="O364 R364:T364 P365:Q365">
    <cfRule type="cellIs" dxfId="687" priority="1982" operator="equal">
      <formula>#REF!</formula>
    </cfRule>
    <cfRule type="cellIs" dxfId="686" priority="1983" operator="equal">
      <formula>#REF!</formula>
    </cfRule>
  </conditionalFormatting>
  <conditionalFormatting sqref="I552:J1048576 I58 I66:I90 I99:I104 I110:I111 I120:I121 I130:J130 I249:J249 J131:J177 J181:J248 I259:J259 J250:J258 I35:I44 I349:J550 J260:J348 I4:J4 I5:I33 J5:J128">
    <cfRule type="cellIs" dxfId="685" priority="1984" operator="equal">
      <formula>#REF!</formula>
    </cfRule>
  </conditionalFormatting>
  <conditionalFormatting sqref="I45">
    <cfRule type="cellIs" dxfId="684" priority="451" operator="equal">
      <formula>#REF!</formula>
    </cfRule>
  </conditionalFormatting>
  <conditionalFormatting sqref="I46">
    <cfRule type="cellIs" dxfId="683" priority="450" operator="equal">
      <formula>#REF!</formula>
    </cfRule>
  </conditionalFormatting>
  <conditionalFormatting sqref="I47">
    <cfRule type="cellIs" dxfId="682" priority="449" operator="equal">
      <formula>#REF!</formula>
    </cfRule>
  </conditionalFormatting>
  <conditionalFormatting sqref="I48:I49">
    <cfRule type="cellIs" dxfId="681" priority="445" operator="equal">
      <formula>#REF!</formula>
    </cfRule>
  </conditionalFormatting>
  <conditionalFormatting sqref="I50:I52">
    <cfRule type="cellIs" dxfId="680" priority="444" operator="equal">
      <formula>#REF!</formula>
    </cfRule>
  </conditionalFormatting>
  <conditionalFormatting sqref="I53:I57">
    <cfRule type="cellIs" dxfId="679" priority="440" operator="equal">
      <formula>#REF!</formula>
    </cfRule>
  </conditionalFormatting>
  <conditionalFormatting sqref="I59:I65">
    <cfRule type="cellIs" dxfId="678" priority="439" operator="equal">
      <formula>#REF!</formula>
    </cfRule>
  </conditionalFormatting>
  <conditionalFormatting sqref="S4">
    <cfRule type="cellIs" dxfId="677" priority="431" operator="equal">
      <formula>$O$3</formula>
    </cfRule>
    <cfRule type="cellIs" dxfId="676" priority="432" operator="equal">
      <formula>$O$3</formula>
    </cfRule>
  </conditionalFormatting>
  <conditionalFormatting sqref="S5">
    <cfRule type="cellIs" dxfId="675" priority="429" operator="equal">
      <formula>$O$3</formula>
    </cfRule>
    <cfRule type="cellIs" dxfId="674" priority="430" operator="equal">
      <formula>$O$3</formula>
    </cfRule>
  </conditionalFormatting>
  <conditionalFormatting sqref="S7:S33 S36">
    <cfRule type="cellIs" dxfId="673" priority="412" operator="greaterThan">
      <formula>0.99</formula>
    </cfRule>
  </conditionalFormatting>
  <conditionalFormatting sqref="I91">
    <cfRule type="cellIs" dxfId="672" priority="411" operator="equal">
      <formula>#REF!</formula>
    </cfRule>
  </conditionalFormatting>
  <conditionalFormatting sqref="I92">
    <cfRule type="cellIs" dxfId="671" priority="407" operator="equal">
      <formula>#REF!</formula>
    </cfRule>
  </conditionalFormatting>
  <conditionalFormatting sqref="I93">
    <cfRule type="cellIs" dxfId="670" priority="403" operator="equal">
      <formula>#REF!</formula>
    </cfRule>
  </conditionalFormatting>
  <conditionalFormatting sqref="I94:I98">
    <cfRule type="cellIs" dxfId="669" priority="402" operator="equal">
      <formula>#REF!</formula>
    </cfRule>
  </conditionalFormatting>
  <conditionalFormatting sqref="U13">
    <cfRule type="containsText" dxfId="668" priority="400" operator="containsText" text="Yes">
      <formula>NOT(ISERROR(SEARCH("Yes",U13)))</formula>
    </cfRule>
  </conditionalFormatting>
  <conditionalFormatting sqref="U13">
    <cfRule type="cellIs" dxfId="667" priority="399" operator="equal">
      <formula>"Yes"</formula>
    </cfRule>
  </conditionalFormatting>
  <conditionalFormatting sqref="S34">
    <cfRule type="cellIs" dxfId="666" priority="397" operator="equal">
      <formula>$O$3</formula>
    </cfRule>
    <cfRule type="cellIs" dxfId="665" priority="398" operator="equal">
      <formula>$O$3</formula>
    </cfRule>
  </conditionalFormatting>
  <conditionalFormatting sqref="S35">
    <cfRule type="cellIs" dxfId="664" priority="395" operator="equal">
      <formula>$O$3</formula>
    </cfRule>
    <cfRule type="cellIs" dxfId="663" priority="396" operator="equal">
      <formula>$O$3</formula>
    </cfRule>
  </conditionalFormatting>
  <conditionalFormatting sqref="I105">
    <cfRule type="cellIs" dxfId="662" priority="389" operator="equal">
      <formula>#REF!</formula>
    </cfRule>
  </conditionalFormatting>
  <conditionalFormatting sqref="I106:I109">
    <cfRule type="cellIs" dxfId="661" priority="388" operator="equal">
      <formula>#REF!</formula>
    </cfRule>
  </conditionalFormatting>
  <conditionalFormatting sqref="I112">
    <cfRule type="cellIs" dxfId="660" priority="387" operator="equal">
      <formula>#REF!</formula>
    </cfRule>
  </conditionalFormatting>
  <conditionalFormatting sqref="I113">
    <cfRule type="cellIs" dxfId="659" priority="383" operator="equal">
      <formula>#REF!</formula>
    </cfRule>
  </conditionalFormatting>
  <conditionalFormatting sqref="I114:I115">
    <cfRule type="cellIs" dxfId="658" priority="382" operator="equal">
      <formula>#REF!</formula>
    </cfRule>
  </conditionalFormatting>
  <conditionalFormatting sqref="I116:I117">
    <cfRule type="cellIs" dxfId="657" priority="381" operator="equal">
      <formula>#REF!</formula>
    </cfRule>
  </conditionalFormatting>
  <conditionalFormatting sqref="I118:I119">
    <cfRule type="cellIs" dxfId="656" priority="380" operator="equal">
      <formula>#REF!</formula>
    </cfRule>
  </conditionalFormatting>
  <conditionalFormatting sqref="I122">
    <cfRule type="cellIs" dxfId="655" priority="379" operator="equal">
      <formula>#REF!</formula>
    </cfRule>
  </conditionalFormatting>
  <conditionalFormatting sqref="I123">
    <cfRule type="cellIs" dxfId="654" priority="378" operator="equal">
      <formula>#REF!</formula>
    </cfRule>
  </conditionalFormatting>
  <conditionalFormatting sqref="I124">
    <cfRule type="cellIs" dxfId="653" priority="377" operator="equal">
      <formula>#REF!</formula>
    </cfRule>
  </conditionalFormatting>
  <conditionalFormatting sqref="I125">
    <cfRule type="cellIs" dxfId="652" priority="376" operator="equal">
      <formula>#REF!</formula>
    </cfRule>
  </conditionalFormatting>
  <conditionalFormatting sqref="I126">
    <cfRule type="cellIs" dxfId="651" priority="369" operator="equal">
      <formula>#REF!</formula>
    </cfRule>
  </conditionalFormatting>
  <conditionalFormatting sqref="I127">
    <cfRule type="cellIs" dxfId="650" priority="368" operator="equal">
      <formula>#REF!</formula>
    </cfRule>
  </conditionalFormatting>
  <conditionalFormatting sqref="I128">
    <cfRule type="cellIs" dxfId="649" priority="364" operator="equal">
      <formula>#REF!</formula>
    </cfRule>
  </conditionalFormatting>
  <conditionalFormatting sqref="J129">
    <cfRule type="cellIs" dxfId="648" priority="363" operator="equal">
      <formula>#REF!</formula>
    </cfRule>
  </conditionalFormatting>
  <conditionalFormatting sqref="I129">
    <cfRule type="cellIs" dxfId="647" priority="359" operator="equal">
      <formula>#REF!</formula>
    </cfRule>
  </conditionalFormatting>
  <conditionalFormatting sqref="I131">
    <cfRule type="cellIs" dxfId="646" priority="358" operator="equal">
      <formula>#REF!</formula>
    </cfRule>
  </conditionalFormatting>
  <conditionalFormatting sqref="I132">
    <cfRule type="cellIs" dxfId="645" priority="357" operator="equal">
      <formula>#REF!</formula>
    </cfRule>
  </conditionalFormatting>
  <conditionalFormatting sqref="I133:I135">
    <cfRule type="cellIs" dxfId="644" priority="356" operator="equal">
      <formula>#REF!</formula>
    </cfRule>
  </conditionalFormatting>
  <conditionalFormatting sqref="I136">
    <cfRule type="cellIs" dxfId="643" priority="355" operator="equal">
      <formula>#REF!</formula>
    </cfRule>
  </conditionalFormatting>
  <conditionalFormatting sqref="I137">
    <cfRule type="cellIs" dxfId="642" priority="351" operator="equal">
      <formula>#REF!</formula>
    </cfRule>
  </conditionalFormatting>
  <conditionalFormatting sqref="I138">
    <cfRule type="cellIs" dxfId="641" priority="350" operator="equal">
      <formula>#REF!</formula>
    </cfRule>
  </conditionalFormatting>
  <conditionalFormatting sqref="I139:I140">
    <cfRule type="cellIs" dxfId="640" priority="349" operator="equal">
      <formula>#REF!</formula>
    </cfRule>
  </conditionalFormatting>
  <conditionalFormatting sqref="I141:I142">
    <cfRule type="cellIs" dxfId="639" priority="348" operator="equal">
      <formula>#REF!</formula>
    </cfRule>
  </conditionalFormatting>
  <conditionalFormatting sqref="I143">
    <cfRule type="cellIs" dxfId="638" priority="347" operator="equal">
      <formula>#REF!</formula>
    </cfRule>
  </conditionalFormatting>
  <conditionalFormatting sqref="I144:I146">
    <cfRule type="cellIs" dxfId="637" priority="343" operator="equal">
      <formula>#REF!</formula>
    </cfRule>
  </conditionalFormatting>
  <conditionalFormatting sqref="I147:I148">
    <cfRule type="cellIs" dxfId="636" priority="342" operator="equal">
      <formula>#REF!</formula>
    </cfRule>
  </conditionalFormatting>
  <conditionalFormatting sqref="I149">
    <cfRule type="cellIs" dxfId="635" priority="341" operator="equal">
      <formula>#REF!</formula>
    </cfRule>
  </conditionalFormatting>
  <conditionalFormatting sqref="I150:I151">
    <cfRule type="cellIs" dxfId="634" priority="340" operator="equal">
      <formula>#REF!</formula>
    </cfRule>
  </conditionalFormatting>
  <conditionalFormatting sqref="I152:I153">
    <cfRule type="cellIs" dxfId="633" priority="339" operator="equal">
      <formula>#REF!</formula>
    </cfRule>
  </conditionalFormatting>
  <conditionalFormatting sqref="I154">
    <cfRule type="cellIs" dxfId="632" priority="338" operator="equal">
      <formula>#REF!</formula>
    </cfRule>
  </conditionalFormatting>
  <conditionalFormatting sqref="I155">
    <cfRule type="cellIs" dxfId="631" priority="337" operator="equal">
      <formula>#REF!</formula>
    </cfRule>
  </conditionalFormatting>
  <conditionalFormatting sqref="I156">
    <cfRule type="cellIs" dxfId="630" priority="336" operator="equal">
      <formula>#REF!</formula>
    </cfRule>
  </conditionalFormatting>
  <conditionalFormatting sqref="I157">
    <cfRule type="cellIs" dxfId="629" priority="334" operator="equal">
      <formula>#REF!</formula>
    </cfRule>
  </conditionalFormatting>
  <conditionalFormatting sqref="I158">
    <cfRule type="cellIs" dxfId="628" priority="333" operator="equal">
      <formula>#REF!</formula>
    </cfRule>
  </conditionalFormatting>
  <conditionalFormatting sqref="I159">
    <cfRule type="cellIs" dxfId="627" priority="328" operator="equal">
      <formula>#REF!</formula>
    </cfRule>
  </conditionalFormatting>
  <conditionalFormatting sqref="I160">
    <cfRule type="cellIs" dxfId="626" priority="327" operator="equal">
      <formula>#REF!</formula>
    </cfRule>
  </conditionalFormatting>
  <conditionalFormatting sqref="I161:I163">
    <cfRule type="cellIs" dxfId="625" priority="326" operator="equal">
      <formula>#REF!</formula>
    </cfRule>
  </conditionalFormatting>
  <conditionalFormatting sqref="I164">
    <cfRule type="cellIs" dxfId="624" priority="325" operator="equal">
      <formula>#REF!</formula>
    </cfRule>
  </conditionalFormatting>
  <conditionalFormatting sqref="I165">
    <cfRule type="cellIs" dxfId="623" priority="324" operator="equal">
      <formula>#REF!</formula>
    </cfRule>
  </conditionalFormatting>
  <conditionalFormatting sqref="I166:I167">
    <cfRule type="cellIs" dxfId="622" priority="320" operator="equal">
      <formula>#REF!</formula>
    </cfRule>
  </conditionalFormatting>
  <conditionalFormatting sqref="I168">
    <cfRule type="cellIs" dxfId="621" priority="316" operator="equal">
      <formula>#REF!</formula>
    </cfRule>
  </conditionalFormatting>
  <conditionalFormatting sqref="I169">
    <cfRule type="cellIs" dxfId="620" priority="312" operator="equal">
      <formula>#REF!</formula>
    </cfRule>
  </conditionalFormatting>
  <conditionalFormatting sqref="I170">
    <cfRule type="cellIs" dxfId="619" priority="308" operator="equal">
      <formula>#REF!</formula>
    </cfRule>
  </conditionalFormatting>
  <conditionalFormatting sqref="I171">
    <cfRule type="cellIs" dxfId="618" priority="307" operator="equal">
      <formula>#REF!</formula>
    </cfRule>
  </conditionalFormatting>
  <conditionalFormatting sqref="I172:I173">
    <cfRule type="cellIs" dxfId="617" priority="303" operator="equal">
      <formula>#REF!</formula>
    </cfRule>
  </conditionalFormatting>
  <conditionalFormatting sqref="I174">
    <cfRule type="cellIs" dxfId="616" priority="302" operator="equal">
      <formula>#REF!</formula>
    </cfRule>
  </conditionalFormatting>
  <conditionalFormatting sqref="I177">
    <cfRule type="cellIs" dxfId="615" priority="300" operator="equal">
      <formula>#REF!</formula>
    </cfRule>
  </conditionalFormatting>
  <conditionalFormatting sqref="M178:M180">
    <cfRule type="cellIs" dxfId="614" priority="298" operator="greaterThan">
      <formula>29.99</formula>
    </cfRule>
  </conditionalFormatting>
  <conditionalFormatting sqref="U178:Z180">
    <cfRule type="containsText" dxfId="613" priority="297" operator="containsText" text="Yes">
      <formula>NOT(ISERROR(SEARCH("Yes",U178)))</formula>
    </cfRule>
  </conditionalFormatting>
  <conditionalFormatting sqref="U178:Z180">
    <cfRule type="cellIs" dxfId="612" priority="295" operator="equal">
      <formula>"Yes"</formula>
    </cfRule>
  </conditionalFormatting>
  <conditionalFormatting sqref="M178:M180">
    <cfRule type="cellIs" dxfId="611" priority="294" operator="greaterThan">
      <formula>29.9</formula>
    </cfRule>
  </conditionalFormatting>
  <conditionalFormatting sqref="J178:J180">
    <cfRule type="cellIs" dxfId="610" priority="299" operator="equal">
      <formula>#REF!</formula>
    </cfRule>
  </conditionalFormatting>
  <conditionalFormatting sqref="I178">
    <cfRule type="cellIs" dxfId="609" priority="287" operator="equal">
      <formula>#REF!</formula>
    </cfRule>
  </conditionalFormatting>
  <conditionalFormatting sqref="I179:I181">
    <cfRule type="cellIs" dxfId="608" priority="286" operator="equal">
      <formula>#REF!</formula>
    </cfRule>
  </conditionalFormatting>
  <conditionalFormatting sqref="I175">
    <cfRule type="cellIs" dxfId="607" priority="285" operator="equal">
      <formula>#REF!</formula>
    </cfRule>
  </conditionalFormatting>
  <conditionalFormatting sqref="I176">
    <cfRule type="cellIs" dxfId="606" priority="284" operator="equal">
      <formula>#REF!</formula>
    </cfRule>
  </conditionalFormatting>
  <conditionalFormatting sqref="I182">
    <cfRule type="cellIs" dxfId="605" priority="277" operator="equal">
      <formula>#REF!</formula>
    </cfRule>
  </conditionalFormatting>
  <conditionalFormatting sqref="I183">
    <cfRule type="cellIs" dxfId="604" priority="274" operator="equal">
      <formula>#REF!</formula>
    </cfRule>
  </conditionalFormatting>
  <conditionalFormatting sqref="R183:R185">
    <cfRule type="cellIs" dxfId="603" priority="272" operator="greaterThan">
      <formula>0.99</formula>
    </cfRule>
  </conditionalFormatting>
  <conditionalFormatting sqref="I184">
    <cfRule type="cellIs" dxfId="602" priority="268" operator="equal">
      <formula>#REF!</formula>
    </cfRule>
  </conditionalFormatting>
  <conditionalFormatting sqref="I185">
    <cfRule type="cellIs" dxfId="601" priority="264" operator="equal">
      <formula>#REF!</formula>
    </cfRule>
  </conditionalFormatting>
  <conditionalFormatting sqref="I186:I187">
    <cfRule type="cellIs" dxfId="600" priority="258" operator="equal">
      <formula>#REF!</formula>
    </cfRule>
  </conditionalFormatting>
  <conditionalFormatting sqref="I188">
    <cfRule type="cellIs" dxfId="599" priority="255" operator="equal">
      <formula>#REF!</formula>
    </cfRule>
  </conditionalFormatting>
  <conditionalFormatting sqref="I189">
    <cfRule type="cellIs" dxfId="598" priority="254" operator="equal">
      <formula>#REF!</formula>
    </cfRule>
  </conditionalFormatting>
  <conditionalFormatting sqref="R189:R190">
    <cfRule type="cellIs" dxfId="597" priority="252" operator="greaterThan">
      <formula>0.99</formula>
    </cfRule>
  </conditionalFormatting>
  <conditionalFormatting sqref="I190:I191">
    <cfRule type="cellIs" dxfId="596" priority="251" operator="equal">
      <formula>#REF!</formula>
    </cfRule>
  </conditionalFormatting>
  <conditionalFormatting sqref="I192">
    <cfRule type="cellIs" dxfId="595" priority="250" operator="equal">
      <formula>#REF!</formula>
    </cfRule>
  </conditionalFormatting>
  <conditionalFormatting sqref="I193">
    <cfRule type="cellIs" dxfId="594" priority="249" operator="equal">
      <formula>#REF!</formula>
    </cfRule>
  </conditionalFormatting>
  <conditionalFormatting sqref="S193">
    <cfRule type="cellIs" dxfId="593" priority="246" operator="greaterThan">
      <formula>0.99</formula>
    </cfRule>
  </conditionalFormatting>
  <conditionalFormatting sqref="I194">
    <cfRule type="cellIs" dxfId="592" priority="245" operator="equal">
      <formula>#REF!</formula>
    </cfRule>
  </conditionalFormatting>
  <conditionalFormatting sqref="I195">
    <cfRule type="cellIs" dxfId="591" priority="243" operator="equal">
      <formula>#REF!</formula>
    </cfRule>
  </conditionalFormatting>
  <conditionalFormatting sqref="I196">
    <cfRule type="cellIs" dxfId="590" priority="242" operator="equal">
      <formula>#REF!</formula>
    </cfRule>
  </conditionalFormatting>
  <conditionalFormatting sqref="I197">
    <cfRule type="cellIs" dxfId="589" priority="241" operator="equal">
      <formula>#REF!</formula>
    </cfRule>
  </conditionalFormatting>
  <conditionalFormatting sqref="I198">
    <cfRule type="cellIs" dxfId="588" priority="240" operator="equal">
      <formula>#REF!</formula>
    </cfRule>
  </conditionalFormatting>
  <conditionalFormatting sqref="I199">
    <cfRule type="cellIs" dxfId="587" priority="238" operator="equal">
      <formula>#REF!</formula>
    </cfRule>
  </conditionalFormatting>
  <conditionalFormatting sqref="R199">
    <cfRule type="cellIs" dxfId="586" priority="237" operator="greaterThan">
      <formula>0.99</formula>
    </cfRule>
  </conditionalFormatting>
  <conditionalFormatting sqref="I200">
    <cfRule type="cellIs" dxfId="585" priority="235" operator="equal">
      <formula>#REF!</formula>
    </cfRule>
  </conditionalFormatting>
  <conditionalFormatting sqref="I201:I202">
    <cfRule type="cellIs" dxfId="584" priority="234" operator="equal">
      <formula>#REF!</formula>
    </cfRule>
  </conditionalFormatting>
  <conditionalFormatting sqref="R202">
    <cfRule type="cellIs" dxfId="583" priority="233" operator="greaterThan">
      <formula>0.99</formula>
    </cfRule>
  </conditionalFormatting>
  <conditionalFormatting sqref="I203">
    <cfRule type="cellIs" dxfId="582" priority="232" operator="equal">
      <formula>#REF!</formula>
    </cfRule>
  </conditionalFormatting>
  <conditionalFormatting sqref="I204">
    <cfRule type="cellIs" dxfId="581" priority="230" operator="equal">
      <formula>#REF!</formula>
    </cfRule>
  </conditionalFormatting>
  <conditionalFormatting sqref="I205:I206">
    <cfRule type="cellIs" dxfId="580" priority="229" operator="equal">
      <formula>#REF!</formula>
    </cfRule>
  </conditionalFormatting>
  <conditionalFormatting sqref="I207">
    <cfRule type="cellIs" dxfId="579" priority="227" operator="equal">
      <formula>#REF!</formula>
    </cfRule>
  </conditionalFormatting>
  <conditionalFormatting sqref="I208:I209">
    <cfRule type="cellIs" dxfId="578" priority="226" operator="equal">
      <formula>#REF!</formula>
    </cfRule>
  </conditionalFormatting>
  <conditionalFormatting sqref="I210:I211">
    <cfRule type="cellIs" dxfId="577" priority="225" operator="equal">
      <formula>#REF!</formula>
    </cfRule>
  </conditionalFormatting>
  <conditionalFormatting sqref="I212">
    <cfRule type="cellIs" dxfId="576" priority="224" operator="equal">
      <formula>#REF!</formula>
    </cfRule>
  </conditionalFormatting>
  <conditionalFormatting sqref="I213">
    <cfRule type="cellIs" dxfId="575" priority="222" operator="equal">
      <formula>#REF!</formula>
    </cfRule>
  </conditionalFormatting>
  <conditionalFormatting sqref="I214">
    <cfRule type="cellIs" dxfId="574" priority="221" operator="equal">
      <formula>#REF!</formula>
    </cfRule>
  </conditionalFormatting>
  <conditionalFormatting sqref="I215">
    <cfRule type="cellIs" dxfId="573" priority="217" operator="equal">
      <formula>#REF!</formula>
    </cfRule>
  </conditionalFormatting>
  <conditionalFormatting sqref="I216">
    <cfRule type="cellIs" dxfId="572" priority="213" operator="equal">
      <formula>#REF!</formula>
    </cfRule>
  </conditionalFormatting>
  <conditionalFormatting sqref="I217">
    <cfRule type="cellIs" dxfId="571" priority="211" operator="equal">
      <formula>#REF!</formula>
    </cfRule>
  </conditionalFormatting>
  <conditionalFormatting sqref="I218">
    <cfRule type="cellIs" dxfId="570" priority="210" operator="equal">
      <formula>#REF!</formula>
    </cfRule>
  </conditionalFormatting>
  <conditionalFormatting sqref="I219">
    <cfRule type="cellIs" dxfId="569" priority="208" operator="equal">
      <formula>#REF!</formula>
    </cfRule>
  </conditionalFormatting>
  <conditionalFormatting sqref="I220:I221">
    <cfRule type="cellIs" dxfId="568" priority="207" operator="equal">
      <formula>#REF!</formula>
    </cfRule>
  </conditionalFormatting>
  <conditionalFormatting sqref="I222">
    <cfRule type="cellIs" dxfId="567" priority="206" operator="equal">
      <formula>#REF!</formula>
    </cfRule>
  </conditionalFormatting>
  <conditionalFormatting sqref="I223">
    <cfRule type="cellIs" dxfId="566" priority="204" operator="equal">
      <formula>#REF!</formula>
    </cfRule>
  </conditionalFormatting>
  <conditionalFormatting sqref="I224">
    <cfRule type="cellIs" dxfId="565" priority="203" operator="equal">
      <formula>#REF!</formula>
    </cfRule>
  </conditionalFormatting>
  <conditionalFormatting sqref="I225">
    <cfRule type="cellIs" dxfId="564" priority="197" operator="equal">
      <formula>#REF!</formula>
    </cfRule>
  </conditionalFormatting>
  <conditionalFormatting sqref="I226:I227">
    <cfRule type="cellIs" dxfId="563" priority="196" operator="equal">
      <formula>#REF!</formula>
    </cfRule>
  </conditionalFormatting>
  <conditionalFormatting sqref="I228:I230">
    <cfRule type="cellIs" dxfId="562" priority="194" operator="equal">
      <formula>#REF!</formula>
    </cfRule>
  </conditionalFormatting>
  <conditionalFormatting sqref="I231">
    <cfRule type="cellIs" dxfId="561" priority="193" operator="equal">
      <formula>#REF!</formula>
    </cfRule>
  </conditionalFormatting>
  <conditionalFormatting sqref="I232:I233">
    <cfRule type="cellIs" dxfId="560" priority="191" operator="equal">
      <formula>#REF!</formula>
    </cfRule>
  </conditionalFormatting>
  <conditionalFormatting sqref="I234">
    <cfRule type="cellIs" dxfId="559" priority="188" operator="equal">
      <formula>#REF!</formula>
    </cfRule>
  </conditionalFormatting>
  <conditionalFormatting sqref="I235">
    <cfRule type="cellIs" dxfId="558" priority="187" operator="equal">
      <formula>#REF!</formula>
    </cfRule>
  </conditionalFormatting>
  <conditionalFormatting sqref="I236">
    <cfRule type="cellIs" dxfId="557" priority="185" operator="equal">
      <formula>#REF!</formula>
    </cfRule>
  </conditionalFormatting>
  <conditionalFormatting sqref="I237:I238">
    <cfRule type="cellIs" dxfId="556" priority="184" operator="equal">
      <formula>#REF!</formula>
    </cfRule>
  </conditionalFormatting>
  <conditionalFormatting sqref="I239">
    <cfRule type="cellIs" dxfId="555" priority="183" operator="equal">
      <formula>#REF!</formula>
    </cfRule>
  </conditionalFormatting>
  <conditionalFormatting sqref="I240">
    <cfRule type="cellIs" dxfId="554" priority="182" operator="equal">
      <formula>#REF!</formula>
    </cfRule>
  </conditionalFormatting>
  <conditionalFormatting sqref="I241">
    <cfRule type="cellIs" dxfId="553" priority="180" operator="equal">
      <formula>#REF!</formula>
    </cfRule>
  </conditionalFormatting>
  <conditionalFormatting sqref="I242">
    <cfRule type="cellIs" dxfId="552" priority="179" operator="equal">
      <formula>#REF!</formula>
    </cfRule>
  </conditionalFormatting>
  <conditionalFormatting sqref="I243">
    <cfRule type="cellIs" dxfId="551" priority="178" operator="equal">
      <formula>#REF!</formula>
    </cfRule>
  </conditionalFormatting>
  <conditionalFormatting sqref="I244">
    <cfRule type="cellIs" dxfId="550" priority="176" operator="equal">
      <formula>#REF!</formula>
    </cfRule>
  </conditionalFormatting>
  <conditionalFormatting sqref="I245">
    <cfRule type="cellIs" dxfId="549" priority="174" operator="equal">
      <formula>#REF!</formula>
    </cfRule>
  </conditionalFormatting>
  <conditionalFormatting sqref="I246">
    <cfRule type="cellIs" dxfId="548" priority="173" operator="equal">
      <formula>#REF!</formula>
    </cfRule>
  </conditionalFormatting>
  <conditionalFormatting sqref="I247">
    <cfRule type="cellIs" dxfId="547" priority="169" operator="equal">
      <formula>#REF!</formula>
    </cfRule>
  </conditionalFormatting>
  <conditionalFormatting sqref="I248">
    <cfRule type="cellIs" dxfId="546" priority="165" operator="equal">
      <formula>#REF!</formula>
    </cfRule>
  </conditionalFormatting>
  <conditionalFormatting sqref="I250">
    <cfRule type="cellIs" dxfId="545" priority="160" operator="equal">
      <formula>#REF!</formula>
    </cfRule>
  </conditionalFormatting>
  <conditionalFormatting sqref="I251">
    <cfRule type="cellIs" dxfId="544" priority="158" operator="equal">
      <formula>#REF!</formula>
    </cfRule>
  </conditionalFormatting>
  <conditionalFormatting sqref="I252">
    <cfRule type="cellIs" dxfId="543" priority="157" operator="equal">
      <formula>#REF!</formula>
    </cfRule>
  </conditionalFormatting>
  <conditionalFormatting sqref="I253">
    <cfRule type="cellIs" dxfId="542" priority="156" operator="equal">
      <formula>#REF!</formula>
    </cfRule>
  </conditionalFormatting>
  <conditionalFormatting sqref="I254">
    <cfRule type="cellIs" dxfId="541" priority="155" operator="equal">
      <formula>#REF!</formula>
    </cfRule>
  </conditionalFormatting>
  <conditionalFormatting sqref="I255">
    <cfRule type="cellIs" dxfId="540" priority="154" operator="equal">
      <formula>#REF!</formula>
    </cfRule>
  </conditionalFormatting>
  <conditionalFormatting sqref="I256">
    <cfRule type="cellIs" dxfId="539" priority="153" operator="equal">
      <formula>#REF!</formula>
    </cfRule>
  </conditionalFormatting>
  <conditionalFormatting sqref="I257">
    <cfRule type="cellIs" dxfId="538" priority="152" operator="equal">
      <formula>#REF!</formula>
    </cfRule>
  </conditionalFormatting>
  <conditionalFormatting sqref="I258">
    <cfRule type="cellIs" dxfId="537" priority="151" operator="equal">
      <formula>#REF!</formula>
    </cfRule>
  </conditionalFormatting>
  <conditionalFormatting sqref="I260">
    <cfRule type="cellIs" dxfId="536" priority="150" operator="equal">
      <formula>#REF!</formula>
    </cfRule>
  </conditionalFormatting>
  <conditionalFormatting sqref="I261">
    <cfRule type="cellIs" dxfId="535" priority="149" operator="equal">
      <formula>#REF!</formula>
    </cfRule>
  </conditionalFormatting>
  <conditionalFormatting sqref="I262">
    <cfRule type="cellIs" dxfId="534" priority="148" operator="equal">
      <formula>#REF!</formula>
    </cfRule>
  </conditionalFormatting>
  <conditionalFormatting sqref="I263">
    <cfRule type="cellIs" dxfId="533" priority="146" operator="equal">
      <formula>#REF!</formula>
    </cfRule>
  </conditionalFormatting>
  <conditionalFormatting sqref="I264">
    <cfRule type="cellIs" dxfId="532" priority="145" operator="equal">
      <formula>#REF!</formula>
    </cfRule>
  </conditionalFormatting>
  <conditionalFormatting sqref="I265">
    <cfRule type="cellIs" dxfId="531" priority="141" operator="equal">
      <formula>#REF!</formula>
    </cfRule>
  </conditionalFormatting>
  <conditionalFormatting sqref="I266">
    <cfRule type="cellIs" dxfId="530" priority="139" operator="equal">
      <formula>#REF!</formula>
    </cfRule>
  </conditionalFormatting>
  <conditionalFormatting sqref="I267">
    <cfRule type="cellIs" dxfId="529" priority="138" operator="equal">
      <formula>#REF!</formula>
    </cfRule>
  </conditionalFormatting>
  <conditionalFormatting sqref="I268">
    <cfRule type="cellIs" dxfId="528" priority="136" operator="equal">
      <formula>#REF!</formula>
    </cfRule>
  </conditionalFormatting>
  <conditionalFormatting sqref="I269">
    <cfRule type="cellIs" dxfId="527" priority="134" operator="equal">
      <formula>#REF!</formula>
    </cfRule>
  </conditionalFormatting>
  <conditionalFormatting sqref="I270">
    <cfRule type="cellIs" dxfId="526" priority="130" operator="equal">
      <formula>#REF!</formula>
    </cfRule>
  </conditionalFormatting>
  <conditionalFormatting sqref="I271">
    <cfRule type="cellIs" dxfId="525" priority="129" operator="equal">
      <formula>#REF!</formula>
    </cfRule>
  </conditionalFormatting>
  <conditionalFormatting sqref="I272">
    <cfRule type="cellIs" dxfId="524" priority="128" operator="equal">
      <formula>#REF!</formula>
    </cfRule>
  </conditionalFormatting>
  <conditionalFormatting sqref="I273">
    <cfRule type="cellIs" dxfId="523" priority="126" operator="equal">
      <formula>#REF!</formula>
    </cfRule>
  </conditionalFormatting>
  <conditionalFormatting sqref="I274">
    <cfRule type="cellIs" dxfId="522" priority="124" operator="equal">
      <formula>#REF!</formula>
    </cfRule>
  </conditionalFormatting>
  <conditionalFormatting sqref="I275">
    <cfRule type="cellIs" dxfId="521" priority="120" operator="equal">
      <formula>#REF!</formula>
    </cfRule>
  </conditionalFormatting>
  <conditionalFormatting sqref="I276">
    <cfRule type="cellIs" dxfId="520" priority="118" operator="equal">
      <formula>#REF!</formula>
    </cfRule>
  </conditionalFormatting>
  <conditionalFormatting sqref="I278">
    <cfRule type="cellIs" dxfId="519" priority="116" operator="equal">
      <formula>#REF!</formula>
    </cfRule>
  </conditionalFormatting>
  <conditionalFormatting sqref="I279">
    <cfRule type="cellIs" dxfId="518" priority="115" operator="equal">
      <formula>#REF!</formula>
    </cfRule>
  </conditionalFormatting>
  <conditionalFormatting sqref="I280">
    <cfRule type="cellIs" dxfId="517" priority="113" operator="equal">
      <formula>#REF!</formula>
    </cfRule>
  </conditionalFormatting>
  <conditionalFormatting sqref="I281:I283">
    <cfRule type="cellIs" dxfId="516" priority="111" operator="equal">
      <formula>#REF!</formula>
    </cfRule>
  </conditionalFormatting>
  <conditionalFormatting sqref="I284">
    <cfRule type="cellIs" dxfId="515" priority="110" operator="equal">
      <formula>#REF!</formula>
    </cfRule>
  </conditionalFormatting>
  <conditionalFormatting sqref="I285">
    <cfRule type="cellIs" dxfId="514" priority="108" operator="equal">
      <formula>#REF!</formula>
    </cfRule>
  </conditionalFormatting>
  <conditionalFormatting sqref="I286">
    <cfRule type="cellIs" dxfId="513" priority="107" operator="equal">
      <formula>#REF!</formula>
    </cfRule>
  </conditionalFormatting>
  <conditionalFormatting sqref="I287">
    <cfRule type="cellIs" dxfId="512" priority="106" operator="equal">
      <formula>#REF!</formula>
    </cfRule>
  </conditionalFormatting>
  <conditionalFormatting sqref="I288">
    <cfRule type="cellIs" dxfId="511" priority="104" operator="equal">
      <formula>#REF!</formula>
    </cfRule>
  </conditionalFormatting>
  <conditionalFormatting sqref="I289">
    <cfRule type="cellIs" dxfId="510" priority="102" operator="equal">
      <formula>#REF!</formula>
    </cfRule>
  </conditionalFormatting>
  <conditionalFormatting sqref="I277">
    <cfRule type="cellIs" dxfId="509" priority="100" operator="equal">
      <formula>#REF!</formula>
    </cfRule>
  </conditionalFormatting>
  <conditionalFormatting sqref="I290">
    <cfRule type="cellIs" dxfId="508" priority="98" operator="equal">
      <formula>#REF!</formula>
    </cfRule>
  </conditionalFormatting>
  <conditionalFormatting sqref="I291">
    <cfRule type="cellIs" dxfId="507" priority="96" operator="equal">
      <formula>#REF!</formula>
    </cfRule>
  </conditionalFormatting>
  <conditionalFormatting sqref="I292">
    <cfRule type="cellIs" dxfId="506" priority="95" operator="equal">
      <formula>#REF!</formula>
    </cfRule>
  </conditionalFormatting>
  <conditionalFormatting sqref="I293">
    <cfRule type="cellIs" dxfId="505" priority="93" operator="equal">
      <formula>#REF!</formula>
    </cfRule>
  </conditionalFormatting>
  <conditionalFormatting sqref="I294">
    <cfRule type="cellIs" dxfId="504" priority="92" operator="equal">
      <formula>#REF!</formula>
    </cfRule>
  </conditionalFormatting>
  <conditionalFormatting sqref="I295:I296">
    <cfRule type="cellIs" dxfId="503" priority="91" operator="equal">
      <formula>#REF!</formula>
    </cfRule>
  </conditionalFormatting>
  <conditionalFormatting sqref="I297:I298">
    <cfRule type="cellIs" dxfId="502" priority="90" operator="equal">
      <formula>#REF!</formula>
    </cfRule>
  </conditionalFormatting>
  <conditionalFormatting sqref="I299:I300">
    <cfRule type="cellIs" dxfId="501" priority="85" operator="equal">
      <formula>#REF!</formula>
    </cfRule>
  </conditionalFormatting>
  <conditionalFormatting sqref="I301">
    <cfRule type="cellIs" dxfId="500" priority="83" operator="equal">
      <formula>#REF!</formula>
    </cfRule>
  </conditionalFormatting>
  <conditionalFormatting sqref="I302">
    <cfRule type="cellIs" dxfId="499" priority="82" operator="equal">
      <formula>#REF!</formula>
    </cfRule>
  </conditionalFormatting>
  <conditionalFormatting sqref="I303">
    <cfRule type="cellIs" dxfId="498" priority="81" operator="equal">
      <formula>#REF!</formula>
    </cfRule>
  </conditionalFormatting>
  <conditionalFormatting sqref="I304">
    <cfRule type="cellIs" dxfId="497" priority="77" operator="equal">
      <formula>#REF!</formula>
    </cfRule>
  </conditionalFormatting>
  <conditionalFormatting sqref="I305">
    <cfRule type="cellIs" dxfId="496" priority="76" operator="equal">
      <formula>#REF!</formula>
    </cfRule>
  </conditionalFormatting>
  <conditionalFormatting sqref="I306">
    <cfRule type="cellIs" dxfId="495" priority="72" operator="equal">
      <formula>#REF!</formula>
    </cfRule>
  </conditionalFormatting>
  <conditionalFormatting sqref="I307">
    <cfRule type="cellIs" dxfId="494" priority="71" operator="equal">
      <formula>#REF!</formula>
    </cfRule>
  </conditionalFormatting>
  <conditionalFormatting sqref="I308:I309">
    <cfRule type="cellIs" dxfId="493" priority="69" operator="equal">
      <formula>#REF!</formula>
    </cfRule>
  </conditionalFormatting>
  <conditionalFormatting sqref="I310">
    <cfRule type="cellIs" dxfId="492" priority="67" operator="equal">
      <formula>#REF!</formula>
    </cfRule>
  </conditionalFormatting>
  <conditionalFormatting sqref="I311">
    <cfRule type="cellIs" dxfId="491" priority="65" operator="equal">
      <formula>#REF!</formula>
    </cfRule>
  </conditionalFormatting>
  <conditionalFormatting sqref="I312">
    <cfRule type="cellIs" dxfId="490" priority="64" operator="equal">
      <formula>#REF!</formula>
    </cfRule>
  </conditionalFormatting>
  <conditionalFormatting sqref="I313">
    <cfRule type="cellIs" dxfId="489" priority="63" operator="equal">
      <formula>#REF!</formula>
    </cfRule>
  </conditionalFormatting>
  <conditionalFormatting sqref="I314">
    <cfRule type="cellIs" dxfId="488" priority="62" operator="equal">
      <formula>#REF!</formula>
    </cfRule>
  </conditionalFormatting>
  <conditionalFormatting sqref="I315">
    <cfRule type="cellIs" dxfId="487" priority="61" operator="equal">
      <formula>#REF!</formula>
    </cfRule>
  </conditionalFormatting>
  <conditionalFormatting sqref="I316">
    <cfRule type="cellIs" dxfId="486" priority="59" operator="equal">
      <formula>#REF!</formula>
    </cfRule>
  </conditionalFormatting>
  <conditionalFormatting sqref="I317">
    <cfRule type="cellIs" dxfId="485" priority="58" operator="equal">
      <formula>#REF!</formula>
    </cfRule>
  </conditionalFormatting>
  <conditionalFormatting sqref="I318">
    <cfRule type="cellIs" dxfId="484" priority="56" operator="equal">
      <formula>#REF!</formula>
    </cfRule>
  </conditionalFormatting>
  <conditionalFormatting sqref="I319">
    <cfRule type="cellIs" dxfId="483" priority="55" operator="equal">
      <formula>#REF!</formula>
    </cfRule>
  </conditionalFormatting>
  <conditionalFormatting sqref="I320:I321">
    <cfRule type="cellIs" dxfId="482" priority="54" operator="equal">
      <formula>#REF!</formula>
    </cfRule>
  </conditionalFormatting>
  <conditionalFormatting sqref="I34">
    <cfRule type="cellIs" dxfId="481" priority="52" operator="equal">
      <formula>#REF!</formula>
    </cfRule>
  </conditionalFormatting>
  <conditionalFormatting sqref="I322">
    <cfRule type="cellIs" dxfId="480" priority="48" operator="equal">
      <formula>#REF!</formula>
    </cfRule>
  </conditionalFormatting>
  <conditionalFormatting sqref="I323">
    <cfRule type="cellIs" dxfId="479" priority="47" operator="equal">
      <formula>#REF!</formula>
    </cfRule>
  </conditionalFormatting>
  <conditionalFormatting sqref="I324">
    <cfRule type="cellIs" dxfId="478" priority="45" operator="equal">
      <formula>#REF!</formula>
    </cfRule>
  </conditionalFormatting>
  <conditionalFormatting sqref="I325:I326">
    <cfRule type="cellIs" dxfId="477" priority="44" operator="equal">
      <formula>#REF!</formula>
    </cfRule>
  </conditionalFormatting>
  <conditionalFormatting sqref="I327">
    <cfRule type="cellIs" dxfId="476" priority="43" operator="equal">
      <formula>#REF!</formula>
    </cfRule>
  </conditionalFormatting>
  <conditionalFormatting sqref="I328:I330">
    <cfRule type="cellIs" dxfId="475" priority="41" operator="equal">
      <formula>#REF!</formula>
    </cfRule>
  </conditionalFormatting>
  <conditionalFormatting sqref="I331">
    <cfRule type="cellIs" dxfId="474" priority="35" operator="equal">
      <formula>#REF!</formula>
    </cfRule>
  </conditionalFormatting>
  <conditionalFormatting sqref="I332">
    <cfRule type="cellIs" dxfId="473" priority="34" operator="equal">
      <formula>#REF!</formula>
    </cfRule>
  </conditionalFormatting>
  <conditionalFormatting sqref="I333">
    <cfRule type="cellIs" dxfId="472" priority="33" operator="equal">
      <formula>#REF!</formula>
    </cfRule>
  </conditionalFormatting>
  <conditionalFormatting sqref="I334:I335">
    <cfRule type="cellIs" dxfId="471" priority="31" operator="equal">
      <formula>#REF!</formula>
    </cfRule>
  </conditionalFormatting>
  <conditionalFormatting sqref="I336">
    <cfRule type="cellIs" dxfId="470" priority="30" operator="equal">
      <formula>#REF!</formula>
    </cfRule>
  </conditionalFormatting>
  <conditionalFormatting sqref="I337">
    <cfRule type="cellIs" dxfId="469" priority="28" operator="equal">
      <formula>#REF!</formula>
    </cfRule>
  </conditionalFormatting>
  <conditionalFormatting sqref="I338:I339">
    <cfRule type="cellIs" dxfId="468" priority="27" operator="equal">
      <formula>#REF!</formula>
    </cfRule>
  </conditionalFormatting>
  <conditionalFormatting sqref="I340">
    <cfRule type="cellIs" dxfId="467" priority="25" operator="equal">
      <formula>#REF!</formula>
    </cfRule>
  </conditionalFormatting>
  <conditionalFormatting sqref="I341">
    <cfRule type="cellIs" dxfId="466" priority="24" operator="equal">
      <formula>#REF!</formula>
    </cfRule>
  </conditionalFormatting>
  <conditionalFormatting sqref="I342">
    <cfRule type="cellIs" dxfId="465" priority="20" operator="equal">
      <formula>#REF!</formula>
    </cfRule>
  </conditionalFormatting>
  <conditionalFormatting sqref="I343">
    <cfRule type="cellIs" dxfId="464" priority="15" operator="equal">
      <formula>#REF!</formula>
    </cfRule>
  </conditionalFormatting>
  <conditionalFormatting sqref="I344">
    <cfRule type="cellIs" dxfId="463" priority="11" operator="equal">
      <formula>#REF!</formula>
    </cfRule>
  </conditionalFormatting>
  <conditionalFormatting sqref="I345">
    <cfRule type="cellIs" dxfId="462" priority="7" operator="equal">
      <formula>#REF!</formula>
    </cfRule>
  </conditionalFormatting>
  <conditionalFormatting sqref="I346:I347">
    <cfRule type="cellIs" dxfId="461" priority="6" operator="equal">
      <formula>#REF!</formula>
    </cfRule>
  </conditionalFormatting>
  <conditionalFormatting sqref="I348">
    <cfRule type="cellIs" dxfId="460" priority="1" operator="equal">
      <formula>#REF!</formula>
    </cfRule>
  </conditionalFormatting>
  <dataValidations count="11">
    <dataValidation type="list" allowBlank="1" showInputMessage="1" showErrorMessage="1" sqref="I532:J533">
      <formula1>$B$4:$B$214</formula1>
    </dataValidation>
    <dataValidation type="list" allowBlank="1" showInputMessage="1" showErrorMessage="1" sqref="I534:J534">
      <formula1>$B$4:$B$226</formula1>
    </dataValidation>
    <dataValidation type="list" allowBlank="1" showInputMessage="1" showErrorMessage="1" sqref="I598:J598 J133 I552:J588">
      <formula1>$B$4:$B$222</formula1>
    </dataValidation>
    <dataValidation type="list" showInputMessage="1" showErrorMessage="1" sqref="I599:J599">
      <formula1>$B$2:$B$222</formula1>
    </dataValidation>
    <dataValidation type="list" allowBlank="1" showInputMessage="1" showErrorMessage="1" sqref="I604:J604">
      <formula1>$B$2:$B$223</formula1>
    </dataValidation>
    <dataValidation type="list" allowBlank="1" showInputMessage="1" showErrorMessage="1" sqref="I451:J530">
      <formula1>$B$4:$B$224</formula1>
    </dataValidation>
    <dataValidation type="list" showInputMessage="1" showErrorMessage="1" sqref="I596:J597">
      <formula1>$B$2:$B$227</formula1>
    </dataValidation>
    <dataValidation type="list" allowBlank="1" showInputMessage="1" showErrorMessage="1" sqref="I591:J595">
      <formula1>$B$4:$B$227</formula1>
    </dataValidation>
    <dataValidation type="list" allowBlank="1" showInputMessage="1" showErrorMessage="1" sqref="J134:J201 J203:J208 J216">
      <formula1>$B$4:$B$103</formula1>
    </dataValidation>
    <dataValidation type="list" allowBlank="1" showInputMessage="1" showErrorMessage="1" sqref="J217:J449 I259 I249 I349:I449">
      <formula1>$B$3:$B$673</formula1>
    </dataValidation>
    <dataValidation type="list" allowBlank="1" showInputMessage="1" showErrorMessage="1" sqref="I250:I258">
      <formula1>$B$3:$B$516</formula1>
    </dataValidation>
  </dataValidations>
  <pageMargins left="0" right="0" top="0" bottom="0" header="0" footer="0"/>
  <pageSetup paperSize="9" scale="31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71" operator="containsText" id="{C0BD5C0B-3874-478F-A8ED-7D1849642A84}">
            <xm:f>NOT(ISERROR(SEARCH(#REF!,E8)))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72" operator="containsText" id="{5B8423E2-0FED-4516-BAF9-0DF5C95BD144}">
            <xm:f>NOT(ISERROR(SEARCH(#REF!,E8)))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973" operator="containsText" id="{D351782F-7FCA-46A5-88F5-D42DF4DAEC5F}">
            <xm:f>NOT(ISERROR(SEARCH(#REF!,E8)))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E526:E530 E849:E852 E856:E857 E860:E919 E923 E925 E930:E934 E939:E948 E952 E970:E984 E989:E997 E999:E1005 E1008 E1010:E1018 E1022:E1024 E1026:E1030 E1032:E1039 E1041 E1043:E1063 E1077:E1081 E1085:E1091 E1099:E1101 E1106:E1119 E1121:E1123 E1130:E1149 E1151:E1159 E1168:E1184 E1186 E1194:E1196 E1199:E1200 E1188:E1189 E1206:E1208 E1210:E1212 E1216:E1237 E1239:E1303 E1305:E1331 E1338:E1344 E1353:E1375 E1377:E1048576 E957:E968 E535:E846 E8:E12 E14:E20 E23:E25 E27:E33 E40 E45:E46 E48:E52 E56:E90 E93:E112 E114:E124 E127 E130:E132 E139:E143 E147:E149 E152:E158 E160:E165 E171 E173 E188:E195 E199:E209 E218:E223 E229:E244 E254:E264 E266:E269 E271:E274 E276:E298 E300:E303 E305 E35:E38 E309:E330 E332:E341 E346:E347 E349:E522</xm:sqref>
        </x14:conditionalFormatting>
        <x14:conditionalFormatting xmlns:xm="http://schemas.microsoft.com/office/excel/2006/main">
          <x14:cfRule type="containsText" priority="1745" operator="containsText" id="{D32762D1-6BD9-41F8-AC0A-09D794355707}">
            <xm:f>NOT(ISERROR(SEARCH(#REF!,E523)))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46" operator="containsText" id="{69F13FD6-3E2D-49DA-B3F1-70A4EAA93E27}">
            <xm:f>NOT(ISERROR(SEARCH(#REF!,E523)))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47" operator="containsText" id="{2CA8F43A-6D3C-43C1-A620-30C30E53F54C}">
            <xm:f>NOT(ISERROR(SEARCH(#REF!,E523)))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E523:E524</xm:sqref>
        </x14:conditionalFormatting>
        <x14:conditionalFormatting xmlns:xm="http://schemas.microsoft.com/office/excel/2006/main">
          <x14:cfRule type="containsText" priority="1739" operator="containsText" id="{6F43526B-7DC2-4D86-820F-2BA982CA93A4}">
            <xm:f>NOT(ISERROR(SEARCH(#REF!,E525)))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40" operator="containsText" id="{834B56F6-88E1-42B1-8ED0-DF1134319459}">
            <xm:f>NOT(ISERROR(SEARCH(#REF!,E525)))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41" operator="containsText" id="{C38F6177-34F1-4CD4-8F6C-C8D6EE80F532}">
            <xm:f>NOT(ISERROR(SEARCH(#REF!,E525)))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E525</xm:sqref>
        </x14:conditionalFormatting>
        <x14:conditionalFormatting xmlns:xm="http://schemas.microsoft.com/office/excel/2006/main">
          <x14:cfRule type="containsText" priority="1736" operator="containsText" id="{1441C69F-5AE3-42D1-AE93-3C5D52370CBF}">
            <xm:f>NOT(ISERROR(SEARCH(#REF!,E531)))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37" operator="containsText" id="{949FBAF6-8ABF-4AE4-9905-6D80BE941351}">
            <xm:f>NOT(ISERROR(SEARCH(#REF!,E531)))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38" operator="containsText" id="{4A4ABF71-E92E-4C7A-B7EB-D6F8679B8A5F}">
            <xm:f>NOT(ISERROR(SEARCH(#REF!,E531)))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E531:E533</xm:sqref>
        </x14:conditionalFormatting>
        <x14:conditionalFormatting xmlns:xm="http://schemas.microsoft.com/office/excel/2006/main">
          <x14:cfRule type="containsText" priority="1717" operator="containsText" id="{4E522778-CE55-4680-8847-5984D8163F69}">
            <xm:f>NOT(ISERROR(SEARCH(#REF!,E534)))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18" operator="containsText" id="{86069F3F-1252-4EEE-9A7F-88EDA8071EB6}">
            <xm:f>NOT(ISERROR(SEARCH(#REF!,E534)))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19" operator="containsText" id="{B449E787-81A0-43CA-964A-572A4EF7058E}">
            <xm:f>NOT(ISERROR(SEARCH(#REF!,E534)))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E534</xm:sqref>
        </x14:conditionalFormatting>
        <x14:conditionalFormatting xmlns:xm="http://schemas.microsoft.com/office/excel/2006/main">
          <x14:cfRule type="containsText" priority="1454" operator="containsText" id="{94BFACC1-31D1-4966-AF63-1F069A59ADA0}">
            <xm:f>NOT(ISERROR(SEARCH(#REF!,E133)))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55" operator="containsText" id="{8D9E3733-C644-4F83-AAEC-21D1DD160042}">
            <xm:f>NOT(ISERROR(SEARCH(#REF!,E133)))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56" operator="containsText" id="{B826EAF0-820F-45E9-AA40-4F949180074E}">
            <xm:f>NOT(ISERROR(SEARCH(#REF!,E133)))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E133:E135</xm:sqref>
        </x14:conditionalFormatting>
        <x14:conditionalFormatting xmlns:xm="http://schemas.microsoft.com/office/excel/2006/main">
          <x14:cfRule type="containsText" priority="1444" operator="containsText" id="{FFD5E58A-872C-44B5-B0FB-5DA06BB19A6E}">
            <xm:f>NOT(ISERROR(SEARCH(#REF!,E136)))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45" operator="containsText" id="{6EA421A9-130B-427A-8D6D-CC9F7BD50E5E}">
            <xm:f>NOT(ISERROR(SEARCH(#REF!,E136)))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46" operator="containsText" id="{570B7CBC-12BC-477A-9784-E1926370BD0B}">
            <xm:f>NOT(ISERROR(SEARCH(#REF!,E136)))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E136</xm:sqref>
        </x14:conditionalFormatting>
        <x14:conditionalFormatting xmlns:xm="http://schemas.microsoft.com/office/excel/2006/main">
          <x14:cfRule type="containsText" priority="1438" operator="containsText" id="{E3DE9F12-602B-4398-B036-66C729387C52}">
            <xm:f>NOT(ISERROR(SEARCH(#REF!,E150)))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9" operator="containsText" id="{C67CFB31-9692-4363-8423-0AA0D6F338A2}">
            <xm:f>NOT(ISERROR(SEARCH(#REF!,E150)))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40" operator="containsText" id="{ECF64AB1-8425-4377-A043-C4376D40EC60}">
            <xm:f>NOT(ISERROR(SEARCH(#REF!,E150)))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E150</xm:sqref>
        </x14:conditionalFormatting>
        <x14:conditionalFormatting xmlns:xm="http://schemas.microsoft.com/office/excel/2006/main">
          <x14:cfRule type="containsText" priority="1434" operator="containsText" id="{50CD5C26-8BBB-4925-AD91-C12B0ECD1106}">
            <xm:f>NOT(ISERROR(SEARCH(#REF!,E174)))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5" operator="containsText" id="{400D0171-AF76-49CD-8850-91F8664026B0}">
            <xm:f>NOT(ISERROR(SEARCH(#REF!,E174)))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36" operator="containsText" id="{42D7C2AA-26E3-415F-AD7B-C84A658C0165}">
            <xm:f>NOT(ISERROR(SEARCH(#REF!,E174)))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E174</xm:sqref>
        </x14:conditionalFormatting>
        <x14:conditionalFormatting xmlns:xm="http://schemas.microsoft.com/office/excel/2006/main">
          <x14:cfRule type="containsText" priority="1431" operator="containsText" id="{73AB1DE9-4B55-4B86-AEB2-7D4E8A1EAC6D}">
            <xm:f>NOT(ISERROR(SEARCH(#REF!,E175)))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2" operator="containsText" id="{5E5E3C34-FAF9-4D95-B073-7F648B18D052}">
            <xm:f>NOT(ISERROR(SEARCH(#REF!,E175)))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33" operator="containsText" id="{DE902CA3-F7C0-46AC-8B3D-0C43ED1C785F}">
            <xm:f>NOT(ISERROR(SEARCH(#REF!,E175)))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E175:E177</xm:sqref>
        </x14:conditionalFormatting>
        <x14:conditionalFormatting xmlns:xm="http://schemas.microsoft.com/office/excel/2006/main">
          <x14:cfRule type="containsText" priority="1428" operator="containsText" id="{49CBE106-63F5-49A7-B4C8-93BCF82A79C8}">
            <xm:f>NOT(ISERROR(SEARCH(#REF!,E181)))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29" operator="containsText" id="{7360CE75-E8C6-4EBE-B464-1F5063DAC195}">
            <xm:f>NOT(ISERROR(SEARCH(#REF!,E181)))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30" operator="containsText" id="{35B8E780-0B9B-4F66-8255-C69DD1BFD6EC}">
            <xm:f>NOT(ISERROR(SEARCH(#REF!,E181)))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E181</xm:sqref>
        </x14:conditionalFormatting>
        <x14:conditionalFormatting xmlns:xm="http://schemas.microsoft.com/office/excel/2006/main">
          <x14:cfRule type="containsText" priority="1399" operator="containsText" id="{3BC9E25A-1DBB-47E7-B17B-A8335C1EDD3D}">
            <xm:f>NOT(ISERROR(SEARCH(#REF!,E196)))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00" operator="containsText" id="{D8FB39AA-E76C-4CC6-ACB9-6ECAE0BF7654}">
            <xm:f>NOT(ISERROR(SEARCH(#REF!,E196)))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01" operator="containsText" id="{DFEDCE3F-108A-49CC-841D-FB0CF626CC0D}">
            <xm:f>NOT(ISERROR(SEARCH(#REF!,E196)))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E196:E198</xm:sqref>
        </x14:conditionalFormatting>
        <x14:conditionalFormatting xmlns:xm="http://schemas.microsoft.com/office/excel/2006/main">
          <x14:cfRule type="containsText" priority="1393" operator="containsText" id="{5C2FE27E-F4D0-4D81-91D7-011BC8EAD6E9}">
            <xm:f>NOT(ISERROR(SEARCH(#REF!,E210)))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94" operator="containsText" id="{A7034AC6-7A31-4A04-A7FB-2B1CB8B10A32}">
            <xm:f>NOT(ISERROR(SEARCH(#REF!,E210)))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95" operator="containsText" id="{0CFC9D0C-21D7-40B2-903E-09EC019456CD}">
            <xm:f>NOT(ISERROR(SEARCH(#REF!,E210)))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E210:E212</xm:sqref>
        </x14:conditionalFormatting>
        <x14:conditionalFormatting xmlns:xm="http://schemas.microsoft.com/office/excel/2006/main">
          <x14:cfRule type="containsText" priority="1387" operator="containsText" id="{FC524301-8FA0-463A-8F54-85A05EE83770}">
            <xm:f>NOT(ISERROR(SEARCH(#REF!,E213)))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8" operator="containsText" id="{9B51409F-F34D-4748-90E9-07D766F709C2}">
            <xm:f>NOT(ISERROR(SEARCH(#REF!,E213)))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89" operator="containsText" id="{047078A1-3FDC-4483-80AD-5E5E44F46DD2}">
            <xm:f>NOT(ISERROR(SEARCH(#REF!,E213)))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E213:E214 E217</xm:sqref>
        </x14:conditionalFormatting>
        <x14:conditionalFormatting xmlns:xm="http://schemas.microsoft.com/office/excel/2006/main">
          <x14:cfRule type="containsText" priority="1384" operator="containsText" id="{73C22D69-F15D-41E2-9859-8F52251FD1E8}">
            <xm:f>NOT(ISERROR(SEARCH(#REF!,E151)))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5" operator="containsText" id="{89C75EDC-B2AF-49CC-B09E-C1ADFFA59C28}">
            <xm:f>NOT(ISERROR(SEARCH(#REF!,E151)))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86" operator="containsText" id="{008B8646-6202-42BA-B893-67C8F224CC17}">
            <xm:f>NOT(ISERROR(SEARCH(#REF!,E151)))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E151</xm:sqref>
        </x14:conditionalFormatting>
        <x14:conditionalFormatting xmlns:xm="http://schemas.microsoft.com/office/excel/2006/main">
          <x14:cfRule type="containsText" priority="1381" operator="containsText" id="{DBD1C61C-C9C7-4E19-AB03-C7E6A393DA64}">
            <xm:f>NOT(ISERROR(SEARCH(#REF!,E224)))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2" operator="containsText" id="{84EFD065-2181-4C9B-8E9D-026DC456512B}">
            <xm:f>NOT(ISERROR(SEARCH(#REF!,E224)))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83" operator="containsText" id="{FEE9364E-CDD4-497D-8CF4-39F605AAB8DD}">
            <xm:f>NOT(ISERROR(SEARCH(#REF!,E224)))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E224</xm:sqref>
        </x14:conditionalFormatting>
        <x14:conditionalFormatting xmlns:xm="http://schemas.microsoft.com/office/excel/2006/main">
          <x14:cfRule type="containsText" priority="1377" operator="containsText" id="{63B323E6-71F8-4AB1-A172-B90FC5928116}">
            <xm:f>NOT(ISERROR(SEARCH(#REF!,E226)))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78" operator="containsText" id="{5E8F3D35-77AA-4680-BFF6-02D836635222}">
            <xm:f>NOT(ISERROR(SEARCH(#REF!,E226)))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79" operator="containsText" id="{4E17CF93-9587-4DF1-B600-20138636B7AB}">
            <xm:f>NOT(ISERROR(SEARCH(#REF!,E226)))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E226:E228</xm:sqref>
        </x14:conditionalFormatting>
        <x14:conditionalFormatting xmlns:xm="http://schemas.microsoft.com/office/excel/2006/main">
          <x14:cfRule type="containsText" priority="1368" operator="containsText" id="{1771EEA4-E5E3-4D9C-B8DE-172761BE6D83}">
            <xm:f>NOT(ISERROR(SEARCH(#REF!,E245)))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69" operator="containsText" id="{08B04547-9E4B-4593-B988-2FA7F4B3137B}">
            <xm:f>NOT(ISERROR(SEARCH(#REF!,E245)))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70" operator="containsText" id="{96B90645-BF6E-4764-AFB7-5D9FCFA2A868}">
            <xm:f>NOT(ISERROR(SEARCH(#REF!,E245)))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E245:E246</xm:sqref>
        </x14:conditionalFormatting>
        <x14:conditionalFormatting xmlns:xm="http://schemas.microsoft.com/office/excel/2006/main">
          <x14:cfRule type="containsText" priority="1364" operator="containsText" id="{EED99F3B-BF3B-41C8-A34A-247A5F4A8CAF}">
            <xm:f>NOT(ISERROR(SEARCH(#REF!,E249)))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65" operator="containsText" id="{5597BF67-7DEF-41A0-B9EE-254649A9D6BF}">
            <xm:f>NOT(ISERROR(SEARCH(#REF!,E249)))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66" operator="containsText" id="{E35998A7-56A2-47C6-81E4-60213C52989B}">
            <xm:f>NOT(ISERROR(SEARCH(#REF!,E249)))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E249 E251:E253</xm:sqref>
        </x14:conditionalFormatting>
        <x14:conditionalFormatting xmlns:xm="http://schemas.microsoft.com/office/excel/2006/main">
          <x14:cfRule type="containsText" priority="1183" operator="containsText" id="{4B2F978E-3999-40C1-AB22-FDDDCF82C8F0}">
            <xm:f>NOT(ISERROR(SEARCH(#REF!,E847)))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84" operator="containsText" id="{4A7EAB20-C9C9-4307-A0DF-88AEAA76C66C}">
            <xm:f>NOT(ISERROR(SEARCH(#REF!,E847)))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85" operator="containsText" id="{CEF4FB2D-88DF-4DE9-9303-643A5D9E2BE9}">
            <xm:f>NOT(ISERROR(SEARCH(#REF!,E847)))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E847:E848</xm:sqref>
        </x14:conditionalFormatting>
        <x14:conditionalFormatting xmlns:xm="http://schemas.microsoft.com/office/excel/2006/main">
          <x14:cfRule type="containsText" priority="1180" operator="containsText" id="{0CE61579-AF99-4A1E-B266-0DF97A1BB21F}">
            <xm:f>NOT(ISERROR(SEARCH(#REF!,E853)))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81" operator="containsText" id="{C41593E6-17F6-4146-9B77-4A973DC4F882}">
            <xm:f>NOT(ISERROR(SEARCH(#REF!,E853)))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82" operator="containsText" id="{8FA0ED93-75E4-40A9-AAFA-9B2710E18AE4}">
            <xm:f>NOT(ISERROR(SEARCH(#REF!,E853)))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E853</xm:sqref>
        </x14:conditionalFormatting>
        <x14:conditionalFormatting xmlns:xm="http://schemas.microsoft.com/office/excel/2006/main">
          <x14:cfRule type="containsText" priority="1177" operator="containsText" id="{46432687-6BF2-4671-9C51-58B7BC4597BF}">
            <xm:f>NOT(ISERROR(SEARCH(#REF!,E854)))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78" operator="containsText" id="{2501E590-FD78-4AD1-997F-4BE962D0D30D}">
            <xm:f>NOT(ISERROR(SEARCH(#REF!,E854)))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79" operator="containsText" id="{362D2B2B-8F97-4C2D-8872-DAB8D924B525}">
            <xm:f>NOT(ISERROR(SEARCH(#REF!,E854)))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E854</xm:sqref>
        </x14:conditionalFormatting>
        <x14:conditionalFormatting xmlns:xm="http://schemas.microsoft.com/office/excel/2006/main">
          <x14:cfRule type="containsText" priority="1173" operator="containsText" id="{01341963-CFAA-4C3E-8860-B84E7A8AAF43}">
            <xm:f>NOT(ISERROR(SEARCH(#REF!,E855)))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74" operator="containsText" id="{E2F9D48F-0451-42A7-A565-50F649656624}">
            <xm:f>NOT(ISERROR(SEARCH(#REF!,E855)))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75" operator="containsText" id="{1B89B43A-A24F-4003-94D8-AA9D29F1E9BD}">
            <xm:f>NOT(ISERROR(SEARCH(#REF!,E855)))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E855</xm:sqref>
        </x14:conditionalFormatting>
        <x14:conditionalFormatting xmlns:xm="http://schemas.microsoft.com/office/excel/2006/main">
          <x14:cfRule type="containsText" priority="1170" operator="containsText" id="{38A9F2E8-3509-40AD-BB7A-C0CA11F88C96}">
            <xm:f>NOT(ISERROR(SEARCH(#REF!,E858)))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71" operator="containsText" id="{ECCEDC41-6868-45D4-B194-FCC96F784076}">
            <xm:f>NOT(ISERROR(SEARCH(#REF!,E858)))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72" operator="containsText" id="{80415DED-AF81-4049-A590-EDB9E85B907C}">
            <xm:f>NOT(ISERROR(SEARCH(#REF!,E858)))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E858</xm:sqref>
        </x14:conditionalFormatting>
        <x14:conditionalFormatting xmlns:xm="http://schemas.microsoft.com/office/excel/2006/main">
          <x14:cfRule type="containsText" priority="1167" operator="containsText" id="{3966296C-98FD-4298-8C03-3D3261FA0FA7}">
            <xm:f>NOT(ISERROR(SEARCH(#REF!,E859)))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8" operator="containsText" id="{A248DAF5-8426-446B-86FA-9CC8BDA681B7}">
            <xm:f>NOT(ISERROR(SEARCH(#REF!,E859)))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9" operator="containsText" id="{3FC1284F-D305-4697-9E51-EEBECEE39755}">
            <xm:f>NOT(ISERROR(SEARCH(#REF!,E859)))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E859</xm:sqref>
        </x14:conditionalFormatting>
        <x14:conditionalFormatting xmlns:xm="http://schemas.microsoft.com/office/excel/2006/main">
          <x14:cfRule type="containsText" priority="1164" operator="containsText" id="{0198481B-B47A-4D4B-B626-0F9116566512}">
            <xm:f>NOT(ISERROR(SEARCH(#REF!,E920)))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5" operator="containsText" id="{2D6E00C9-CE6E-4E2C-9CEE-382269F5E419}">
            <xm:f>NOT(ISERROR(SEARCH(#REF!,E920)))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6" operator="containsText" id="{8F4A01B9-96AA-4086-A371-91A08E6A1282}">
            <xm:f>NOT(ISERROR(SEARCH(#REF!,E920)))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E920</xm:sqref>
        </x14:conditionalFormatting>
        <x14:conditionalFormatting xmlns:xm="http://schemas.microsoft.com/office/excel/2006/main">
          <x14:cfRule type="containsText" priority="1161" operator="containsText" id="{2809D1C2-46B2-4FBF-95E5-19E2FF7250B9}">
            <xm:f>NOT(ISERROR(SEARCH(#REF!,E921)))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2" operator="containsText" id="{556C9A87-77E1-451F-8841-80CDAF3BCA78}">
            <xm:f>NOT(ISERROR(SEARCH(#REF!,E921)))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3" operator="containsText" id="{71090B34-931F-485D-9528-CB85A1B763EF}">
            <xm:f>NOT(ISERROR(SEARCH(#REF!,E921)))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E921:E922</xm:sqref>
        </x14:conditionalFormatting>
        <x14:conditionalFormatting xmlns:xm="http://schemas.microsoft.com/office/excel/2006/main">
          <x14:cfRule type="containsText" priority="1158" operator="containsText" id="{ECF66733-48C2-42BB-B1B2-77D475E7C36C}">
            <xm:f>NOT(ISERROR(SEARCH(#REF!,E924)))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59" operator="containsText" id="{0D8A7E1F-4292-4719-95F8-234C6A1F5252}">
            <xm:f>NOT(ISERROR(SEARCH(#REF!,E924)))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0" operator="containsText" id="{51E9036C-A18B-46B6-8B82-F0CACAD20B1E}">
            <xm:f>NOT(ISERROR(SEARCH(#REF!,E924)))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E924</xm:sqref>
        </x14:conditionalFormatting>
        <x14:conditionalFormatting xmlns:xm="http://schemas.microsoft.com/office/excel/2006/main">
          <x14:cfRule type="containsText" priority="1155" operator="containsText" id="{23F3B981-CD60-4AFD-B3A2-E7D5BB2C809A}">
            <xm:f>NOT(ISERROR(SEARCH(#REF!,E926)))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56" operator="containsText" id="{8A6311C4-E9D4-4EDF-AA13-EE5AB6C989A2}">
            <xm:f>NOT(ISERROR(SEARCH(#REF!,E926)))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57" operator="containsText" id="{6F9E0BEC-7363-4CEA-A04E-3177642778FD}">
            <xm:f>NOT(ISERROR(SEARCH(#REF!,E926)))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E926</xm:sqref>
        </x14:conditionalFormatting>
        <x14:conditionalFormatting xmlns:xm="http://schemas.microsoft.com/office/excel/2006/main">
          <x14:cfRule type="containsText" priority="1152" operator="containsText" id="{C0C971B0-6ED7-44CB-95B3-FF2E029AE9D2}">
            <xm:f>NOT(ISERROR(SEARCH(#REF!,E927)))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53" operator="containsText" id="{18F1662B-ABC7-4CCF-92C5-AD9CBDB6BFAC}">
            <xm:f>NOT(ISERROR(SEARCH(#REF!,E927)))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54" operator="containsText" id="{CD9B411F-3E46-4F7C-B58E-780E9CA7F92B}">
            <xm:f>NOT(ISERROR(SEARCH(#REF!,E927)))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E927</xm:sqref>
        </x14:conditionalFormatting>
        <x14:conditionalFormatting xmlns:xm="http://schemas.microsoft.com/office/excel/2006/main">
          <x14:cfRule type="containsText" priority="1148" operator="containsText" id="{C5CC66F5-5349-4FA2-8875-BA29202EF26D}">
            <xm:f>NOT(ISERROR(SEARCH(#REF!,E928)))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9" operator="containsText" id="{46F2DE08-F78D-4290-AAB4-E01C86BDD2D0}">
            <xm:f>NOT(ISERROR(SEARCH(#REF!,E928)))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50" operator="containsText" id="{BD798339-45FB-45B6-B43D-BB2614754B71}">
            <xm:f>NOT(ISERROR(SEARCH(#REF!,E928)))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E928</xm:sqref>
        </x14:conditionalFormatting>
        <x14:conditionalFormatting xmlns:xm="http://schemas.microsoft.com/office/excel/2006/main">
          <x14:cfRule type="containsText" priority="1144" operator="containsText" id="{EDF15A3F-1D15-4179-9408-1DE566C6B836}">
            <xm:f>NOT(ISERROR(SEARCH(#REF!,E929)))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5" operator="containsText" id="{D6FB7B11-97F3-462A-AA19-DE59BC091D20}">
            <xm:f>NOT(ISERROR(SEARCH(#REF!,E929)))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46" operator="containsText" id="{32FD0AC7-01D9-4607-879A-8A75DAC36602}">
            <xm:f>NOT(ISERROR(SEARCH(#REF!,E929)))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E929</xm:sqref>
        </x14:conditionalFormatting>
        <x14:conditionalFormatting xmlns:xm="http://schemas.microsoft.com/office/excel/2006/main">
          <x14:cfRule type="containsText" priority="1140" operator="containsText" id="{A9714725-7767-4014-9861-32DBE46B8231}">
            <xm:f>NOT(ISERROR(SEARCH(#REF!,E935)))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1" operator="containsText" id="{76290FD8-533C-4C65-9575-4AADF8D14702}">
            <xm:f>NOT(ISERROR(SEARCH(#REF!,E935)))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42" operator="containsText" id="{750B61B8-C61C-4036-8868-BB97EA7849D9}">
            <xm:f>NOT(ISERROR(SEARCH(#REF!,E935)))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E935:E936</xm:sqref>
        </x14:conditionalFormatting>
        <x14:conditionalFormatting xmlns:xm="http://schemas.microsoft.com/office/excel/2006/main">
          <x14:cfRule type="containsText" priority="1136" operator="containsText" id="{29BDA4ED-A339-4BF3-8BA4-B2207F9323CE}">
            <xm:f>NOT(ISERROR(SEARCH(#REF!,E937)))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37" operator="containsText" id="{FBDE9CBA-7193-449D-BB83-DFE87E508456}">
            <xm:f>NOT(ISERROR(SEARCH(#REF!,E937)))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38" operator="containsText" id="{97EE3848-3B78-4BA9-8B31-A90C61965713}">
            <xm:f>NOT(ISERROR(SEARCH(#REF!,E937)))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E937</xm:sqref>
        </x14:conditionalFormatting>
        <x14:conditionalFormatting xmlns:xm="http://schemas.microsoft.com/office/excel/2006/main">
          <x14:cfRule type="containsText" priority="1133" operator="containsText" id="{227C4AB2-39E2-4B19-A663-214488986BD8}">
            <xm:f>NOT(ISERROR(SEARCH(#REF!,E938)))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34" operator="containsText" id="{B5AE58E3-2C19-4344-B3F2-B51341537F78}">
            <xm:f>NOT(ISERROR(SEARCH(#REF!,E938)))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35" operator="containsText" id="{F939DFF8-0566-4290-9907-41CC2D19DCFE}">
            <xm:f>NOT(ISERROR(SEARCH(#REF!,E938)))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E938</xm:sqref>
        </x14:conditionalFormatting>
        <x14:conditionalFormatting xmlns:xm="http://schemas.microsoft.com/office/excel/2006/main">
          <x14:cfRule type="containsText" priority="1128" operator="containsText" id="{E0DEF6CD-3593-466B-9B79-7D49FB1022EA}">
            <xm:f>NOT(ISERROR(SEARCH(#REF!,E949)))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29" operator="containsText" id="{F772E3B9-4C25-466F-986E-9E7A0F781105}">
            <xm:f>NOT(ISERROR(SEARCH(#REF!,E949)))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30" operator="containsText" id="{80965EC6-FE41-4644-9F19-637DA557D701}">
            <xm:f>NOT(ISERROR(SEARCH(#REF!,E949)))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E949:E951</xm:sqref>
        </x14:conditionalFormatting>
        <x14:conditionalFormatting xmlns:xm="http://schemas.microsoft.com/office/excel/2006/main">
          <x14:cfRule type="containsText" priority="1125" operator="containsText" id="{D476840D-57F3-4D2D-A1C5-D41F09B0C1E0}">
            <xm:f>NOT(ISERROR(SEARCH(#REF!,E953)))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26" operator="containsText" id="{C652C9E1-25F9-48FF-A405-C7A8D1A510E0}">
            <xm:f>NOT(ISERROR(SEARCH(#REF!,E953)))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27" operator="containsText" id="{379DC3EB-37CA-4754-A62D-1CD6350A3850}">
            <xm:f>NOT(ISERROR(SEARCH(#REF!,E953)))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E953:E954</xm:sqref>
        </x14:conditionalFormatting>
        <x14:conditionalFormatting xmlns:xm="http://schemas.microsoft.com/office/excel/2006/main">
          <x14:cfRule type="containsText" priority="1121" operator="containsText" id="{E5C9D6C5-465F-4342-B547-770C9F026E8A}">
            <xm:f>NOT(ISERROR(SEARCH(#REF!,E955)))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22" operator="containsText" id="{2B1341E5-C783-4955-8A17-03EE1BA8BD2A}">
            <xm:f>NOT(ISERROR(SEARCH(#REF!,E955)))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23" operator="containsText" id="{EDCE93BD-AC27-47BA-B44A-D28F76DE1AE8}">
            <xm:f>NOT(ISERROR(SEARCH(#REF!,E955)))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E955</xm:sqref>
        </x14:conditionalFormatting>
        <x14:conditionalFormatting xmlns:xm="http://schemas.microsoft.com/office/excel/2006/main">
          <x14:cfRule type="containsText" priority="1118" operator="containsText" id="{3FC2C9C5-3E4A-4EF7-AB7D-13ECD8B856B8}">
            <xm:f>NOT(ISERROR(SEARCH(#REF!,E956)))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19" operator="containsText" id="{C8C5E20A-EBD9-4E62-8355-FD5746000869}">
            <xm:f>NOT(ISERROR(SEARCH(#REF!,E956)))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20" operator="containsText" id="{E53BC7FC-4B0E-42BD-AFA0-863F4800B2E4}">
            <xm:f>NOT(ISERROR(SEARCH(#REF!,E956)))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E956</xm:sqref>
        </x14:conditionalFormatting>
        <x14:conditionalFormatting xmlns:xm="http://schemas.microsoft.com/office/excel/2006/main">
          <x14:cfRule type="containsText" priority="1114" operator="containsText" id="{F994829C-2214-4C26-85AA-03FEF5742449}">
            <xm:f>NOT(ISERROR(SEARCH(#REF!,E969)))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15" operator="containsText" id="{0A1D73F5-6F0F-434D-99D4-65934115E2CF}">
            <xm:f>NOT(ISERROR(SEARCH(#REF!,E969)))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16" operator="containsText" id="{AFEFA4BB-2097-4B00-B1E2-57EC8A222ED7}">
            <xm:f>NOT(ISERROR(SEARCH(#REF!,E969)))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E969</xm:sqref>
        </x14:conditionalFormatting>
        <x14:conditionalFormatting xmlns:xm="http://schemas.microsoft.com/office/excel/2006/main">
          <x14:cfRule type="containsText" priority="1106" operator="containsText" id="{8428FFD0-DBB4-449E-AED2-78C96677FFF7}">
            <xm:f>NOT(ISERROR(SEARCH(#REF!,E985)))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07" operator="containsText" id="{24CF761D-7737-45F7-9016-24371A8DF89A}">
            <xm:f>NOT(ISERROR(SEARCH(#REF!,E985)))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08" operator="containsText" id="{B1EEAB26-B4E9-4D2F-89FF-6C6A2E76EB20}">
            <xm:f>NOT(ISERROR(SEARCH(#REF!,E985)))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E985:E988</xm:sqref>
        </x14:conditionalFormatting>
        <x14:conditionalFormatting xmlns:xm="http://schemas.microsoft.com/office/excel/2006/main">
          <x14:cfRule type="containsText" priority="1101" operator="containsText" id="{5FEC79CB-F822-47AC-BF7F-D534F99AB096}">
            <xm:f>NOT(ISERROR(SEARCH(#REF!,E998)))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02" operator="containsText" id="{DA611FF3-E3E0-473E-B969-ED1089B46890}">
            <xm:f>NOT(ISERROR(SEARCH(#REF!,E998)))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03" operator="containsText" id="{B286A4F1-33A2-4177-A2DE-90C086A04E45}">
            <xm:f>NOT(ISERROR(SEARCH(#REF!,E998)))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E998</xm:sqref>
        </x14:conditionalFormatting>
        <x14:conditionalFormatting xmlns:xm="http://schemas.microsoft.com/office/excel/2006/main">
          <x14:cfRule type="containsText" priority="1096" operator="containsText" id="{48CE9ED7-D89C-4A4F-A910-EA642A71B1A5}">
            <xm:f>NOT(ISERROR(SEARCH(#REF!,E1006)))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7" operator="containsText" id="{97C17D83-EFD6-4101-9C56-7BABF1B12CB5}">
            <xm:f>NOT(ISERROR(SEARCH(#REF!,E1006)))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98" operator="containsText" id="{285FA392-0D47-4922-B254-71E4BDC89C1A}">
            <xm:f>NOT(ISERROR(SEARCH(#REF!,E1006)))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E1006</xm:sqref>
        </x14:conditionalFormatting>
        <x14:conditionalFormatting xmlns:xm="http://schemas.microsoft.com/office/excel/2006/main">
          <x14:cfRule type="containsText" priority="1093" operator="containsText" id="{D5FB30BB-60CE-4940-AB9C-D64912551A2E}">
            <xm:f>NOT(ISERROR(SEARCH(#REF!,E1007)))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4" operator="containsText" id="{6977B4A1-76B7-4BA7-92BF-53D26DB12327}">
            <xm:f>NOT(ISERROR(SEARCH(#REF!,E1007)))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95" operator="containsText" id="{1223F84E-23E3-48B5-A3A8-F14F8F8D2C50}">
            <xm:f>NOT(ISERROR(SEARCH(#REF!,E1007)))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E1007</xm:sqref>
        </x14:conditionalFormatting>
        <x14:conditionalFormatting xmlns:xm="http://schemas.microsoft.com/office/excel/2006/main">
          <x14:cfRule type="containsText" priority="1089" operator="containsText" id="{70357CD0-16C6-4890-A856-61BA18D4CA6C}">
            <xm:f>NOT(ISERROR(SEARCH(#REF!,E1009)))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0" operator="containsText" id="{AE994DDD-31D3-473F-BFD4-518A9DE9DD52}">
            <xm:f>NOT(ISERROR(SEARCH(#REF!,E1009)))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91" operator="containsText" id="{34EAF599-E66D-4FB7-9602-E402EE9E2A79}">
            <xm:f>NOT(ISERROR(SEARCH(#REF!,E1009)))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E1009</xm:sqref>
        </x14:conditionalFormatting>
        <x14:conditionalFormatting xmlns:xm="http://schemas.microsoft.com/office/excel/2006/main">
          <x14:cfRule type="containsText" priority="1082" operator="containsText" id="{EBD15951-F3CC-460A-B57C-651530560AA3}">
            <xm:f>NOT(ISERROR(SEARCH(#REF!,E1019)))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83" operator="containsText" id="{DBD8047F-809A-44B1-B4B3-B1CCEE090B05}">
            <xm:f>NOT(ISERROR(SEARCH(#REF!,E1019)))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84" operator="containsText" id="{632BA502-A917-40C2-A0E0-C4B72EDF184C}">
            <xm:f>NOT(ISERROR(SEARCH(#REF!,E1019)))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E1019</xm:sqref>
        </x14:conditionalFormatting>
        <x14:conditionalFormatting xmlns:xm="http://schemas.microsoft.com/office/excel/2006/main">
          <x14:cfRule type="containsText" priority="1078" operator="containsText" id="{3BCD25AB-98BB-4E73-8D5B-B38CED4D2215}">
            <xm:f>NOT(ISERROR(SEARCH(#REF!,E1020)))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9" operator="containsText" id="{B717F10D-5B8A-48D9-9731-F4388C7A5058}">
            <xm:f>NOT(ISERROR(SEARCH(#REF!,E1020)))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80" operator="containsText" id="{9471878A-09BE-4146-8FE3-733366D0B99C}">
            <xm:f>NOT(ISERROR(SEARCH(#REF!,E1020)))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E1020</xm:sqref>
        </x14:conditionalFormatting>
        <x14:conditionalFormatting xmlns:xm="http://schemas.microsoft.com/office/excel/2006/main">
          <x14:cfRule type="containsText" priority="1075" operator="containsText" id="{40FCC762-747B-45F3-ACDA-534EEB57F9FD}">
            <xm:f>NOT(ISERROR(SEARCH(#REF!,E1021)))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6" operator="containsText" id="{DB1A4AF8-413A-463C-A4B3-AE8EB537D545}">
            <xm:f>NOT(ISERROR(SEARCH(#REF!,E1021)))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77" operator="containsText" id="{5FD0D4E8-A7FE-4CF2-83CB-14B58EF68B23}">
            <xm:f>NOT(ISERROR(SEARCH(#REF!,E1021)))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E1021</xm:sqref>
        </x14:conditionalFormatting>
        <x14:conditionalFormatting xmlns:xm="http://schemas.microsoft.com/office/excel/2006/main">
          <x14:cfRule type="containsText" priority="1071" operator="containsText" id="{7BF30575-2402-4019-98F8-F9CF3D874C48}">
            <xm:f>NOT(ISERROR(SEARCH(#REF!,E1025)))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2" operator="containsText" id="{A8577A99-CDBE-416B-90AB-E161D878ED84}">
            <xm:f>NOT(ISERROR(SEARCH(#REF!,E1025)))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73" operator="containsText" id="{9CC061D8-AF13-4A39-9C76-2D64F2B18933}">
            <xm:f>NOT(ISERROR(SEARCH(#REF!,E1025)))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E1025</xm:sqref>
        </x14:conditionalFormatting>
        <x14:conditionalFormatting xmlns:xm="http://schemas.microsoft.com/office/excel/2006/main">
          <x14:cfRule type="containsText" priority="1067" operator="containsText" id="{C917F4DE-12DF-41BB-B94A-4A12F8C69B7B}">
            <xm:f>NOT(ISERROR(SEARCH(#REF!,E1031)))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8" operator="containsText" id="{AE0532C5-6205-40B8-995E-E0BFA01B15B4}">
            <xm:f>NOT(ISERROR(SEARCH(#REF!,E1031)))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69" operator="containsText" id="{1CEFBC08-20EF-41F6-9199-0590F3EDF0D3}">
            <xm:f>NOT(ISERROR(SEARCH(#REF!,E1031)))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E1031</xm:sqref>
        </x14:conditionalFormatting>
        <x14:conditionalFormatting xmlns:xm="http://schemas.microsoft.com/office/excel/2006/main">
          <x14:cfRule type="containsText" priority="1063" operator="containsText" id="{3D43257F-F1FD-45A3-9C8D-AC5B0165DC20}">
            <xm:f>NOT(ISERROR(SEARCH(#REF!,E1040)))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4" operator="containsText" id="{27AA068A-E2A8-4B30-B043-02EFCB692FBB}">
            <xm:f>NOT(ISERROR(SEARCH(#REF!,E1040)))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65" operator="containsText" id="{D87F7888-DB28-4CFF-9873-59513853F853}">
            <xm:f>NOT(ISERROR(SEARCH(#REF!,E1040)))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E1040</xm:sqref>
        </x14:conditionalFormatting>
        <x14:conditionalFormatting xmlns:xm="http://schemas.microsoft.com/office/excel/2006/main">
          <x14:cfRule type="containsText" priority="1059" operator="containsText" id="{04123AA1-757C-45DE-8DE9-8C0647FC3B3F}">
            <xm:f>NOT(ISERROR(SEARCH(#REF!,E1042)))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0" operator="containsText" id="{B970B3E9-9A34-4C65-A542-514DBE14049E}">
            <xm:f>NOT(ISERROR(SEARCH(#REF!,E1042)))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61" operator="containsText" id="{5883009C-63BB-4823-852B-3CA79BCA6877}">
            <xm:f>NOT(ISERROR(SEARCH(#REF!,E1042)))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E1042</xm:sqref>
        </x14:conditionalFormatting>
        <x14:conditionalFormatting xmlns:xm="http://schemas.microsoft.com/office/excel/2006/main">
          <x14:cfRule type="containsText" priority="1053" operator="containsText" id="{4C1CFB2F-2B80-467C-9226-90A297FDE565}">
            <xm:f>NOT(ISERROR(SEARCH(#REF!,E1064)))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54" operator="containsText" id="{1F19C575-9E66-42D5-945C-4E46A64CD34A}">
            <xm:f>NOT(ISERROR(SEARCH(#REF!,E1064)))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55" operator="containsText" id="{9E3DDCF8-AC33-46FF-BE68-2973CF3DDE92}">
            <xm:f>NOT(ISERROR(SEARCH(#REF!,E1064)))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E1064</xm:sqref>
        </x14:conditionalFormatting>
        <x14:conditionalFormatting xmlns:xm="http://schemas.microsoft.com/office/excel/2006/main">
          <x14:cfRule type="containsText" priority="1050" operator="containsText" id="{FB214643-CF0A-40DC-8F91-81513AF229EA}">
            <xm:f>NOT(ISERROR(SEARCH(#REF!,E1065)))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51" operator="containsText" id="{5ACE325C-3C5B-4F40-AB3A-3BB3CFEC0E92}">
            <xm:f>NOT(ISERROR(SEARCH(#REF!,E1065)))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52" operator="containsText" id="{550202A9-114E-410C-B653-BA08BEB9B292}">
            <xm:f>NOT(ISERROR(SEARCH(#REF!,E1065)))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E1065</xm:sqref>
        </x14:conditionalFormatting>
        <x14:conditionalFormatting xmlns:xm="http://schemas.microsoft.com/office/excel/2006/main">
          <x14:cfRule type="containsText" priority="1047" operator="containsText" id="{C9947659-B06E-4203-B811-FDECA490CCDA}">
            <xm:f>NOT(ISERROR(SEARCH(#REF!,E1066)))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8" operator="containsText" id="{EC1DC786-9D1F-4085-8945-6D100A355DB5}">
            <xm:f>NOT(ISERROR(SEARCH(#REF!,E1066)))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49" operator="containsText" id="{BE26976E-FE4D-4651-BBF7-4E06E89C255D}">
            <xm:f>NOT(ISERROR(SEARCH(#REF!,E1066)))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E1066</xm:sqref>
        </x14:conditionalFormatting>
        <x14:conditionalFormatting xmlns:xm="http://schemas.microsoft.com/office/excel/2006/main">
          <x14:cfRule type="containsText" priority="1044" operator="containsText" id="{A0A0DD9C-091F-43B2-8537-1BD2D2F6FB22}">
            <xm:f>NOT(ISERROR(SEARCH(#REF!,E1067)))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5" operator="containsText" id="{DCA4C1D0-16B8-4127-AE54-9076FDA679A7}">
            <xm:f>NOT(ISERROR(SEARCH(#REF!,E1067)))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46" operator="containsText" id="{D2F14FA4-DCB4-45CF-9A6B-20D20B7F134E}">
            <xm:f>NOT(ISERROR(SEARCH(#REF!,E1067)))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E1067:E1073</xm:sqref>
        </x14:conditionalFormatting>
        <x14:conditionalFormatting xmlns:xm="http://schemas.microsoft.com/office/excel/2006/main">
          <x14:cfRule type="containsText" priority="1040" operator="containsText" id="{F36DDAC4-9B15-48CE-9C7C-106333501C97}">
            <xm:f>NOT(ISERROR(SEARCH(#REF!,E1074)))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1" operator="containsText" id="{1E17B860-AA16-496C-BF4C-5B967517F66B}">
            <xm:f>NOT(ISERROR(SEARCH(#REF!,E1074)))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42" operator="containsText" id="{F97751CD-F85A-4C03-B2B9-43E02DBB8623}">
            <xm:f>NOT(ISERROR(SEARCH(#REF!,E1074)))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E1074</xm:sqref>
        </x14:conditionalFormatting>
        <x14:conditionalFormatting xmlns:xm="http://schemas.microsoft.com/office/excel/2006/main">
          <x14:cfRule type="containsText" priority="1034" operator="containsText" id="{00FDA5AF-3252-47BB-8497-5D32F489F22E}">
            <xm:f>NOT(ISERROR(SEARCH(#REF!,E1075)))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35" operator="containsText" id="{80795D45-2ACF-481A-8E2B-2D1C0C3A21BB}">
            <xm:f>NOT(ISERROR(SEARCH(#REF!,E1075)))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36" operator="containsText" id="{E3266802-1F50-4BAB-8C1A-441192779265}">
            <xm:f>NOT(ISERROR(SEARCH(#REF!,E1075)))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E1075:E1076</xm:sqref>
        </x14:conditionalFormatting>
        <x14:conditionalFormatting xmlns:xm="http://schemas.microsoft.com/office/excel/2006/main">
          <x14:cfRule type="containsText" priority="1030" operator="containsText" id="{37A07B6E-7473-4F4F-8E9C-2A3A5DBA40D6}">
            <xm:f>NOT(ISERROR(SEARCH(#REF!,E1082)))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31" operator="containsText" id="{38A1B20D-143A-41FC-8C69-99A3FBFAED2C}">
            <xm:f>NOT(ISERROR(SEARCH(#REF!,E1082)))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32" operator="containsText" id="{CCCCA86C-29FD-40AC-A887-371CFC2D2161}">
            <xm:f>NOT(ISERROR(SEARCH(#REF!,E1082)))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E1082</xm:sqref>
        </x14:conditionalFormatting>
        <x14:conditionalFormatting xmlns:xm="http://schemas.microsoft.com/office/excel/2006/main">
          <x14:cfRule type="containsText" priority="1026" operator="containsText" id="{D5E6F8DD-5E6F-42CD-AD3B-B9CD3B44C369}">
            <xm:f>NOT(ISERROR(SEARCH(#REF!,E1083)))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27" operator="containsText" id="{BAA2881A-E3D5-4F43-AD12-10ED17F0AC18}">
            <xm:f>NOT(ISERROR(SEARCH(#REF!,E1083)))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28" operator="containsText" id="{76EF658C-968C-4F66-B37D-FC37DC9E29C7}">
            <xm:f>NOT(ISERROR(SEARCH(#REF!,E1083)))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E1083:E1084</xm:sqref>
        </x14:conditionalFormatting>
        <x14:conditionalFormatting xmlns:xm="http://schemas.microsoft.com/office/excel/2006/main">
          <x14:cfRule type="containsText" priority="1021" operator="containsText" id="{F6B11D66-58F0-4DDB-A725-07FD18DF7251}">
            <xm:f>NOT(ISERROR(SEARCH(#REF!,E1092)))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22" operator="containsText" id="{466BE268-56B9-4FD6-A4D7-D4FE386092C5}">
            <xm:f>NOT(ISERROR(SEARCH(#REF!,E1092)))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23" operator="containsText" id="{5B221BEC-39C5-4690-9F9D-F025C58B9D12}">
            <xm:f>NOT(ISERROR(SEARCH(#REF!,E1092)))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E1092:E1095</xm:sqref>
        </x14:conditionalFormatting>
        <x14:conditionalFormatting xmlns:xm="http://schemas.microsoft.com/office/excel/2006/main">
          <x14:cfRule type="containsText" priority="1015" operator="containsText" id="{24C5CE9B-6DA7-452F-B688-7B890A001FB2}">
            <xm:f>NOT(ISERROR(SEARCH(#REF!,E1096)))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16" operator="containsText" id="{36DE85AC-6862-497E-A404-05FB43CD8E94}">
            <xm:f>NOT(ISERROR(SEARCH(#REF!,E1096)))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17" operator="containsText" id="{09687A95-4904-4588-9376-A84C7C39465B}">
            <xm:f>NOT(ISERROR(SEARCH(#REF!,E1096)))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E1096:E1098</xm:sqref>
        </x14:conditionalFormatting>
        <x14:conditionalFormatting xmlns:xm="http://schemas.microsoft.com/office/excel/2006/main">
          <x14:cfRule type="containsText" priority="1011" operator="containsText" id="{DA79396C-7455-47BC-8A1D-D46DB667E099}">
            <xm:f>NOT(ISERROR(SEARCH(#REF!,E1102)))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12" operator="containsText" id="{AE2AAAA3-ED77-4C0C-89C2-6E678D55EA88}">
            <xm:f>NOT(ISERROR(SEARCH(#REF!,E1102)))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13" operator="containsText" id="{465749C4-E295-40E0-B9BE-CE8F8639C14D}">
            <xm:f>NOT(ISERROR(SEARCH(#REF!,E1102)))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E1102</xm:sqref>
        </x14:conditionalFormatting>
        <x14:conditionalFormatting xmlns:xm="http://schemas.microsoft.com/office/excel/2006/main">
          <x14:cfRule type="containsText" priority="1007" operator="containsText" id="{16FD5C97-2872-4619-9885-892B5002AF00}">
            <xm:f>NOT(ISERROR(SEARCH(#REF!,E1103)))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08" operator="containsText" id="{74EBE9B7-BD5F-4458-A5A7-BFE5E9E06D58}">
            <xm:f>NOT(ISERROR(SEARCH(#REF!,E1103)))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09" operator="containsText" id="{1D3F8FEF-8D72-4E70-9DC1-C27818380803}">
            <xm:f>NOT(ISERROR(SEARCH(#REF!,E1103)))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E1103:E1105</xm:sqref>
        </x14:conditionalFormatting>
        <x14:conditionalFormatting xmlns:xm="http://schemas.microsoft.com/office/excel/2006/main">
          <x14:cfRule type="containsText" priority="999" operator="containsText" id="{070166EA-BEB3-4514-9CE7-9DF3ACA381BA}">
            <xm:f>NOT(ISERROR(SEARCH(#REF!,E1120)))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00" operator="containsText" id="{86679D55-49DF-4216-8D8E-CA95B1D747E7}">
            <xm:f>NOT(ISERROR(SEARCH(#REF!,E1120)))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01" operator="containsText" id="{F7C66C67-37F0-49AD-A4E3-1868210BE094}">
            <xm:f>NOT(ISERROR(SEARCH(#REF!,E1120)))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E1120</xm:sqref>
        </x14:conditionalFormatting>
        <x14:conditionalFormatting xmlns:xm="http://schemas.microsoft.com/office/excel/2006/main">
          <x14:cfRule type="containsText" priority="995" operator="containsText" id="{057A9C19-2BE0-4559-BF52-9007ADD56760}">
            <xm:f>NOT(ISERROR(SEARCH(#REF!,E1124)))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96" operator="containsText" id="{7DD6D04C-108F-4E38-B696-3F600BC0CB4D}">
            <xm:f>NOT(ISERROR(SEARCH(#REF!,E1124)))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97" operator="containsText" id="{8A21FA8D-AE0E-41BA-9AB9-73401C430032}">
            <xm:f>NOT(ISERROR(SEARCH(#REF!,E1124)))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E1124:E1129</xm:sqref>
        </x14:conditionalFormatting>
        <x14:conditionalFormatting xmlns:xm="http://schemas.microsoft.com/office/excel/2006/main">
          <x14:cfRule type="containsText" priority="981" operator="containsText" id="{F2F44C77-86A1-4E82-B336-4F952125C4AC}">
            <xm:f>NOT(ISERROR(SEARCH(#REF!,E1150)))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82" operator="containsText" id="{730C2C0F-42E1-4B29-83EB-CE1CA5927FCE}">
            <xm:f>NOT(ISERROR(SEARCH(#REF!,E1150)))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83" operator="containsText" id="{E6D17D9B-E8D2-4FB9-9088-B57B8158E255}">
            <xm:f>NOT(ISERROR(SEARCH(#REF!,E1150)))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E1150</xm:sqref>
        </x14:conditionalFormatting>
        <x14:conditionalFormatting xmlns:xm="http://schemas.microsoft.com/office/excel/2006/main">
          <x14:cfRule type="containsText" priority="976" operator="containsText" id="{A4F2D193-BD53-4F58-9DBE-8165732E36F1}">
            <xm:f>NOT(ISERROR(SEARCH(#REF!,E1160)))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77" operator="containsText" id="{E36573CA-9C5D-4707-8025-8DBC2399AC89}">
            <xm:f>NOT(ISERROR(SEARCH(#REF!,E1160)))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78" operator="containsText" id="{DB2E83CF-68CD-433B-A1F3-25DF8551CBE9}">
            <xm:f>NOT(ISERROR(SEARCH(#REF!,E1160)))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E1160:E1165</xm:sqref>
        </x14:conditionalFormatting>
        <x14:conditionalFormatting xmlns:xm="http://schemas.microsoft.com/office/excel/2006/main">
          <x14:cfRule type="containsText" priority="972" operator="containsText" id="{A4078CEC-5871-4C26-B9B4-52A9BC5865EA}">
            <xm:f>NOT(ISERROR(SEARCH(#REF!,E1166)))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73" operator="containsText" id="{27DA9DF7-68FB-48B1-8E25-7DA08C925072}">
            <xm:f>NOT(ISERROR(SEARCH(#REF!,E1166)))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74" operator="containsText" id="{DEC22836-87F8-49BF-8033-F35373CB9D9C}">
            <xm:f>NOT(ISERROR(SEARCH(#REF!,E1166)))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E1166</xm:sqref>
        </x14:conditionalFormatting>
        <x14:conditionalFormatting xmlns:xm="http://schemas.microsoft.com/office/excel/2006/main">
          <x14:cfRule type="containsText" priority="968" operator="containsText" id="{044C1837-3E77-4C4A-BBBC-A56FAA5654E0}">
            <xm:f>NOT(ISERROR(SEARCH(#REF!,E1167)))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69" operator="containsText" id="{2832E5BF-8924-40DC-AF73-9BA9B7AF9396}">
            <xm:f>NOT(ISERROR(SEARCH(#REF!,E1167)))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70" operator="containsText" id="{F6C68C23-DCDA-4D3A-B336-45D36B09AE1C}">
            <xm:f>NOT(ISERROR(SEARCH(#REF!,E1167)))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E1167</xm:sqref>
        </x14:conditionalFormatting>
        <x14:conditionalFormatting xmlns:xm="http://schemas.microsoft.com/office/excel/2006/main">
          <x14:cfRule type="containsText" priority="959" operator="containsText" id="{6419CC70-FEBE-42CC-AD20-E57C0F34D95A}">
            <xm:f>NOT(ISERROR(SEARCH(#REF!,E1185)))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60" operator="containsText" id="{32314069-396C-4B04-B053-625FFAEDC84E}">
            <xm:f>NOT(ISERROR(SEARCH(#REF!,E1185)))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61" operator="containsText" id="{37AF678B-35B8-4680-9C3B-AF977110F769}">
            <xm:f>NOT(ISERROR(SEARCH(#REF!,E1185)))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E1185</xm:sqref>
        </x14:conditionalFormatting>
        <x14:conditionalFormatting xmlns:xm="http://schemas.microsoft.com/office/excel/2006/main">
          <x14:cfRule type="containsText" priority="952" operator="containsText" id="{5E8E56A3-A5EA-4C76-8D14-022BED3D0F92}">
            <xm:f>NOT(ISERROR(SEARCH(#REF!,E1190)))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53" operator="containsText" id="{D8FAA8CB-52CF-4120-82F3-51E3ADE26D9A}">
            <xm:f>NOT(ISERROR(SEARCH(#REF!,E1190)))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54" operator="containsText" id="{10FDAE43-3B49-4FC1-BF41-E893BD9A0C04}">
            <xm:f>NOT(ISERROR(SEARCH(#REF!,E1190)))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E1190:E1192</xm:sqref>
        </x14:conditionalFormatting>
        <x14:conditionalFormatting xmlns:xm="http://schemas.microsoft.com/office/excel/2006/main">
          <x14:cfRule type="containsText" priority="948" operator="containsText" id="{CB181FD9-D492-4A31-A2CA-01D9F86B25B2}">
            <xm:f>NOT(ISERROR(SEARCH(#REF!,E1193)))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9" operator="containsText" id="{60913B06-9B18-46A7-83AB-F53D8F25E238}">
            <xm:f>NOT(ISERROR(SEARCH(#REF!,E1193)))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50" operator="containsText" id="{A3E9EF39-7ABE-44BA-B5BE-4BEE7C50D971}">
            <xm:f>NOT(ISERROR(SEARCH(#REF!,E1193)))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E1193</xm:sqref>
        </x14:conditionalFormatting>
        <x14:conditionalFormatting xmlns:xm="http://schemas.microsoft.com/office/excel/2006/main">
          <x14:cfRule type="containsText" priority="944" operator="containsText" id="{8CE5D21E-4585-46A0-8032-31297764D2A5}">
            <xm:f>NOT(ISERROR(SEARCH(#REF!,E1197)))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5" operator="containsText" id="{90D74587-CE04-482A-BFBD-3BA0F1F67927}">
            <xm:f>NOT(ISERROR(SEARCH(#REF!,E1197)))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46" operator="containsText" id="{94FE2D4C-F23F-40A2-9A13-72D8E6C53D3B}">
            <xm:f>NOT(ISERROR(SEARCH(#REF!,E1197)))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E1197:E1198</xm:sqref>
        </x14:conditionalFormatting>
        <x14:conditionalFormatting xmlns:xm="http://schemas.microsoft.com/office/excel/2006/main">
          <x14:cfRule type="containsText" priority="937" operator="containsText" id="{80D41F05-1BD6-4C84-BC56-43F724047D21}">
            <xm:f>NOT(ISERROR(SEARCH(#REF!,E1201)))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8" operator="containsText" id="{63A51689-BA63-4D72-8520-094D0A806515}">
            <xm:f>NOT(ISERROR(SEARCH(#REF!,E1201)))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39" operator="containsText" id="{0FFE1AA2-3843-4B44-BE22-FB5B841E4D91}">
            <xm:f>NOT(ISERROR(SEARCH(#REF!,E1201)))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E1201:E1203</xm:sqref>
        </x14:conditionalFormatting>
        <x14:conditionalFormatting xmlns:xm="http://schemas.microsoft.com/office/excel/2006/main">
          <x14:cfRule type="containsText" priority="933" operator="containsText" id="{8C1C0B45-DC05-4F0D-AAAB-A6AE7FF73BA8}">
            <xm:f>NOT(ISERROR(SEARCH(#REF!,E1187)))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4" operator="containsText" id="{852C8301-B903-494C-AAB3-83CE7F6C362F}">
            <xm:f>NOT(ISERROR(SEARCH(#REF!,E1187)))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35" operator="containsText" id="{3426186E-E7EC-43F8-8759-E2DCE8B01669}">
            <xm:f>NOT(ISERROR(SEARCH(#REF!,E1187)))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E1187</xm:sqref>
        </x14:conditionalFormatting>
        <x14:conditionalFormatting xmlns:xm="http://schemas.microsoft.com/office/excel/2006/main">
          <x14:cfRule type="containsText" priority="930" operator="containsText" id="{69427258-12A7-41F9-849A-8AE3DE054671}">
            <xm:f>NOT(ISERROR(SEARCH(#REF!,E1204)))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1" operator="containsText" id="{AC2D91E2-1068-41B6-907A-DB3DC74052CE}">
            <xm:f>NOT(ISERROR(SEARCH(#REF!,E1204)))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32" operator="containsText" id="{E6C12A79-46E2-4A31-9573-C70EEEEE2790}">
            <xm:f>NOT(ISERROR(SEARCH(#REF!,E1204)))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E1204:E1205</xm:sqref>
        </x14:conditionalFormatting>
        <x14:conditionalFormatting xmlns:xm="http://schemas.microsoft.com/office/excel/2006/main">
          <x14:cfRule type="containsText" priority="926" operator="containsText" id="{353CBFBC-ED57-4A93-97F4-EC70B9B762A3}">
            <xm:f>NOT(ISERROR(SEARCH(#REF!,E1209)))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7" operator="containsText" id="{E2A5979D-DEE0-49B9-97A9-A47E67BB2903}">
            <xm:f>NOT(ISERROR(SEARCH(#REF!,E1209)))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28" operator="containsText" id="{90305CF4-47CC-497A-8EE4-7C92BD520642}">
            <xm:f>NOT(ISERROR(SEARCH(#REF!,E1209)))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E1209</xm:sqref>
        </x14:conditionalFormatting>
        <x14:conditionalFormatting xmlns:xm="http://schemas.microsoft.com/office/excel/2006/main">
          <x14:cfRule type="containsText" priority="920" operator="containsText" id="{B2A407F9-D8FA-4C31-BE6B-098C3197073D}">
            <xm:f>NOT(ISERROR(SEARCH(#REF!,E1213)))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1" operator="containsText" id="{E729A5B3-F8DA-4B1C-A351-496C71C758EB}">
            <xm:f>NOT(ISERROR(SEARCH(#REF!,E1213)))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22" operator="containsText" id="{69580CCD-9B35-4BD4-8470-91427F7CCD9A}">
            <xm:f>NOT(ISERROR(SEARCH(#REF!,E1213)))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E1213:E1215</xm:sqref>
        </x14:conditionalFormatting>
        <x14:conditionalFormatting xmlns:xm="http://schemas.microsoft.com/office/excel/2006/main">
          <x14:cfRule type="containsText" priority="903" operator="containsText" id="{31F0607E-DCD0-4706-AB10-55F614676FB1}">
            <xm:f>NOT(ISERROR(SEARCH(#REF!,E1238)))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04" operator="containsText" id="{421AC8F5-0897-422B-B448-1521E25C9441}">
            <xm:f>NOT(ISERROR(SEARCH(#REF!,E1238)))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05" operator="containsText" id="{4B957609-348F-43F5-A871-5C4615A65DA4}">
            <xm:f>NOT(ISERROR(SEARCH(#REF!,E1238)))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E1238</xm:sqref>
        </x14:conditionalFormatting>
        <x14:conditionalFormatting xmlns:xm="http://schemas.microsoft.com/office/excel/2006/main">
          <x14:cfRule type="containsText" priority="862" operator="containsText" id="{B5007A4A-F07B-4EBD-85E2-82AA705BD4EB}">
            <xm:f>NOT(ISERROR(SEARCH(#REF!,E1304)))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63" operator="containsText" id="{078960F4-5A61-46C0-AB94-2A2503036E8D}">
            <xm:f>NOT(ISERROR(SEARCH(#REF!,E1304)))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64" operator="containsText" id="{493C3D84-30B1-4496-83ED-8684975A85E2}">
            <xm:f>NOT(ISERROR(SEARCH(#REF!,E1304)))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E1304</xm:sqref>
        </x14:conditionalFormatting>
        <x14:conditionalFormatting xmlns:xm="http://schemas.microsoft.com/office/excel/2006/main">
          <x14:cfRule type="containsText" priority="850" operator="containsText" id="{687607F7-337D-40E5-ACF2-B4EA96BC0132}">
            <xm:f>NOT(ISERROR(SEARCH(#REF!,E1332)))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51" operator="containsText" id="{F5F49CEE-5B9B-47F8-AE87-2C2CA69A1F69}">
            <xm:f>NOT(ISERROR(SEARCH(#REF!,E1332)))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52" operator="containsText" id="{A89023F9-C115-4017-BEBE-0EB8709B9643}">
            <xm:f>NOT(ISERROR(SEARCH(#REF!,E1332)))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E1332:E1337</xm:sqref>
        </x14:conditionalFormatting>
        <x14:conditionalFormatting xmlns:xm="http://schemas.microsoft.com/office/excel/2006/main">
          <x14:cfRule type="containsText" priority="845" operator="containsText" id="{0394F734-9000-49E1-A2D6-A9200BC04FD5}">
            <xm:f>NOT(ISERROR(SEARCH(#REF!,E1345)))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46" operator="containsText" id="{65090050-DD73-454E-8261-5DA47EB82B1E}">
            <xm:f>NOT(ISERROR(SEARCH(#REF!,E1345)))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47" operator="containsText" id="{DA93481E-3A16-4591-8BA7-AC1584E91400}">
            <xm:f>NOT(ISERROR(SEARCH(#REF!,E1345)))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E1345:E1347</xm:sqref>
        </x14:conditionalFormatting>
        <x14:conditionalFormatting xmlns:xm="http://schemas.microsoft.com/office/excel/2006/main">
          <x14:cfRule type="containsText" priority="841" operator="containsText" id="{C337EDB6-E3F5-4065-A86C-CACC9B39C675}">
            <xm:f>NOT(ISERROR(SEARCH(#REF!,E1348)))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42" operator="containsText" id="{50D53607-8FDD-4825-9D60-5902B9C89D81}">
            <xm:f>NOT(ISERROR(SEARCH(#REF!,E1348)))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43" operator="containsText" id="{64C42D16-B4AC-4810-9413-ABCA6C47CF86}">
            <xm:f>NOT(ISERROR(SEARCH(#REF!,E1348)))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E1348</xm:sqref>
        </x14:conditionalFormatting>
        <x14:conditionalFormatting xmlns:xm="http://schemas.microsoft.com/office/excel/2006/main">
          <x14:cfRule type="containsText" priority="837" operator="containsText" id="{3DE39D38-613D-45C3-88CF-795D5FA95276}">
            <xm:f>NOT(ISERROR(SEARCH(#REF!,E1349)))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38" operator="containsText" id="{D9033D86-F09E-437D-ACD0-035812D5F415}">
            <xm:f>NOT(ISERROR(SEARCH(#REF!,E1349)))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39" operator="containsText" id="{506AECC7-04CE-4151-BFBB-5E147BE00E50}">
            <xm:f>NOT(ISERROR(SEARCH(#REF!,E1349)))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E1349:E1352</xm:sqref>
        </x14:conditionalFormatting>
        <x14:conditionalFormatting xmlns:xm="http://schemas.microsoft.com/office/excel/2006/main">
          <x14:cfRule type="containsText" priority="822" operator="containsText" id="{90F57449-3FA8-4389-84BC-75EDA653566E}">
            <xm:f>NOT(ISERROR(SEARCH(#REF!,E1376)))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23" operator="containsText" id="{E3DC66D4-7DDA-4A26-8D98-A2F0C58AAAD1}">
            <xm:f>NOT(ISERROR(SEARCH(#REF!,E1376)))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24" operator="containsText" id="{83EE83DF-0421-40CB-A9F5-600F4D825CA3}">
            <xm:f>NOT(ISERROR(SEARCH(#REF!,E1376)))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E1376</xm:sqref>
        </x14:conditionalFormatting>
        <x14:conditionalFormatting xmlns:xm="http://schemas.microsoft.com/office/excel/2006/main">
          <x14:cfRule type="containsText" priority="543" operator="containsText" id="{1DB661ED-BCD0-4561-96BC-BB3D33ABE81B}">
            <xm:f>NOT(ISERROR(SEARCH(#REF!,E4)))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44" operator="containsText" id="{FAA340C8-4EBF-4D63-B1E5-6333A0676E25}">
            <xm:f>NOT(ISERROR(SEARCH(#REF!,E4)))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45" operator="containsText" id="{EA52B0EC-7A06-4A88-9C69-FD17FAF0F825}">
            <xm:f>NOT(ISERROR(SEARCH(#REF!,E4)))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ontainsText" priority="538" operator="containsText" id="{4BE69599-8D1C-4E5B-8F66-28CFCB4FD3C5}">
            <xm:f>NOT(ISERROR(SEARCH(#REF!,E5)))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39" operator="containsText" id="{C9926AC3-447E-4C7A-8964-1CE05AE8638C}">
            <xm:f>NOT(ISERROR(SEARCH(#REF!,E5)))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40" operator="containsText" id="{135427E9-2DC9-4421-999F-B1017B9C31CF}">
            <xm:f>NOT(ISERROR(SEARCH(#REF!,E5)))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E5:E6</xm:sqref>
        </x14:conditionalFormatting>
        <x14:conditionalFormatting xmlns:xm="http://schemas.microsoft.com/office/excel/2006/main">
          <x14:cfRule type="containsText" priority="531" operator="containsText" id="{9AA6A5B7-3153-49CB-B125-FEEAFB749FE7}">
            <xm:f>NOT(ISERROR(SEARCH(#REF!,E7)))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32" operator="containsText" id="{A7EE66CF-7276-4195-B827-6273F2FC2C4B}">
            <xm:f>NOT(ISERROR(SEARCH(#REF!,E7)))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33" operator="containsText" id="{DA42793E-A8AF-4734-A017-DF0CDDE92F9F}">
            <xm:f>NOT(ISERROR(SEARCH(#REF!,E7)))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525" operator="containsText" id="{D9E33901-2F4E-43F1-9916-E2A636C7C8B2}">
            <xm:f>NOT(ISERROR(SEARCH(#REF!,E13)))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6" operator="containsText" id="{9EE02CF4-2AF6-4534-B8F6-4E25E2369241}">
            <xm:f>NOT(ISERROR(SEARCH(#REF!,E13)))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27" operator="containsText" id="{63249AA3-9F29-433A-9C5C-7243C258D3FE}">
            <xm:f>NOT(ISERROR(SEARCH(#REF!,E13)))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containsText" priority="514" operator="containsText" id="{BF5891E8-4416-46DA-93B2-1C885CE42040}">
            <xm:f>NOT(ISERROR(SEARCH(#REF!,E21)))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5" operator="containsText" id="{A6211A72-F388-48E7-955E-94F040FDC86C}">
            <xm:f>NOT(ISERROR(SEARCH(#REF!,E21)))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16" operator="containsText" id="{BBB33726-875E-4D06-AEEA-5973371C1E7F}">
            <xm:f>NOT(ISERROR(SEARCH(#REF!,E21)))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containsText" priority="509" operator="containsText" id="{14F6BDBC-A74B-40B8-8019-7A3723E3D4FB}">
            <xm:f>NOT(ISERROR(SEARCH(#REF!,E22)))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0" operator="containsText" id="{A80C9BA5-8617-4C9C-9786-AD3FD0DDD702}">
            <xm:f>NOT(ISERROR(SEARCH(#REF!,E22)))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11" operator="containsText" id="{568C4B88-B7D8-4F77-B28C-51C8FB47ECEC}">
            <xm:f>NOT(ISERROR(SEARCH(#REF!,E22)))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498" operator="containsText" id="{79358230-47DA-4CD8-B4D8-11DE2381D96C}">
            <xm:f>NOT(ISERROR(SEARCH(#REF!,E26)))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99" operator="containsText" id="{ECF6986F-FD75-439E-BAB7-6E305FBBA66D}">
            <xm:f>NOT(ISERROR(SEARCH(#REF!,E26)))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00" operator="containsText" id="{AD40011D-00C4-4413-9E7F-22428527E490}">
            <xm:f>NOT(ISERROR(SEARCH(#REF!,E26)))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ontainsText" priority="477" operator="containsText" id="{3A40FA3B-8128-4AC7-BE2F-3CFE29CE2818}">
            <xm:f>NOT(ISERROR(SEARCH(#REF!,E39)))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78" operator="containsText" id="{59734DFA-4A98-45C4-A6DA-A92026399EDF}">
            <xm:f>NOT(ISERROR(SEARCH(#REF!,E39)))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79" operator="containsText" id="{A646BFF5-1383-4B26-92F0-27ED392F6D37}">
            <xm:f>NOT(ISERROR(SEARCH(#REF!,E39)))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E39</xm:sqref>
        </x14:conditionalFormatting>
        <x14:conditionalFormatting xmlns:xm="http://schemas.microsoft.com/office/excel/2006/main">
          <x14:cfRule type="containsText" priority="467" operator="containsText" id="{B9CF65C4-86FE-4878-BFB0-1EDB66C74105}">
            <xm:f>NOT(ISERROR(SEARCH(#REF!,E41)))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8" operator="containsText" id="{EF9FD93B-C4E0-445B-8639-6E60AE551A24}">
            <xm:f>NOT(ISERROR(SEARCH(#REF!,E41)))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69" operator="containsText" id="{61E125D8-1CF5-4D6E-B46C-0B7FE6A13CE7}">
            <xm:f>NOT(ISERROR(SEARCH(#REF!,E41)))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E41</xm:sqref>
        </x14:conditionalFormatting>
        <x14:conditionalFormatting xmlns:xm="http://schemas.microsoft.com/office/excel/2006/main">
          <x14:cfRule type="containsText" priority="463" operator="containsText" id="{C190C860-E3A8-46AC-8574-83B364D27F84}">
            <xm:f>NOT(ISERROR(SEARCH(#REF!,E42)))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4" operator="containsText" id="{A039D1E9-CA2F-48E0-A1DF-E73EED47E81C}">
            <xm:f>NOT(ISERROR(SEARCH(#REF!,E42)))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65" operator="containsText" id="{24AC754F-FC5D-4435-8C8E-64ED0D898B0F}">
            <xm:f>NOT(ISERROR(SEARCH(#REF!,E42)))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containsText" priority="458" operator="containsText" id="{A2C12870-CA95-45D0-9468-739DC1D3A602}">
            <xm:f>NOT(ISERROR(SEARCH(#REF!,E43)))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9" operator="containsText" id="{90F5D818-C83C-42CB-A6CB-65DA98EAD41B}">
            <xm:f>NOT(ISERROR(SEARCH(#REF!,E43)))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60" operator="containsText" id="{2BF65302-9EEE-4BA1-9C50-CDD01D948CC7}">
            <xm:f>NOT(ISERROR(SEARCH(#REF!,E43)))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453" operator="containsText" id="{6283B901-0767-444C-93BB-F119F3760F3C}">
            <xm:f>NOT(ISERROR(SEARCH(#REF!,E44)))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4" operator="containsText" id="{29E68F0B-AD69-4D55-BA17-25E683F22A96}">
            <xm:f>NOT(ISERROR(SEARCH(#REF!,E44)))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55" operator="containsText" id="{2769CA28-8A3F-4B1C-AEF5-0E9BB080F7AA}">
            <xm:f>NOT(ISERROR(SEARCH(#REF!,E44)))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containsText" priority="446" operator="containsText" id="{A08DCEF4-905A-4853-8E85-FC4BFBD346E1}">
            <xm:f>NOT(ISERROR(SEARCH(#REF!,E47)))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7" operator="containsText" id="{9E640E46-6719-468C-BF08-370957612A5E}">
            <xm:f>NOT(ISERROR(SEARCH(#REF!,E47)))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48" operator="containsText" id="{8D255B49-3FF2-4BF3-897D-6059DC3E43EA}">
            <xm:f>NOT(ISERROR(SEARCH(#REF!,E47)))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441" operator="containsText" id="{B8013112-05D2-47F5-86FC-7D5D8B86553F}">
            <xm:f>NOT(ISERROR(SEARCH(#REF!,E53)))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2" operator="containsText" id="{93DF28A3-8B8B-4D59-A354-C1CCF0D9E46D}">
            <xm:f>NOT(ISERROR(SEARCH(#REF!,E53)))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43" operator="containsText" id="{3A172D44-11F6-40D6-8E2A-5F5F966A8F68}">
            <xm:f>NOT(ISERROR(SEARCH(#REF!,E53)))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E53:E55</xm:sqref>
        </x14:conditionalFormatting>
        <x14:conditionalFormatting xmlns:xm="http://schemas.microsoft.com/office/excel/2006/main">
          <x14:cfRule type="containsText" priority="408" operator="containsText" id="{8AEABF0F-0DDC-49A0-AF62-0CD302F32751}">
            <xm:f>NOT(ISERROR(SEARCH(#REF!,E91)))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9" operator="containsText" id="{69DADECA-7D2D-4046-958D-79AA9F8A5789}">
            <xm:f>NOT(ISERROR(SEARCH(#REF!,E91)))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10" operator="containsText" id="{03463AFB-109C-4577-B75D-E0192E8C1515}">
            <xm:f>NOT(ISERROR(SEARCH(#REF!,E91)))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E91</xm:sqref>
        </x14:conditionalFormatting>
        <x14:conditionalFormatting xmlns:xm="http://schemas.microsoft.com/office/excel/2006/main">
          <x14:cfRule type="containsText" priority="404" operator="containsText" id="{BF7AFAD9-E981-4B9D-A0E4-8EE1A102FA21}">
            <xm:f>NOT(ISERROR(SEARCH(#REF!,E92)))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5" operator="containsText" id="{33D2C791-7810-4946-B320-12D1EA8C977D}">
            <xm:f>NOT(ISERROR(SEARCH(#REF!,E92)))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06" operator="containsText" id="{B6C47F94-870B-4101-9262-328A006D416F}">
            <xm:f>NOT(ISERROR(SEARCH(#REF!,E92)))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</xm:sqref>
        </x14:conditionalFormatting>
        <x14:conditionalFormatting xmlns:xm="http://schemas.microsoft.com/office/excel/2006/main">
          <x14:cfRule type="containsText" priority="384" operator="containsText" id="{2F6C1AD0-0C3E-445C-8DE2-1C967DDB9931}">
            <xm:f>NOT(ISERROR(SEARCH(#REF!,E113)))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85" operator="containsText" id="{6492C077-7DED-41ED-8DA3-4FA255AE5092}">
            <xm:f>NOT(ISERROR(SEARCH(#REF!,E113)))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86" operator="containsText" id="{F870010B-914F-4162-9EC3-1C410D19CCC0}">
            <xm:f>NOT(ISERROR(SEARCH(#REF!,E113)))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E113</xm:sqref>
        </x14:conditionalFormatting>
        <x14:conditionalFormatting xmlns:xm="http://schemas.microsoft.com/office/excel/2006/main">
          <x14:cfRule type="containsText" priority="373" operator="containsText" id="{4656A17A-0044-4E60-9C65-8A19823820FC}">
            <xm:f>NOT(ISERROR(SEARCH(#REF!,E125)))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4" operator="containsText" id="{27067434-9AD4-4F5D-B7AB-C36EE4530B37}">
            <xm:f>NOT(ISERROR(SEARCH(#REF!,E125)))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75" operator="containsText" id="{695FA47A-560E-4CB8-89E4-0A0BC83A819B}">
            <xm:f>NOT(ISERROR(SEARCH(#REF!,E125)))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E125</xm:sqref>
        </x14:conditionalFormatting>
        <x14:conditionalFormatting xmlns:xm="http://schemas.microsoft.com/office/excel/2006/main">
          <x14:cfRule type="containsText" priority="370" operator="containsText" id="{EAE4298B-1603-46E7-8328-DA53DD4ADC13}">
            <xm:f>NOT(ISERROR(SEARCH(#REF!,E126)))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1" operator="containsText" id="{5B34C3EC-0E41-4538-8079-44289BD84B5A}">
            <xm:f>NOT(ISERROR(SEARCH(#REF!,E126)))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72" operator="containsText" id="{3BC576CE-0FEC-41B9-B14F-63034FE919EB}">
            <xm:f>NOT(ISERROR(SEARCH(#REF!,E126)))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E126</xm:sqref>
        </x14:conditionalFormatting>
        <x14:conditionalFormatting xmlns:xm="http://schemas.microsoft.com/office/excel/2006/main">
          <x14:cfRule type="containsText" priority="365" operator="containsText" id="{C0856851-6D81-4EC7-B003-666FD02ACFA7}">
            <xm:f>NOT(ISERROR(SEARCH(#REF!,E128)))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6" operator="containsText" id="{FDBBAAC1-D05B-455A-96CA-76BBB7A2B063}">
            <xm:f>NOT(ISERROR(SEARCH(#REF!,E128)))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67" operator="containsText" id="{E13B17EE-E672-443F-A4C3-B23A148B79A2}">
            <xm:f>NOT(ISERROR(SEARCH(#REF!,E128)))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E128</xm:sqref>
        </x14:conditionalFormatting>
        <x14:conditionalFormatting xmlns:xm="http://schemas.microsoft.com/office/excel/2006/main">
          <x14:cfRule type="containsText" priority="360" operator="containsText" id="{A7F5B5B8-CAC1-4EC8-9E90-A18900031B8B}">
            <xm:f>NOT(ISERROR(SEARCH(#REF!,E129)))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1" operator="containsText" id="{5321379B-5A44-4091-976D-A0F52F1CCCC3}">
            <xm:f>NOT(ISERROR(SEARCH(#REF!,E129)))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62" operator="containsText" id="{284E715F-5BAB-4A18-A11D-55B725C2EFDF}">
            <xm:f>NOT(ISERROR(SEARCH(#REF!,E129)))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E129</xm:sqref>
        </x14:conditionalFormatting>
        <x14:conditionalFormatting xmlns:xm="http://schemas.microsoft.com/office/excel/2006/main">
          <x14:cfRule type="containsText" priority="352" operator="containsText" id="{217C7A88-2F56-47B3-A053-FBEC0F8FCB6D}">
            <xm:f>NOT(ISERROR(SEARCH(#REF!,E137)))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53" operator="containsText" id="{EB6B21EA-9C80-4DEE-9352-35666BCCC16B}">
            <xm:f>NOT(ISERROR(SEARCH(#REF!,E137)))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54" operator="containsText" id="{CF9A3F7A-F189-46BE-90F8-6C5E88262165}">
            <xm:f>NOT(ISERROR(SEARCH(#REF!,E137)))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E137:E138</xm:sqref>
        </x14:conditionalFormatting>
        <x14:conditionalFormatting xmlns:xm="http://schemas.microsoft.com/office/excel/2006/main">
          <x14:cfRule type="containsText" priority="344" operator="containsText" id="{0B5F1B08-13AC-4776-951B-E3F2A21777C7}">
            <xm:f>NOT(ISERROR(SEARCH(#REF!,E144)))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45" operator="containsText" id="{88766F9B-52B0-4C69-A7BC-F36298518123}">
            <xm:f>NOT(ISERROR(SEARCH(#REF!,E144)))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46" operator="containsText" id="{51B2DC8A-3F0F-424E-AB2A-4395FDA94595}">
            <xm:f>NOT(ISERROR(SEARCH(#REF!,E144)))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E144:E146</xm:sqref>
        </x14:conditionalFormatting>
        <x14:conditionalFormatting xmlns:xm="http://schemas.microsoft.com/office/excel/2006/main">
          <x14:cfRule type="containsText" priority="330" operator="containsText" id="{878BD68B-6118-4AB3-8521-1D2256BD85C5}">
            <xm:f>NOT(ISERROR(SEARCH(#REF!,E159)))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1" operator="containsText" id="{0333FD65-9A7F-40D4-8900-4AFCB4D254E1}">
            <xm:f>NOT(ISERROR(SEARCH(#REF!,E159)))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32" operator="containsText" id="{3A4ACCA4-8D0D-445C-AAAE-8D60505D4276}">
            <xm:f>NOT(ISERROR(SEARCH(#REF!,E159)))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E159</xm:sqref>
        </x14:conditionalFormatting>
        <x14:conditionalFormatting xmlns:xm="http://schemas.microsoft.com/office/excel/2006/main">
          <x14:cfRule type="containsText" priority="317" operator="containsText" id="{4B69CE99-2317-4CF9-85CF-EF2C8354A601}">
            <xm:f>NOT(ISERROR(SEARCH(#REF!,E168)))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8" operator="containsText" id="{E63AA920-8514-405C-9300-BC5CB0159344}">
            <xm:f>NOT(ISERROR(SEARCH(#REF!,E168)))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19" operator="containsText" id="{4AF4F426-0B04-48D8-BCDB-0B2C08D5678F}">
            <xm:f>NOT(ISERROR(SEARCH(#REF!,E168)))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E168</xm:sqref>
        </x14:conditionalFormatting>
        <x14:conditionalFormatting xmlns:xm="http://schemas.microsoft.com/office/excel/2006/main">
          <x14:cfRule type="containsText" priority="313" operator="containsText" id="{4B584EDB-0EE8-4EF4-AE92-42F57ED61953}">
            <xm:f>NOT(ISERROR(SEARCH(#REF!,E169)))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4" operator="containsText" id="{8F26A38D-2C07-4C2F-8A41-4418E8F5DCA9}">
            <xm:f>NOT(ISERROR(SEARCH(#REF!,E169)))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15" operator="containsText" id="{0627270B-C0D7-49BC-8B7E-C4D5BD82B173}">
            <xm:f>NOT(ISERROR(SEARCH(#REF!,E169)))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E169</xm:sqref>
        </x14:conditionalFormatting>
        <x14:conditionalFormatting xmlns:xm="http://schemas.microsoft.com/office/excel/2006/main">
          <x14:cfRule type="containsText" priority="309" operator="containsText" id="{A3AFDC45-335A-4DA0-8423-F0D3FE9F056C}">
            <xm:f>NOT(ISERROR(SEARCH(#REF!,E170)))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0" operator="containsText" id="{B79B9FD4-D9A6-4CE7-A6A3-8B3EEA67EA20}">
            <xm:f>NOT(ISERROR(SEARCH(#REF!,E170)))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11" operator="containsText" id="{B4C0179E-75D2-4D3D-AA20-42F22032E8ED}">
            <xm:f>NOT(ISERROR(SEARCH(#REF!,E170)))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E170</xm:sqref>
        </x14:conditionalFormatting>
        <x14:conditionalFormatting xmlns:xm="http://schemas.microsoft.com/office/excel/2006/main">
          <x14:cfRule type="containsText" priority="304" operator="containsText" id="{349AB962-7165-4D3F-BEAC-B7DF6CBC49B3}">
            <xm:f>NOT(ISERROR(SEARCH(#REF!,E172)))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5" operator="containsText" id="{BB6BBD0F-E16A-4DBF-8DED-68D4FDC3DA38}">
            <xm:f>NOT(ISERROR(SEARCH(#REF!,E172)))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06" operator="containsText" id="{46F2F4E0-5554-4EFC-AB29-335D25454C1C}">
            <xm:f>NOT(ISERROR(SEARCH(#REF!,E172)))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E172</xm:sqref>
        </x14:conditionalFormatting>
        <x14:conditionalFormatting xmlns:xm="http://schemas.microsoft.com/office/excel/2006/main">
          <x14:cfRule type="containsText" priority="291" operator="containsText" id="{0C8A9922-2231-4947-9F15-E6A51A05AFAA}">
            <xm:f>NOT(ISERROR(SEARCH(#REF!,E178)))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2" operator="containsText" id="{0C9916AD-5285-4F65-9F1E-F6AC9A78724D}">
            <xm:f>NOT(ISERROR(SEARCH(#REF!,E178)))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93" operator="containsText" id="{38797F22-2F05-4478-8E89-AF6EA7134784}">
            <xm:f>NOT(ISERROR(SEARCH(#REF!,E178)))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E178</xm:sqref>
        </x14:conditionalFormatting>
        <x14:conditionalFormatting xmlns:xm="http://schemas.microsoft.com/office/excel/2006/main">
          <x14:cfRule type="containsText" priority="288" operator="containsText" id="{4FC6557A-2EB3-49EA-84ED-6AE5F85BA079}">
            <xm:f>NOT(ISERROR(SEARCH(#REF!,E179)))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89" operator="containsText" id="{EF9C65C1-7FC3-4F24-840B-574B1C913C14}">
            <xm:f>NOT(ISERROR(SEARCH(#REF!,E179)))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90" operator="containsText" id="{D19500BD-837A-4DDA-842C-383FDB47C729}">
            <xm:f>NOT(ISERROR(SEARCH(#REF!,E179)))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E179:E180</xm:sqref>
        </x14:conditionalFormatting>
        <x14:conditionalFormatting xmlns:xm="http://schemas.microsoft.com/office/excel/2006/main">
          <x14:cfRule type="containsText" priority="281" operator="containsText" id="{5F795BCF-7632-4C67-975F-817FAB3D7AF6}">
            <xm:f>NOT(ISERROR(SEARCH(#REF!,E166)))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82" operator="containsText" id="{E9656D00-BDD3-4818-BE0E-D5301CF55CCB}">
            <xm:f>NOT(ISERROR(SEARCH(#REF!,E166)))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83" operator="containsText" id="{20E284E6-A516-4C33-8382-D592AC755C9A}">
            <xm:f>NOT(ISERROR(SEARCH(#REF!,E166)))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E166:E167</xm:sqref>
        </x14:conditionalFormatting>
        <x14:conditionalFormatting xmlns:xm="http://schemas.microsoft.com/office/excel/2006/main">
          <x14:cfRule type="containsText" priority="278" operator="containsText" id="{5430AE9C-4368-4227-8CDE-A409B92CBE03}">
            <xm:f>NOT(ISERROR(SEARCH(#REF!,E182)))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9" operator="containsText" id="{6BFE096E-830B-4B4D-9CBF-01A327F0818A}">
            <xm:f>NOT(ISERROR(SEARCH(#REF!,E182)))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80" operator="containsText" id="{5D1ACA4B-B2E4-4A0F-9D87-81AB6F217C29}">
            <xm:f>NOT(ISERROR(SEARCH(#REF!,E182)))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E182:E183</xm:sqref>
        </x14:conditionalFormatting>
        <x14:conditionalFormatting xmlns:xm="http://schemas.microsoft.com/office/excel/2006/main">
          <x14:cfRule type="containsText" priority="269" operator="containsText" id="{652B2405-A8E5-4672-8583-9A7BF398F25B}">
            <xm:f>NOT(ISERROR(SEARCH(#REF!,E184)))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0" operator="containsText" id="{C60C0F8D-CC2B-4CCE-83E0-B6C5D793F076}">
            <xm:f>NOT(ISERROR(SEARCH(#REF!,E184)))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71" operator="containsText" id="{947D7F14-9F5C-485C-B219-D6C29D72A803}">
            <xm:f>NOT(ISERROR(SEARCH(#REF!,E184)))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E184</xm:sqref>
        </x14:conditionalFormatting>
        <x14:conditionalFormatting xmlns:xm="http://schemas.microsoft.com/office/excel/2006/main">
          <x14:cfRule type="containsText" priority="265" operator="containsText" id="{125BDDE0-97B7-4381-A37B-17C8C01256A1}">
            <xm:f>NOT(ISERROR(SEARCH(#REF!,E185)))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6" operator="containsText" id="{7296B5C3-3955-4D2F-94E1-2D487A05F97D}">
            <xm:f>NOT(ISERROR(SEARCH(#REF!,E185)))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67" operator="containsText" id="{82A821D8-11AF-41FF-982A-930E6B628DF5}">
            <xm:f>NOT(ISERROR(SEARCH(#REF!,E185)))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E185</xm:sqref>
        </x14:conditionalFormatting>
        <x14:conditionalFormatting xmlns:xm="http://schemas.microsoft.com/office/excel/2006/main">
          <x14:cfRule type="containsText" priority="259" operator="containsText" id="{44FF5281-C3D2-4DB1-91C0-7A1E9B9FB1A1}">
            <xm:f>NOT(ISERROR(SEARCH(#REF!,E186)))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" operator="containsText" id="{E6659CDC-6378-47F9-8844-A017573EF3F1}">
            <xm:f>NOT(ISERROR(SEARCH(#REF!,E186)))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61" operator="containsText" id="{C8C5A249-29A3-49AC-BC2B-838393D2F3F6}">
            <xm:f>NOT(ISERROR(SEARCH(#REF!,E186)))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E186:E187</xm:sqref>
        </x14:conditionalFormatting>
        <x14:conditionalFormatting xmlns:xm="http://schemas.microsoft.com/office/excel/2006/main">
          <x14:cfRule type="containsText" priority="218" operator="containsText" id="{5E92D6CD-9159-4777-8F47-9FC0ECAC2206}">
            <xm:f>NOT(ISERROR(SEARCH(#REF!,E215)))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9" operator="containsText" id="{0C488F43-1E39-441F-B51A-F521D5388EF8}">
            <xm:f>NOT(ISERROR(SEARCH(#REF!,E215)))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20" operator="containsText" id="{D483CF2E-2158-46ED-BEE3-ABF8ACD6553E}">
            <xm:f>NOT(ISERROR(SEARCH(#REF!,E215)))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E215</xm:sqref>
        </x14:conditionalFormatting>
        <x14:conditionalFormatting xmlns:xm="http://schemas.microsoft.com/office/excel/2006/main">
          <x14:cfRule type="containsText" priority="214" operator="containsText" id="{E85F696B-CEEC-4CBD-9BE8-9E4EF3AC9CA0}">
            <xm:f>NOT(ISERROR(SEARCH(#REF!,E216)))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5" operator="containsText" id="{73A50D9A-5BE7-4BE4-8331-10DD50A43728}">
            <xm:f>NOT(ISERROR(SEARCH(#REF!,E216)))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16" operator="containsText" id="{8D6CAFFB-81C6-47BC-A150-B9153572E1E3}">
            <xm:f>NOT(ISERROR(SEARCH(#REF!,E216)))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E216</xm:sqref>
        </x14:conditionalFormatting>
        <x14:conditionalFormatting xmlns:xm="http://schemas.microsoft.com/office/excel/2006/main">
          <x14:cfRule type="containsText" priority="198" operator="containsText" id="{0AD125C9-7485-4655-939F-0A38730EE452}">
            <xm:f>NOT(ISERROR(SEARCH(#REF!,E225)))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9" operator="containsText" id="{733C5A2E-6485-4A49-AF97-CD0FAE9FC948}">
            <xm:f>NOT(ISERROR(SEARCH(#REF!,E225)))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00" operator="containsText" id="{4F176D71-7283-4294-A17A-A865F7927ACF}">
            <xm:f>NOT(ISERROR(SEARCH(#REF!,E225)))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E225</xm:sqref>
        </x14:conditionalFormatting>
        <x14:conditionalFormatting xmlns:xm="http://schemas.microsoft.com/office/excel/2006/main">
          <x14:cfRule type="containsText" priority="170" operator="containsText" id="{0F5E4712-21C6-45B3-A3BE-4E08CE69AFBD}">
            <xm:f>NOT(ISERROR(SEARCH(#REF!,E247)))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1" operator="containsText" id="{30FFA80D-9D6E-4B64-B3D4-C0539D46589D}">
            <xm:f>NOT(ISERROR(SEARCH(#REF!,E247)))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2" operator="containsText" id="{939CD745-E9DF-46BF-9027-F1975B1AB57B}">
            <xm:f>NOT(ISERROR(SEARCH(#REF!,E247)))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E247</xm:sqref>
        </x14:conditionalFormatting>
        <x14:conditionalFormatting xmlns:xm="http://schemas.microsoft.com/office/excel/2006/main">
          <x14:cfRule type="containsText" priority="166" operator="containsText" id="{873F8F0B-1D57-425D-AC90-AE13BD0E86B7}">
            <xm:f>NOT(ISERROR(SEARCH(#REF!,E248)))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7" operator="containsText" id="{69FD1F49-CE46-41DE-8D8E-46F64DAFA98F}">
            <xm:f>NOT(ISERROR(SEARCH(#REF!,E248)))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68" operator="containsText" id="{0E478D10-249D-4365-A5B6-B0B54B830637}">
            <xm:f>NOT(ISERROR(SEARCH(#REF!,E248)))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E248</xm:sqref>
        </x14:conditionalFormatting>
        <x14:conditionalFormatting xmlns:xm="http://schemas.microsoft.com/office/excel/2006/main">
          <x14:cfRule type="containsText" priority="161" operator="containsText" id="{3609BA16-44B3-47D9-8888-FDC896B8C694}">
            <xm:f>NOT(ISERROR(SEARCH(#REF!,E250)))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2" operator="containsText" id="{B8CF3447-26ED-40CD-AE65-3A47C15FF697}">
            <xm:f>NOT(ISERROR(SEARCH(#REF!,E250)))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63" operator="containsText" id="{E885A3FE-0CFE-478B-A513-3094D61FED83}">
            <xm:f>NOT(ISERROR(SEARCH(#REF!,E250)))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E250</xm:sqref>
        </x14:conditionalFormatting>
        <x14:conditionalFormatting xmlns:xm="http://schemas.microsoft.com/office/excel/2006/main">
          <x14:cfRule type="containsText" priority="142" operator="containsText" id="{DFB4B391-A41F-4B6F-A0B7-A5AD48FE6ABF}">
            <xm:f>NOT(ISERROR(SEARCH(#REF!,E265)))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" operator="containsText" id="{F344E1C1-545F-42BF-9FA6-A5AC1F085BA7}">
            <xm:f>NOT(ISERROR(SEARCH(#REF!,E265)))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4" operator="containsText" id="{819A2D0E-529A-4183-80B0-5E19DFCF0CF9}">
            <xm:f>NOT(ISERROR(SEARCH(#REF!,E265)))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E265</xm:sqref>
        </x14:conditionalFormatting>
        <x14:conditionalFormatting xmlns:xm="http://schemas.microsoft.com/office/excel/2006/main">
          <x14:cfRule type="containsText" priority="131" operator="containsText" id="{5FE69889-95F8-49FA-A9DD-3701B8FDE50D}">
            <xm:f>NOT(ISERROR(SEARCH(#REF!,E270)))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2" operator="containsText" id="{BDD7133C-FD20-404B-94AC-302A30390898}">
            <xm:f>NOT(ISERROR(SEARCH(#REF!,E270)))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3" operator="containsText" id="{358DF8C8-3761-4F9F-AF49-320680E427D1}">
            <xm:f>NOT(ISERROR(SEARCH(#REF!,E270)))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E270</xm:sqref>
        </x14:conditionalFormatting>
        <x14:conditionalFormatting xmlns:xm="http://schemas.microsoft.com/office/excel/2006/main">
          <x14:cfRule type="containsText" priority="121" operator="containsText" id="{579A3F89-3206-42BC-9487-6CA3170AA10C}">
            <xm:f>NOT(ISERROR(SEARCH(#REF!,E275)))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2" operator="containsText" id="{F3D145E7-0F66-4C86-A355-4AFD15D917C2}">
            <xm:f>NOT(ISERROR(SEARCH(#REF!,E275)))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23" operator="containsText" id="{AEEBBEA0-639F-415B-B483-24319C9616F1}">
            <xm:f>NOT(ISERROR(SEARCH(#REF!,E275)))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E275</xm:sqref>
        </x14:conditionalFormatting>
        <x14:conditionalFormatting xmlns:xm="http://schemas.microsoft.com/office/excel/2006/main">
          <x14:cfRule type="containsText" priority="86" operator="containsText" id="{79C70C19-8DC5-4243-A726-7F1E0AE3D141}">
            <xm:f>NOT(ISERROR(SEARCH(#REF!,E299)))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7" operator="containsText" id="{BAB03080-EFCB-42EC-90BA-A40733BB1795}">
            <xm:f>NOT(ISERROR(SEARCH(#REF!,E299)))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8" operator="containsText" id="{B0C30692-D4D1-4476-A55E-5209AF43B7C3}">
            <xm:f>NOT(ISERROR(SEARCH(#REF!,E299)))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E299</xm:sqref>
        </x14:conditionalFormatting>
        <x14:conditionalFormatting xmlns:xm="http://schemas.microsoft.com/office/excel/2006/main">
          <x14:cfRule type="containsText" priority="78" operator="containsText" id="{8754BCF1-4DB9-46FA-8681-70E2E9D8947F}">
            <xm:f>NOT(ISERROR(SEARCH(#REF!,E304)))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9" operator="containsText" id="{C9A7CF47-39EF-4C84-A439-84CD60FDF874}">
            <xm:f>NOT(ISERROR(SEARCH(#REF!,E304)))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0" operator="containsText" id="{81C0246B-6684-488E-AE03-57CDAB429293}">
            <xm:f>NOT(ISERROR(SEARCH(#REF!,E304)))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E304</xm:sqref>
        </x14:conditionalFormatting>
        <x14:conditionalFormatting xmlns:xm="http://schemas.microsoft.com/office/excel/2006/main">
          <x14:cfRule type="containsText" priority="73" operator="containsText" id="{42E946EA-7278-47CF-B016-99443714D9A3}">
            <xm:f>NOT(ISERROR(SEARCH(#REF!,E306)))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4" operator="containsText" id="{072C867A-A3C1-47BF-BA3C-075A92F01931}">
            <xm:f>NOT(ISERROR(SEARCH(#REF!,E306)))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75" operator="containsText" id="{01FA103E-D7AF-4DB3-BEBA-DF16ECC4D349}">
            <xm:f>NOT(ISERROR(SEARCH(#REF!,E306)))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E306:E308</xm:sqref>
        </x14:conditionalFormatting>
        <x14:conditionalFormatting xmlns:xm="http://schemas.microsoft.com/office/excel/2006/main">
          <x14:cfRule type="containsText" priority="49" operator="containsText" id="{FA6AC623-1D9F-4417-A5AB-7D5CAD9039FE}">
            <xm:f>NOT(ISERROR(SEARCH(#REF!,E34)))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0" operator="containsText" id="{1451F6A4-B6C3-4694-BD3F-79742CFFD1DC}">
            <xm:f>NOT(ISERROR(SEARCH(#REF!,E34)))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1" operator="containsText" id="{3FF57E09-A676-419E-BDE5-DDFBCB22B0AE}">
            <xm:f>NOT(ISERROR(SEARCH(#REF!,E34)))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containsText" priority="36" operator="containsText" id="{9E31443A-2D71-419F-A015-DFDC4E181D34}">
            <xm:f>NOT(ISERROR(SEARCH(#REF!,E331)))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" operator="containsText" id="{A867DC96-A1E5-4D0A-9DEC-74D22D430B1D}">
            <xm:f>NOT(ISERROR(SEARCH(#REF!,E331)))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8" operator="containsText" id="{338BD085-4C60-4C21-BABE-6F042911A0BF}">
            <xm:f>NOT(ISERROR(SEARCH(#REF!,E331)))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E331</xm:sqref>
        </x14:conditionalFormatting>
        <x14:conditionalFormatting xmlns:xm="http://schemas.microsoft.com/office/excel/2006/main">
          <x14:cfRule type="containsText" priority="21" operator="containsText" id="{E030F7CF-60B4-4697-A522-E4C531E17517}">
            <xm:f>NOT(ISERROR(SEARCH(#REF!,E342)))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" operator="containsText" id="{75136F1D-C534-4385-B16A-FD09612F8E09}">
            <xm:f>NOT(ISERROR(SEARCH(#REF!,E342)))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3" operator="containsText" id="{13474D10-BA4C-42D7-AF35-0E929B68B89B}">
            <xm:f>NOT(ISERROR(SEARCH(#REF!,E342)))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E342</xm:sqref>
        </x14:conditionalFormatting>
        <x14:conditionalFormatting xmlns:xm="http://schemas.microsoft.com/office/excel/2006/main">
          <x14:cfRule type="containsText" priority="16" operator="containsText" id="{4B43D439-F4C5-4193-BAA4-A79D606E0FB1}">
            <xm:f>NOT(ISERROR(SEARCH(#REF!,E343)))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" operator="containsText" id="{24210A91-DC6A-4890-89BC-D21E2D00BC32}">
            <xm:f>NOT(ISERROR(SEARCH(#REF!,E343)))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8" operator="containsText" id="{E8145ACA-7B9E-4151-834E-B518D3473D51}">
            <xm:f>NOT(ISERROR(SEARCH(#REF!,E343)))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E343</xm:sqref>
        </x14:conditionalFormatting>
        <x14:conditionalFormatting xmlns:xm="http://schemas.microsoft.com/office/excel/2006/main">
          <x14:cfRule type="containsText" priority="12" operator="containsText" id="{81FC7715-92A2-4F56-9A67-4BE62218085B}">
            <xm:f>NOT(ISERROR(SEARCH(#REF!,E344)))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" operator="containsText" id="{5285779C-B69E-451A-9579-DB201AD1624D}">
            <xm:f>NOT(ISERROR(SEARCH(#REF!,E344)))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F321F2B5-04DF-4C77-8C5D-5969A0A45726}">
            <xm:f>NOT(ISERROR(SEARCH(#REF!,E344)))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E344</xm:sqref>
        </x14:conditionalFormatting>
        <x14:conditionalFormatting xmlns:xm="http://schemas.microsoft.com/office/excel/2006/main">
          <x14:cfRule type="containsText" priority="8" operator="containsText" id="{F8EB2B12-4CC5-4B3A-8DB8-2E9C3F12BA85}">
            <xm:f>NOT(ISERROR(SEARCH(#REF!,E345)))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" operator="containsText" id="{1E46CA8B-DF4B-4451-B3F1-FA576F68007E}">
            <xm:f>NOT(ISERROR(SEARCH(#REF!,E345)))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" operator="containsText" id="{5EC60CCC-0C96-4F3C-9E40-E22410E7BB1B}">
            <xm:f>NOT(ISERROR(SEARCH(#REF!,E345)))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E345</xm:sqref>
        </x14:conditionalFormatting>
        <x14:conditionalFormatting xmlns:xm="http://schemas.microsoft.com/office/excel/2006/main">
          <x14:cfRule type="containsText" priority="2" operator="containsText" id="{E7B9B178-8906-4020-9CCB-0A0844D29E7C}">
            <xm:f>NOT(ISERROR(SEARCH(#REF!,E348)))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" operator="containsText" id="{FBD17528-2AB8-4B52-B72C-5CE5BA1BC034}">
            <xm:f>NOT(ISERROR(SEARCH(#REF!,E348)))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" operator="containsText" id="{A8F56A07-7C9F-41AA-B128-82F154D2AD65}">
            <xm:f>NOT(ISERROR(SEARCH(#REF!,E348)))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#REF!</xm:f>
          </x14:formula1>
          <xm:sqref>E4:E1413</xm:sqref>
        </x14:dataValidation>
        <x14:dataValidation type="list" allowBlank="1" showInputMessage="1" showErrorMessage="1">
          <x14:formula1>
            <xm:f>#REF!</xm:f>
          </x14:formula1>
          <xm:sqref>Q4:Q1414</xm:sqref>
        </x14:dataValidation>
        <x14:dataValidation type="list" allowBlank="1" showInputMessage="1" showErrorMessage="1">
          <x14:formula1>
            <xm:f>#REF!</xm:f>
          </x14:formula1>
          <xm:sqref>R4:R1414</xm:sqref>
        </x14:dataValidation>
        <x14:dataValidation type="list" allowBlank="1" showInputMessage="1" showErrorMessage="1">
          <x14:formula1>
            <xm:f>#REF!</xm:f>
          </x14:formula1>
          <xm:sqref>I260:I348 I4:I248 I605:J605</xm:sqref>
        </x14:dataValidation>
        <x14:dataValidation type="list" showInputMessage="1" showErrorMessage="1">
          <x14:formula1>
            <xm:f>#REF!</xm:f>
          </x14:formula1>
          <xm:sqref>J202</xm:sqref>
        </x14:dataValidation>
        <x14:dataValidation type="list" showInputMessage="1" showErrorMessage="1">
          <x14:formula1>
            <xm:f>#REF!</xm:f>
          </x14:formula1>
          <xm:sqref>I603:J603</xm:sqref>
        </x14:dataValidation>
        <x14:dataValidation type="list" showInputMessage="1" showErrorMessage="1">
          <x14:formula1>
            <xm:f>#REF!</xm:f>
          </x14:formula1>
          <xm:sqref>I589:J590</xm:sqref>
        </x14:dataValidation>
        <x14:dataValidation type="list" allowBlank="1" showInputMessage="1" showErrorMessage="1">
          <x14:formula1>
            <xm:f>#REF!</xm:f>
          </x14:formula1>
          <xm:sqref>I535:J550</xm:sqref>
        </x14:dataValidation>
        <x14:dataValidation type="list" allowBlank="1" showInputMessage="1" showErrorMessage="1">
          <x14:formula1>
            <xm:f>#REF!</xm:f>
          </x14:formula1>
          <xm:sqref>I450:J450</xm:sqref>
        </x14:dataValidation>
        <x14:dataValidation type="list" allowBlank="1" showInputMessage="1" showErrorMessage="1">
          <x14:formula1>
            <xm:f>#REF!</xm:f>
          </x14:formula1>
          <xm:sqref>J209:J215</xm:sqref>
        </x14:dataValidation>
        <x14:dataValidation type="list" allowBlank="1" showInputMessage="1" showErrorMessage="1">
          <x14:formula1>
            <xm:f>#REF!</xm:f>
          </x14:formula1>
          <xm:sqref>I531:J531</xm:sqref>
        </x14:dataValidation>
        <x14:dataValidation type="list" allowBlank="1" showInputMessage="1" showErrorMessage="1">
          <x14:formula1>
            <xm:f>#REF!</xm:f>
          </x14:formula1>
          <xm:sqref>I600:J602</xm:sqref>
        </x14:dataValidation>
        <x14:dataValidation type="list" showInputMessage="1" showErrorMessage="1">
          <x14:formula1>
            <xm:f>#REF!</xm:f>
          </x14:formula1>
          <xm:sqref>I606:J1413</xm:sqref>
        </x14:dataValidation>
        <x14:dataValidation type="list" allowBlank="1" showInputMessage="1" showErrorMessage="1">
          <x14:formula1>
            <xm:f>#REF!</xm:f>
          </x14:formula1>
          <xm:sqref>J127:J132</xm:sqref>
        </x14:dataValidation>
        <x14:dataValidation type="list" allowBlank="1" showInputMessage="1" showErrorMessage="1">
          <x14:formula1>
            <xm:f>#REF!</xm:f>
          </x14:formula1>
          <xm:sqref>G4:G27</xm:sqref>
        </x14:dataValidation>
        <x14:dataValidation type="list" allowBlank="1" showInputMessage="1" showErrorMessage="1">
          <x14:formula1>
            <xm:f>#REF!</xm:f>
          </x14:formula1>
          <xm:sqref>F4:F1141</xm:sqref>
        </x14:dataValidation>
        <x14:dataValidation type="list" allowBlank="1" showInputMessage="1" showErrorMessage="1">
          <x14:formula1>
            <xm:f>#REF!</xm:f>
          </x14:formula1>
          <xm:sqref>F2</xm:sqref>
        </x14:dataValidation>
        <x14:dataValidation type="list" allowBlank="1" showInputMessage="1" showErrorMessage="1">
          <x14:formula1>
            <xm:f>#REF!</xm:f>
          </x14:formula1>
          <xm:sqref>F1142:F1048576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F60"/>
  <sheetViews>
    <sheetView tabSelected="1" topLeftCell="A2" zoomScale="70" zoomScaleNormal="70" zoomScaleSheetLayoutView="70" workbookViewId="0">
      <pane ySplit="1" topLeftCell="A3" activePane="bottomLeft" state="frozen"/>
      <selection activeCell="A2" sqref="A2"/>
      <selection pane="bottomLeft" activeCell="D15" sqref="D15"/>
    </sheetView>
  </sheetViews>
  <sheetFormatPr defaultColWidth="9.140625" defaultRowHeight="15"/>
  <cols>
    <col min="1" max="1" width="63.140625" style="194" customWidth="1"/>
    <col min="2" max="2" width="42" style="194" bestFit="1" customWidth="1"/>
    <col min="3" max="3" width="42.28515625" style="205" customWidth="1"/>
    <col min="4" max="4" width="52.5703125" style="191" customWidth="1"/>
    <col min="5" max="5" width="21.42578125" style="190" hidden="1" customWidth="1"/>
    <col min="6" max="6" width="53.140625" style="203" customWidth="1"/>
    <col min="7" max="16384" width="9.140625" style="190"/>
  </cols>
  <sheetData>
    <row r="1" spans="1:6" ht="45.75">
      <c r="A1" s="216"/>
      <c r="B1" s="216"/>
      <c r="C1" s="216"/>
      <c r="D1" s="216"/>
      <c r="E1" s="216"/>
      <c r="F1" s="216"/>
    </row>
    <row r="2" spans="1:6" s="189" customFormat="1" ht="75" customHeight="1">
      <c r="A2" s="195" t="s">
        <v>37</v>
      </c>
      <c r="B2" s="196" t="s">
        <v>634</v>
      </c>
      <c r="C2" s="196" t="s">
        <v>625</v>
      </c>
      <c r="D2" s="196" t="s">
        <v>638</v>
      </c>
      <c r="E2" s="196" t="s">
        <v>736</v>
      </c>
      <c r="F2" s="197" t="s">
        <v>797</v>
      </c>
    </row>
    <row r="3" spans="1:6" s="189" customFormat="1" ht="31.5">
      <c r="A3" s="192" t="s">
        <v>799</v>
      </c>
      <c r="B3" s="193" t="s">
        <v>957</v>
      </c>
      <c r="C3" s="202" t="s">
        <v>958</v>
      </c>
      <c r="D3" s="198" t="s">
        <v>666</v>
      </c>
      <c r="E3" s="198"/>
      <c r="F3" s="201" t="s">
        <v>959</v>
      </c>
    </row>
    <row r="4" spans="1:6" ht="94.5">
      <c r="A4" s="200" t="s">
        <v>805</v>
      </c>
      <c r="B4" s="193" t="s">
        <v>814</v>
      </c>
      <c r="C4" s="202" t="s">
        <v>815</v>
      </c>
      <c r="D4" s="198" t="s">
        <v>817</v>
      </c>
      <c r="E4" s="198"/>
      <c r="F4" s="202" t="s">
        <v>816</v>
      </c>
    </row>
    <row r="5" spans="1:6" ht="15.75">
      <c r="A5" s="200" t="s">
        <v>811</v>
      </c>
      <c r="B5" s="193" t="s">
        <v>818</v>
      </c>
      <c r="C5" s="202" t="s">
        <v>818</v>
      </c>
      <c r="D5" s="198" t="s">
        <v>826</v>
      </c>
      <c r="E5" s="198"/>
      <c r="F5" s="202" t="s">
        <v>827</v>
      </c>
    </row>
    <row r="6" spans="1:6" ht="31.5">
      <c r="A6" s="200" t="s">
        <v>813</v>
      </c>
      <c r="B6" s="193" t="s">
        <v>819</v>
      </c>
      <c r="C6" s="202" t="s">
        <v>819</v>
      </c>
      <c r="D6" s="198" t="s">
        <v>826</v>
      </c>
      <c r="E6" s="198"/>
      <c r="F6" s="202" t="s">
        <v>828</v>
      </c>
    </row>
    <row r="7" spans="1:6" ht="15.75">
      <c r="A7" s="200" t="s">
        <v>798</v>
      </c>
      <c r="B7" s="193" t="s">
        <v>820</v>
      </c>
      <c r="C7" s="202" t="s">
        <v>823</v>
      </c>
      <c r="D7" s="198" t="s">
        <v>824</v>
      </c>
      <c r="E7" s="198"/>
      <c r="F7" s="202" t="s">
        <v>825</v>
      </c>
    </row>
    <row r="8" spans="1:6" ht="15.75">
      <c r="A8" s="200" t="s">
        <v>812</v>
      </c>
      <c r="B8" s="193" t="s">
        <v>821</v>
      </c>
      <c r="C8" s="202" t="s">
        <v>819</v>
      </c>
      <c r="D8" s="198" t="s">
        <v>666</v>
      </c>
      <c r="E8" s="198"/>
      <c r="F8" s="202" t="s">
        <v>822</v>
      </c>
    </row>
    <row r="9" spans="1:6" ht="15.75">
      <c r="A9" s="200" t="s">
        <v>810</v>
      </c>
      <c r="B9" s="193" t="s">
        <v>963</v>
      </c>
      <c r="C9" s="202" t="s">
        <v>964</v>
      </c>
      <c r="D9" s="198" t="s">
        <v>965</v>
      </c>
      <c r="E9" s="198"/>
      <c r="F9" s="202" t="s">
        <v>966</v>
      </c>
    </row>
    <row r="10" spans="1:6" ht="15.75">
      <c r="A10" s="200" t="s">
        <v>810</v>
      </c>
      <c r="B10" s="193" t="s">
        <v>951</v>
      </c>
      <c r="C10" s="202" t="s">
        <v>952</v>
      </c>
      <c r="D10" s="198" t="s">
        <v>898</v>
      </c>
      <c r="E10" s="198"/>
      <c r="F10" s="202" t="s">
        <v>953</v>
      </c>
    </row>
    <row r="11" spans="1:6" ht="15.75">
      <c r="A11" s="200" t="s">
        <v>805</v>
      </c>
      <c r="B11" s="193" t="s">
        <v>836</v>
      </c>
      <c r="C11" s="202" t="s">
        <v>972</v>
      </c>
      <c r="D11" s="198" t="s">
        <v>666</v>
      </c>
      <c r="E11" s="198"/>
      <c r="F11" s="202" t="s">
        <v>973</v>
      </c>
    </row>
    <row r="12" spans="1:6" ht="31.5">
      <c r="A12" s="200" t="s">
        <v>810</v>
      </c>
      <c r="B12" s="193" t="s">
        <v>667</v>
      </c>
      <c r="C12" s="202" t="s">
        <v>945</v>
      </c>
      <c r="D12" s="198" t="s">
        <v>946</v>
      </c>
      <c r="E12" s="198"/>
      <c r="F12" s="202" t="s">
        <v>947</v>
      </c>
    </row>
    <row r="13" spans="1:6" ht="15.75">
      <c r="A13" s="200" t="s">
        <v>809</v>
      </c>
      <c r="B13" s="193" t="s">
        <v>819</v>
      </c>
      <c r="C13" s="202" t="s">
        <v>960</v>
      </c>
      <c r="D13" s="198" t="s">
        <v>666</v>
      </c>
      <c r="E13" s="198"/>
      <c r="F13" s="202" t="s">
        <v>961</v>
      </c>
    </row>
    <row r="14" spans="1:6" ht="31.5">
      <c r="A14" s="200" t="s">
        <v>799</v>
      </c>
      <c r="B14" s="193" t="s">
        <v>861</v>
      </c>
      <c r="C14" s="202" t="s">
        <v>954</v>
      </c>
      <c r="D14" s="198" t="s">
        <v>955</v>
      </c>
      <c r="E14" s="198"/>
      <c r="F14" s="202" t="s">
        <v>956</v>
      </c>
    </row>
    <row r="15" spans="1:6" ht="31.5">
      <c r="A15" s="200" t="s">
        <v>807</v>
      </c>
      <c r="B15" s="193" t="s">
        <v>836</v>
      </c>
      <c r="C15" s="202" t="s">
        <v>909</v>
      </c>
      <c r="D15" s="198" t="s">
        <v>970</v>
      </c>
      <c r="E15" s="198"/>
      <c r="F15" s="202" t="s">
        <v>971</v>
      </c>
    </row>
    <row r="16" spans="1:6" ht="15.75">
      <c r="A16" s="200" t="s">
        <v>802</v>
      </c>
      <c r="B16" s="193" t="s">
        <v>962</v>
      </c>
      <c r="C16" s="202" t="s">
        <v>943</v>
      </c>
      <c r="D16" s="198" t="s">
        <v>898</v>
      </c>
      <c r="E16" s="198"/>
      <c r="F16" s="202" t="s">
        <v>930</v>
      </c>
    </row>
    <row r="17" spans="1:6" ht="15.75">
      <c r="A17" s="200" t="s">
        <v>809</v>
      </c>
      <c r="B17" s="193" t="s">
        <v>967</v>
      </c>
      <c r="C17" s="202" t="s">
        <v>968</v>
      </c>
      <c r="D17" s="198" t="s">
        <v>666</v>
      </c>
      <c r="E17" s="198"/>
      <c r="F17" s="202" t="s">
        <v>969</v>
      </c>
    </row>
    <row r="18" spans="1:6" ht="15.75">
      <c r="A18" s="200" t="s">
        <v>811</v>
      </c>
      <c r="B18" s="193" t="s">
        <v>948</v>
      </c>
      <c r="C18" s="204" t="s">
        <v>949</v>
      </c>
      <c r="D18" s="198" t="s">
        <v>666</v>
      </c>
      <c r="E18" s="198"/>
      <c r="F18" s="202" t="s">
        <v>950</v>
      </c>
    </row>
    <row r="19" spans="1:6" ht="15.75">
      <c r="A19" s="200" t="s">
        <v>812</v>
      </c>
      <c r="B19" s="193" t="s">
        <v>646</v>
      </c>
      <c r="C19" s="202" t="s">
        <v>943</v>
      </c>
      <c r="D19" s="198" t="s">
        <v>907</v>
      </c>
      <c r="E19" s="198"/>
      <c r="F19" s="202" t="s">
        <v>944</v>
      </c>
    </row>
    <row r="20" spans="1:6" ht="15.75">
      <c r="A20" s="200" t="s">
        <v>801</v>
      </c>
      <c r="B20" s="193" t="s">
        <v>864</v>
      </c>
      <c r="C20" s="202" t="s">
        <v>865</v>
      </c>
      <c r="D20" s="198" t="s">
        <v>666</v>
      </c>
      <c r="E20" s="198"/>
      <c r="F20" s="202" t="s">
        <v>866</v>
      </c>
    </row>
    <row r="21" spans="1:6" ht="15.75">
      <c r="A21" s="200" t="s">
        <v>812</v>
      </c>
      <c r="B21" s="193" t="s">
        <v>819</v>
      </c>
      <c r="C21" s="202" t="s">
        <v>929</v>
      </c>
      <c r="D21" s="198" t="s">
        <v>898</v>
      </c>
      <c r="E21" s="198"/>
      <c r="F21" s="202" t="s">
        <v>930</v>
      </c>
    </row>
    <row r="22" spans="1:6" ht="15.75">
      <c r="A22" s="200" t="s">
        <v>812</v>
      </c>
      <c r="B22" s="193" t="s">
        <v>931</v>
      </c>
      <c r="C22" s="202" t="s">
        <v>932</v>
      </c>
      <c r="D22" s="198" t="s">
        <v>933</v>
      </c>
      <c r="E22" s="198"/>
      <c r="F22" s="202" t="s">
        <v>934</v>
      </c>
    </row>
    <row r="23" spans="1:6" ht="15.75">
      <c r="A23" s="200" t="s">
        <v>812</v>
      </c>
      <c r="B23" s="193" t="s">
        <v>880</v>
      </c>
      <c r="C23" s="202" t="s">
        <v>881</v>
      </c>
      <c r="D23" s="198" t="s">
        <v>882</v>
      </c>
      <c r="E23" s="198"/>
      <c r="F23" s="202" t="s">
        <v>883</v>
      </c>
    </row>
    <row r="24" spans="1:6" ht="15.75">
      <c r="A24" s="200" t="s">
        <v>810</v>
      </c>
      <c r="B24" s="193" t="s">
        <v>667</v>
      </c>
      <c r="C24" s="204" t="s">
        <v>940</v>
      </c>
      <c r="D24" s="198" t="s">
        <v>666</v>
      </c>
      <c r="E24" s="198"/>
      <c r="F24" s="202" t="s">
        <v>941</v>
      </c>
    </row>
    <row r="25" spans="1:6" ht="15.75">
      <c r="A25" s="200" t="s">
        <v>812</v>
      </c>
      <c r="B25" s="193" t="s">
        <v>922</v>
      </c>
      <c r="C25" s="202" t="s">
        <v>923</v>
      </c>
      <c r="D25" s="198" t="s">
        <v>898</v>
      </c>
      <c r="E25" s="198"/>
      <c r="F25" s="202" t="s">
        <v>924</v>
      </c>
    </row>
    <row r="26" spans="1:6" ht="15.75">
      <c r="A26" s="200" t="s">
        <v>807</v>
      </c>
      <c r="B26" s="193" t="s">
        <v>836</v>
      </c>
      <c r="C26" s="202" t="s">
        <v>909</v>
      </c>
      <c r="D26" s="198" t="s">
        <v>907</v>
      </c>
      <c r="E26" s="198"/>
      <c r="F26" s="202" t="s">
        <v>942</v>
      </c>
    </row>
    <row r="27" spans="1:6" ht="15.75">
      <c r="A27" s="200" t="s">
        <v>801</v>
      </c>
      <c r="B27" s="193" t="s">
        <v>884</v>
      </c>
      <c r="C27" s="202" t="s">
        <v>885</v>
      </c>
      <c r="D27" s="198" t="s">
        <v>886</v>
      </c>
      <c r="E27" s="198"/>
      <c r="F27" s="202" t="s">
        <v>887</v>
      </c>
    </row>
    <row r="28" spans="1:6" ht="31.5">
      <c r="A28" s="200" t="s">
        <v>811</v>
      </c>
      <c r="B28" s="193" t="s">
        <v>850</v>
      </c>
      <c r="C28" s="204" t="s">
        <v>888</v>
      </c>
      <c r="D28" s="198" t="s">
        <v>889</v>
      </c>
      <c r="E28" s="198"/>
      <c r="F28" s="202" t="s">
        <v>890</v>
      </c>
    </row>
    <row r="29" spans="1:6" ht="15.75">
      <c r="A29" s="200" t="s">
        <v>803</v>
      </c>
      <c r="B29" s="193" t="s">
        <v>867</v>
      </c>
      <c r="C29" s="202" t="s">
        <v>868</v>
      </c>
      <c r="D29" s="198" t="s">
        <v>666</v>
      </c>
      <c r="E29" s="198"/>
      <c r="F29" s="202" t="s">
        <v>869</v>
      </c>
    </row>
    <row r="30" spans="1:6" ht="15.75">
      <c r="A30" s="200" t="s">
        <v>811</v>
      </c>
      <c r="B30" s="193" t="s">
        <v>891</v>
      </c>
      <c r="C30" s="202" t="s">
        <v>892</v>
      </c>
      <c r="D30" s="198" t="s">
        <v>666</v>
      </c>
      <c r="E30" s="198"/>
      <c r="F30" s="202" t="s">
        <v>893</v>
      </c>
    </row>
    <row r="31" spans="1:6" ht="15.75">
      <c r="A31" s="200" t="s">
        <v>811</v>
      </c>
      <c r="B31" s="193" t="s">
        <v>891</v>
      </c>
      <c r="C31" s="202" t="s">
        <v>915</v>
      </c>
      <c r="D31" s="198" t="s">
        <v>916</v>
      </c>
      <c r="E31" s="198"/>
      <c r="F31" s="202" t="s">
        <v>917</v>
      </c>
    </row>
    <row r="32" spans="1:6" ht="31.5">
      <c r="A32" s="200" t="s">
        <v>812</v>
      </c>
      <c r="B32" s="193" t="s">
        <v>894</v>
      </c>
      <c r="C32" s="204" t="s">
        <v>895</v>
      </c>
      <c r="D32" s="198" t="s">
        <v>896</v>
      </c>
      <c r="E32" s="198"/>
      <c r="F32" s="202" t="s">
        <v>897</v>
      </c>
    </row>
    <row r="33" spans="1:6" ht="15.75">
      <c r="A33" s="200" t="s">
        <v>811</v>
      </c>
      <c r="B33" s="193" t="s">
        <v>918</v>
      </c>
      <c r="C33" s="202" t="s">
        <v>919</v>
      </c>
      <c r="D33" s="198" t="s">
        <v>920</v>
      </c>
      <c r="E33" s="198"/>
      <c r="F33" s="202" t="s">
        <v>921</v>
      </c>
    </row>
    <row r="34" spans="1:6" ht="15.75">
      <c r="A34" s="200" t="s">
        <v>798</v>
      </c>
      <c r="B34" s="193" t="s">
        <v>854</v>
      </c>
      <c r="C34" s="202" t="s">
        <v>855</v>
      </c>
      <c r="D34" s="198" t="s">
        <v>666</v>
      </c>
      <c r="E34" s="198"/>
      <c r="F34" s="202" t="s">
        <v>856</v>
      </c>
    </row>
    <row r="35" spans="1:6" ht="15.75">
      <c r="A35" s="200" t="s">
        <v>799</v>
      </c>
      <c r="B35" s="193" t="s">
        <v>860</v>
      </c>
      <c r="C35" s="202" t="s">
        <v>857</v>
      </c>
      <c r="D35" s="198" t="s">
        <v>858</v>
      </c>
      <c r="E35" s="198"/>
      <c r="F35" s="202" t="s">
        <v>859</v>
      </c>
    </row>
    <row r="36" spans="1:6" ht="15.75">
      <c r="A36" s="200" t="s">
        <v>798</v>
      </c>
      <c r="B36" s="193" t="s">
        <v>912</v>
      </c>
      <c r="C36" s="202" t="s">
        <v>913</v>
      </c>
      <c r="D36" s="198" t="s">
        <v>898</v>
      </c>
      <c r="E36" s="198"/>
      <c r="F36" s="202" t="s">
        <v>914</v>
      </c>
    </row>
    <row r="37" spans="1:6" ht="15.75">
      <c r="A37" s="200" t="s">
        <v>812</v>
      </c>
      <c r="B37" s="193" t="s">
        <v>937</v>
      </c>
      <c r="C37" s="202" t="s">
        <v>938</v>
      </c>
      <c r="D37" s="198" t="s">
        <v>933</v>
      </c>
      <c r="E37" s="198"/>
      <c r="F37" s="202" t="s">
        <v>939</v>
      </c>
    </row>
    <row r="38" spans="1:6" ht="15.75">
      <c r="A38" s="200" t="s">
        <v>810</v>
      </c>
      <c r="B38" s="193" t="s">
        <v>870</v>
      </c>
      <c r="C38" s="202" t="s">
        <v>871</v>
      </c>
      <c r="D38" s="198" t="s">
        <v>872</v>
      </c>
      <c r="E38" s="198"/>
      <c r="F38" s="202" t="s">
        <v>873</v>
      </c>
    </row>
    <row r="39" spans="1:6" ht="15.75">
      <c r="A39" s="200" t="s">
        <v>807</v>
      </c>
      <c r="B39" s="193" t="s">
        <v>836</v>
      </c>
      <c r="C39" s="202" t="s">
        <v>935</v>
      </c>
      <c r="D39" s="198" t="s">
        <v>666</v>
      </c>
      <c r="E39" s="198"/>
      <c r="F39" s="202" t="s">
        <v>936</v>
      </c>
    </row>
    <row r="40" spans="1:6" ht="15.75">
      <c r="A40" s="200" t="s">
        <v>806</v>
      </c>
      <c r="B40" s="193" t="s">
        <v>836</v>
      </c>
      <c r="C40" s="202" t="s">
        <v>909</v>
      </c>
      <c r="D40" s="198" t="s">
        <v>910</v>
      </c>
      <c r="E40" s="198"/>
      <c r="F40" s="202" t="s">
        <v>911</v>
      </c>
    </row>
    <row r="41" spans="1:6" ht="31.5">
      <c r="A41" s="200" t="s">
        <v>812</v>
      </c>
      <c r="B41" s="193" t="s">
        <v>861</v>
      </c>
      <c r="C41" s="202" t="s">
        <v>862</v>
      </c>
      <c r="D41" s="198" t="s">
        <v>666</v>
      </c>
      <c r="E41" s="198"/>
      <c r="F41" s="202" t="s">
        <v>863</v>
      </c>
    </row>
    <row r="42" spans="1:6" ht="31.5">
      <c r="A42" s="200" t="s">
        <v>810</v>
      </c>
      <c r="B42" s="193" t="s">
        <v>874</v>
      </c>
      <c r="C42" s="202" t="s">
        <v>875</v>
      </c>
      <c r="D42" s="198" t="s">
        <v>876</v>
      </c>
      <c r="E42" s="198"/>
      <c r="F42" s="202" t="s">
        <v>877</v>
      </c>
    </row>
    <row r="43" spans="1:6" ht="15.75">
      <c r="A43" s="200" t="s">
        <v>811</v>
      </c>
      <c r="B43" s="193" t="s">
        <v>850</v>
      </c>
      <c r="C43" s="204" t="s">
        <v>878</v>
      </c>
      <c r="D43" s="198" t="s">
        <v>666</v>
      </c>
      <c r="E43" s="198"/>
      <c r="F43" s="202" t="s">
        <v>879</v>
      </c>
    </row>
    <row r="44" spans="1:6" ht="15.75">
      <c r="A44" s="200" t="s">
        <v>811</v>
      </c>
      <c r="B44" s="193" t="s">
        <v>818</v>
      </c>
      <c r="C44" s="202" t="s">
        <v>906</v>
      </c>
      <c r="D44" s="198" t="s">
        <v>907</v>
      </c>
      <c r="E44" s="198"/>
      <c r="F44" s="202" t="s">
        <v>908</v>
      </c>
    </row>
    <row r="45" spans="1:6" ht="31.5">
      <c r="A45" s="200" t="s">
        <v>807</v>
      </c>
      <c r="B45" s="193" t="s">
        <v>836</v>
      </c>
      <c r="C45" s="202" t="s">
        <v>903</v>
      </c>
      <c r="D45" s="198" t="s">
        <v>904</v>
      </c>
      <c r="E45" s="198"/>
      <c r="F45" s="202" t="s">
        <v>905</v>
      </c>
    </row>
    <row r="46" spans="1:6" ht="15.75">
      <c r="A46" s="200" t="s">
        <v>809</v>
      </c>
      <c r="B46" s="193" t="s">
        <v>900</v>
      </c>
      <c r="C46" s="202" t="s">
        <v>901</v>
      </c>
      <c r="D46" s="198" t="s">
        <v>898</v>
      </c>
      <c r="E46" s="198"/>
      <c r="F46" s="202" t="s">
        <v>902</v>
      </c>
    </row>
    <row r="47" spans="1:6" ht="15.75">
      <c r="A47" s="200" t="s">
        <v>801</v>
      </c>
      <c r="B47" s="193" t="s">
        <v>899</v>
      </c>
      <c r="C47" s="202" t="s">
        <v>819</v>
      </c>
      <c r="D47" s="198" t="s">
        <v>898</v>
      </c>
      <c r="E47" s="198"/>
      <c r="F47" s="202" t="s">
        <v>829</v>
      </c>
    </row>
    <row r="48" spans="1:6" ht="15.75">
      <c r="A48" s="200" t="s">
        <v>810</v>
      </c>
      <c r="B48" s="193" t="s">
        <v>830</v>
      </c>
      <c r="C48" s="202" t="s">
        <v>819</v>
      </c>
      <c r="D48" s="198" t="s">
        <v>666</v>
      </c>
      <c r="E48" s="198"/>
      <c r="F48" s="202" t="s">
        <v>831</v>
      </c>
    </row>
    <row r="49" spans="1:6" ht="15.75">
      <c r="A49" s="200" t="s">
        <v>804</v>
      </c>
      <c r="B49" s="193" t="s">
        <v>804</v>
      </c>
      <c r="C49" s="202" t="s">
        <v>832</v>
      </c>
      <c r="D49" s="198" t="s">
        <v>826</v>
      </c>
      <c r="E49" s="198"/>
      <c r="F49" s="202" t="s">
        <v>833</v>
      </c>
    </row>
    <row r="50" spans="1:6" ht="31.5">
      <c r="A50" s="200" t="s">
        <v>808</v>
      </c>
      <c r="B50" s="193" t="s">
        <v>834</v>
      </c>
      <c r="C50" s="204" t="s">
        <v>819</v>
      </c>
      <c r="D50" s="198" t="s">
        <v>666</v>
      </c>
      <c r="E50" s="198"/>
      <c r="F50" s="202" t="s">
        <v>835</v>
      </c>
    </row>
    <row r="51" spans="1:6" ht="15.75">
      <c r="A51" s="200" t="s">
        <v>811</v>
      </c>
      <c r="B51" s="193" t="s">
        <v>836</v>
      </c>
      <c r="C51" s="202" t="s">
        <v>837</v>
      </c>
      <c r="D51" s="198" t="s">
        <v>666</v>
      </c>
      <c r="E51" s="198"/>
      <c r="F51" s="202" t="s">
        <v>838</v>
      </c>
    </row>
    <row r="52" spans="1:6" ht="15.75">
      <c r="A52" s="200" t="s">
        <v>799</v>
      </c>
      <c r="B52" s="193" t="s">
        <v>839</v>
      </c>
      <c r="C52" s="202" t="s">
        <v>840</v>
      </c>
      <c r="D52" s="198" t="s">
        <v>666</v>
      </c>
      <c r="E52" s="198"/>
      <c r="F52" s="202" t="s">
        <v>841</v>
      </c>
    </row>
    <row r="53" spans="1:6" ht="15.75">
      <c r="A53" s="200" t="s">
        <v>812</v>
      </c>
      <c r="B53" s="193" t="s">
        <v>844</v>
      </c>
      <c r="C53" s="202" t="s">
        <v>842</v>
      </c>
      <c r="D53" s="198" t="s">
        <v>666</v>
      </c>
      <c r="E53" s="198"/>
      <c r="F53" s="202" t="s">
        <v>843</v>
      </c>
    </row>
    <row r="54" spans="1:6" ht="15.75">
      <c r="A54" s="200" t="s">
        <v>813</v>
      </c>
      <c r="B54" s="193" t="s">
        <v>836</v>
      </c>
      <c r="C54" s="202" t="s">
        <v>845</v>
      </c>
      <c r="D54" s="198" t="s">
        <v>666</v>
      </c>
      <c r="E54" s="198"/>
      <c r="F54" s="202" t="s">
        <v>846</v>
      </c>
    </row>
    <row r="55" spans="1:6" ht="15.75">
      <c r="A55" s="200" t="s">
        <v>802</v>
      </c>
      <c r="B55" s="193" t="s">
        <v>836</v>
      </c>
      <c r="C55" s="202" t="s">
        <v>845</v>
      </c>
      <c r="D55" s="198" t="s">
        <v>666</v>
      </c>
      <c r="E55" s="198"/>
      <c r="F55" s="202" t="s">
        <v>847</v>
      </c>
    </row>
    <row r="56" spans="1:6" ht="31.5">
      <c r="A56" s="200" t="s">
        <v>811</v>
      </c>
      <c r="B56" s="193" t="s">
        <v>850</v>
      </c>
      <c r="C56" s="202" t="s">
        <v>849</v>
      </c>
      <c r="D56" s="198" t="s">
        <v>644</v>
      </c>
      <c r="E56" s="198"/>
      <c r="F56" s="202" t="s">
        <v>848</v>
      </c>
    </row>
    <row r="57" spans="1:6" ht="31.5">
      <c r="A57" s="200" t="s">
        <v>800</v>
      </c>
      <c r="B57" s="193" t="s">
        <v>851</v>
      </c>
      <c r="C57" s="202" t="s">
        <v>852</v>
      </c>
      <c r="D57" s="198" t="s">
        <v>644</v>
      </c>
      <c r="E57" s="198"/>
      <c r="F57" s="202" t="s">
        <v>853</v>
      </c>
    </row>
    <row r="58" spans="1:6" ht="15.75">
      <c r="A58" s="200" t="s">
        <v>809</v>
      </c>
      <c r="B58" s="193" t="s">
        <v>861</v>
      </c>
      <c r="C58" s="202" t="s">
        <v>925</v>
      </c>
      <c r="D58" s="198" t="s">
        <v>666</v>
      </c>
      <c r="E58" s="198"/>
      <c r="F58" s="202" t="s">
        <v>926</v>
      </c>
    </row>
    <row r="59" spans="1:6" ht="15.75">
      <c r="A59" s="200" t="s">
        <v>802</v>
      </c>
      <c r="B59" s="193" t="s">
        <v>111</v>
      </c>
      <c r="C59" s="202" t="s">
        <v>927</v>
      </c>
      <c r="D59" s="198" t="s">
        <v>644</v>
      </c>
      <c r="E59" s="198"/>
      <c r="F59" s="202" t="s">
        <v>928</v>
      </c>
    </row>
    <row r="60" spans="1:6" ht="31.5">
      <c r="A60" s="200" t="s">
        <v>802</v>
      </c>
      <c r="B60" s="193" t="s">
        <v>836</v>
      </c>
      <c r="C60" s="86" t="s">
        <v>974</v>
      </c>
      <c r="D60" s="199" t="s">
        <v>975</v>
      </c>
      <c r="E60" s="198"/>
      <c r="F60" s="202" t="s">
        <v>976</v>
      </c>
    </row>
  </sheetData>
  <sheetProtection formatCells="0" formatColumns="0" formatRows="0" insertHyperlinks="0" sort="0" autoFilter="0"/>
  <autoFilter ref="A2:F60"/>
  <dataConsolidate/>
  <mergeCells count="1">
    <mergeCell ref="A1:F1"/>
  </mergeCells>
  <conditionalFormatting sqref="A47:B48 B44 A4:B43 A50:B60">
    <cfRule type="cellIs" dxfId="39" priority="848" operator="equal">
      <formula>#REF!</formula>
    </cfRule>
  </conditionalFormatting>
  <conditionalFormatting sqref="A49:B49">
    <cfRule type="cellIs" dxfId="18" priority="179" operator="equal">
      <formula>#REF!</formula>
    </cfRule>
  </conditionalFormatting>
  <conditionalFormatting sqref="A46:B46">
    <cfRule type="cellIs" dxfId="9" priority="128" operator="equal">
      <formula>#REF!</formula>
    </cfRule>
  </conditionalFormatting>
  <conditionalFormatting sqref="A45:B45">
    <cfRule type="cellIs" dxfId="8" priority="122" operator="equal">
      <formula>#REF!</formula>
    </cfRule>
  </conditionalFormatting>
  <conditionalFormatting sqref="A44">
    <cfRule type="cellIs" dxfId="7" priority="116" operator="equal">
      <formula>#REF!</formula>
    </cfRule>
  </conditionalFormatting>
  <conditionalFormatting sqref="B3">
    <cfRule type="cellIs" dxfId="6" priority="34" operator="equal">
      <formula>#REF!</formula>
    </cfRule>
  </conditionalFormatting>
  <conditionalFormatting sqref="A3">
    <cfRule type="cellIs" dxfId="5" priority="35" operator="equal">
      <formula>#REF!</formula>
    </cfRule>
  </conditionalFormatting>
  <pageMargins left="0" right="0" top="0" bottom="0" header="0" footer="0"/>
  <pageSetup paperSize="9" scale="3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#REF!</xm:f>
          </x14:formula1>
          <xm:sqref>A58:A60</xm:sqref>
        </x14:dataValidation>
        <x14:dataValidation type="list" allowBlank="1" showInputMessage="1" showErrorMessage="1">
          <x14:formula1>
            <xm:f>#REF!</xm:f>
          </x14:formula1>
          <xm:sqref>A3:A57</xm:sqref>
        </x14:dataValidation>
        <x14:dataValidation type="list" allowBlank="1" showInputMessage="1" showErrorMessage="1">
          <x14:formula1>
            <xm:f>#REF!</xm:f>
          </x14:formula1>
          <xm:sqref>E4:E60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"/>
  <sheetViews>
    <sheetView workbookViewId="0">
      <selection activeCell="N20" sqref="N20"/>
    </sheetView>
  </sheetViews>
  <sheetFormatPr defaultRowHeight="15"/>
  <cols>
    <col min="1" max="1" width="16.28515625" customWidth="1"/>
    <col min="2" max="2" width="16.28515625" bestFit="1" customWidth="1"/>
    <col min="3" max="3" width="16.28515625" customWidth="1"/>
    <col min="4" max="4" width="11.28515625" customWidth="1"/>
    <col min="5" max="5" width="4.140625" customWidth="1"/>
    <col min="6" max="6" width="4.85546875" customWidth="1"/>
    <col min="7" max="7" width="4" customWidth="1"/>
    <col min="8" max="8" width="3.42578125" customWidth="1"/>
    <col min="9" max="9" width="7.28515625" customWidth="1"/>
    <col min="10" max="10" width="11.28515625" bestFit="1" customWidth="1"/>
  </cols>
  <sheetData>
    <row r="2" spans="1:4">
      <c r="A2" s="175" t="s">
        <v>738</v>
      </c>
      <c r="B2" s="3"/>
      <c r="C2" s="3"/>
      <c r="D2" s="3"/>
    </row>
    <row r="3" spans="1:4">
      <c r="A3" s="3" t="s">
        <v>630</v>
      </c>
      <c r="B3" s="3" t="s">
        <v>741</v>
      </c>
      <c r="C3" s="3" t="s">
        <v>739</v>
      </c>
      <c r="D3" s="3" t="s">
        <v>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948"/>
  <sheetViews>
    <sheetView workbookViewId="0">
      <selection activeCell="D26" sqref="D26"/>
    </sheetView>
  </sheetViews>
  <sheetFormatPr defaultColWidth="9.140625" defaultRowHeight="15"/>
  <cols>
    <col min="1" max="1" width="13.140625" style="1" customWidth="1"/>
    <col min="2" max="2" width="7.140625" style="1" customWidth="1"/>
    <col min="3" max="3" width="8.5703125" style="1" bestFit="1" customWidth="1"/>
    <col min="4" max="4" width="25.28515625" style="1" customWidth="1"/>
    <col min="5" max="6" width="12.5703125" style="1" customWidth="1"/>
    <col min="7" max="7" width="19" style="1" customWidth="1"/>
    <col min="8" max="8" width="79.140625" style="1" bestFit="1" customWidth="1"/>
    <col min="9" max="11" width="48" style="1" customWidth="1"/>
    <col min="12" max="16384" width="9.140625" style="1"/>
  </cols>
  <sheetData>
    <row r="1" spans="1:9" s="12" customFormat="1">
      <c r="A1" s="9" t="s">
        <v>20</v>
      </c>
      <c r="B1" s="9" t="s">
        <v>0</v>
      </c>
      <c r="C1" s="9" t="s">
        <v>21</v>
      </c>
      <c r="D1" s="9" t="s">
        <v>37</v>
      </c>
      <c r="E1" s="9" t="s">
        <v>32</v>
      </c>
      <c r="F1" s="12" t="s">
        <v>33</v>
      </c>
      <c r="G1" s="9" t="s">
        <v>30</v>
      </c>
      <c r="H1" s="9" t="s">
        <v>31</v>
      </c>
      <c r="I1" s="9" t="s">
        <v>101</v>
      </c>
    </row>
    <row r="2" spans="1:9" s="12" customFormat="1">
      <c r="A2" s="9" t="s">
        <v>5</v>
      </c>
      <c r="B2" s="13" t="s">
        <v>3</v>
      </c>
      <c r="C2" s="9" t="s">
        <v>4</v>
      </c>
      <c r="D2" s="9"/>
      <c r="E2" s="9"/>
      <c r="F2" s="9"/>
      <c r="G2" s="15">
        <v>8.3333332999999996E-2</v>
      </c>
      <c r="H2" s="9" t="s">
        <v>19</v>
      </c>
      <c r="I2" s="9"/>
    </row>
    <row r="3" spans="1:9">
      <c r="A3" s="4" t="s">
        <v>2</v>
      </c>
      <c r="B3" s="14" t="s">
        <v>3</v>
      </c>
      <c r="C3" s="4" t="s">
        <v>4</v>
      </c>
      <c r="D3" s="4"/>
      <c r="E3" s="4"/>
      <c r="F3" s="4"/>
      <c r="G3" s="16">
        <v>0.116666667</v>
      </c>
      <c r="H3" s="4" t="s">
        <v>13</v>
      </c>
      <c r="I3" s="4"/>
    </row>
    <row r="4" spans="1:9">
      <c r="A4" s="4" t="s">
        <v>8</v>
      </c>
      <c r="B4" s="14" t="s">
        <v>3</v>
      </c>
      <c r="C4" s="4" t="s">
        <v>9</v>
      </c>
      <c r="D4" s="4"/>
      <c r="E4" s="4"/>
      <c r="F4" s="4"/>
      <c r="G4" s="16">
        <v>0.16666666699999999</v>
      </c>
      <c r="H4" s="4" t="s">
        <v>16</v>
      </c>
      <c r="I4" s="4"/>
    </row>
    <row r="5" spans="1:9">
      <c r="A5" s="4" t="s">
        <v>8</v>
      </c>
      <c r="B5" s="14" t="s">
        <v>3</v>
      </c>
      <c r="C5" s="4" t="s">
        <v>9</v>
      </c>
      <c r="D5" s="4"/>
      <c r="E5" s="4"/>
      <c r="F5" s="4"/>
      <c r="G5" s="16">
        <v>0.16666666699999999</v>
      </c>
      <c r="H5" s="4" t="s">
        <v>16</v>
      </c>
      <c r="I5" s="4"/>
    </row>
    <row r="6" spans="1:9">
      <c r="A6" s="4" t="s">
        <v>8</v>
      </c>
      <c r="B6" s="14" t="s">
        <v>3</v>
      </c>
      <c r="C6" s="4" t="s">
        <v>9</v>
      </c>
      <c r="D6" s="4"/>
      <c r="E6" s="4"/>
      <c r="F6" s="4"/>
      <c r="G6" s="16">
        <v>0.33333333300000001</v>
      </c>
      <c r="H6" s="4" t="s">
        <v>16</v>
      </c>
      <c r="I6" s="4"/>
    </row>
    <row r="7" spans="1:9">
      <c r="A7" s="4" t="s">
        <v>11</v>
      </c>
      <c r="B7" s="14" t="s">
        <v>3</v>
      </c>
      <c r="C7" s="4" t="s">
        <v>9</v>
      </c>
      <c r="D7" s="4"/>
      <c r="E7" s="4"/>
      <c r="F7" s="4"/>
      <c r="G7" s="16">
        <v>0.33333333300000001</v>
      </c>
      <c r="H7" s="4" t="s">
        <v>16</v>
      </c>
      <c r="I7" s="4"/>
    </row>
    <row r="8" spans="1:9">
      <c r="A8" s="4" t="s">
        <v>2</v>
      </c>
      <c r="B8" s="14" t="s">
        <v>3</v>
      </c>
      <c r="C8" s="4" t="s">
        <v>4</v>
      </c>
      <c r="D8" s="4"/>
      <c r="E8" s="4"/>
      <c r="F8" s="4"/>
      <c r="G8" s="16">
        <v>0.366666667</v>
      </c>
      <c r="H8" s="4" t="s">
        <v>14</v>
      </c>
      <c r="I8" s="4"/>
    </row>
    <row r="9" spans="1:9">
      <c r="A9" s="4" t="s">
        <v>2</v>
      </c>
      <c r="B9" s="14" t="s">
        <v>3</v>
      </c>
      <c r="C9" s="4" t="s">
        <v>4</v>
      </c>
      <c r="D9" s="4"/>
      <c r="E9" s="4"/>
      <c r="F9" s="4"/>
      <c r="G9" s="16">
        <v>0.41666666699999999</v>
      </c>
      <c r="H9" s="4"/>
      <c r="I9" s="4"/>
    </row>
    <row r="10" spans="1:9">
      <c r="A10" s="4" t="s">
        <v>2</v>
      </c>
      <c r="B10" s="14" t="s">
        <v>3</v>
      </c>
      <c r="C10" s="4" t="s">
        <v>4</v>
      </c>
      <c r="D10" s="4"/>
      <c r="E10" s="4"/>
      <c r="F10" s="4"/>
      <c r="G10" s="16">
        <v>0.5</v>
      </c>
      <c r="H10" s="4"/>
      <c r="I10" s="4"/>
    </row>
    <row r="11" spans="1:9">
      <c r="A11" s="4" t="s">
        <v>6</v>
      </c>
      <c r="B11" s="14" t="s">
        <v>3</v>
      </c>
      <c r="C11" s="4" t="s">
        <v>12</v>
      </c>
      <c r="D11" s="4"/>
      <c r="E11" s="4"/>
      <c r="F11" s="4"/>
      <c r="G11" s="16">
        <v>0.83333333300000001</v>
      </c>
      <c r="H11" s="4" t="s">
        <v>17</v>
      </c>
      <c r="I11" s="4"/>
    </row>
    <row r="12" spans="1:9">
      <c r="A12" s="4" t="s">
        <v>10</v>
      </c>
      <c r="B12" s="14" t="s">
        <v>3</v>
      </c>
      <c r="C12" s="4" t="s">
        <v>9</v>
      </c>
      <c r="D12" s="4"/>
      <c r="E12" s="4"/>
      <c r="F12" s="4"/>
      <c r="G12" s="16">
        <v>1</v>
      </c>
      <c r="H12" s="4" t="s">
        <v>16</v>
      </c>
      <c r="I12" s="4"/>
    </row>
    <row r="13" spans="1:9">
      <c r="A13" s="4" t="s">
        <v>6</v>
      </c>
      <c r="B13" s="14" t="s">
        <v>7</v>
      </c>
      <c r="C13" s="4" t="s">
        <v>4</v>
      </c>
      <c r="D13" s="4"/>
      <c r="E13" s="4"/>
      <c r="F13" s="4"/>
      <c r="G13" s="16">
        <v>1</v>
      </c>
      <c r="H13" s="4"/>
      <c r="I13" s="4"/>
    </row>
    <row r="14" spans="1:9">
      <c r="A14" s="4" t="s">
        <v>6</v>
      </c>
      <c r="B14" s="14" t="s">
        <v>7</v>
      </c>
      <c r="C14" s="4" t="s">
        <v>4</v>
      </c>
      <c r="D14" s="4"/>
      <c r="E14" s="4"/>
      <c r="F14" s="4"/>
      <c r="G14" s="16">
        <v>1.0833333329999999</v>
      </c>
      <c r="H14" s="4" t="s">
        <v>18</v>
      </c>
      <c r="I14" s="4"/>
    </row>
    <row r="15" spans="1:9">
      <c r="A15" s="4" t="s">
        <v>6</v>
      </c>
      <c r="B15" s="14" t="s">
        <v>3</v>
      </c>
      <c r="C15" s="4" t="s">
        <v>4</v>
      </c>
      <c r="D15" s="4"/>
      <c r="E15" s="4"/>
      <c r="F15" s="4"/>
      <c r="G15" s="16">
        <v>1.1666666670000001</v>
      </c>
      <c r="H15" s="4"/>
      <c r="I15" s="4"/>
    </row>
    <row r="16" spans="1:9">
      <c r="A16" s="4" t="s">
        <v>5</v>
      </c>
      <c r="B16" s="14" t="s">
        <v>7</v>
      </c>
      <c r="C16" s="4" t="s">
        <v>4</v>
      </c>
      <c r="D16" s="4"/>
      <c r="E16" s="4"/>
      <c r="F16" s="4"/>
      <c r="G16" s="16">
        <v>1.5</v>
      </c>
      <c r="H16" s="4" t="s">
        <v>15</v>
      </c>
      <c r="I16" s="4"/>
    </row>
    <row r="17" spans="1:9">
      <c r="A17" s="4" t="s">
        <v>8</v>
      </c>
      <c r="B17" s="14" t="s">
        <v>7</v>
      </c>
      <c r="C17" s="4" t="s">
        <v>4</v>
      </c>
      <c r="D17" s="4"/>
      <c r="E17" s="4"/>
      <c r="F17" s="4"/>
      <c r="G17" s="16">
        <v>1.5</v>
      </c>
      <c r="H17" s="4"/>
      <c r="I17" s="4"/>
    </row>
    <row r="18" spans="1:9">
      <c r="A18" s="4" t="s">
        <v>6</v>
      </c>
      <c r="B18" s="14" t="s">
        <v>3</v>
      </c>
      <c r="C18" s="4" t="s">
        <v>4</v>
      </c>
      <c r="D18" s="4"/>
      <c r="E18" s="4"/>
      <c r="F18" s="4"/>
      <c r="G18" s="16">
        <v>1.5833333329999999</v>
      </c>
      <c r="H18" s="4"/>
      <c r="I18" s="4"/>
    </row>
    <row r="19" spans="1:9">
      <c r="A19" s="4" t="s">
        <v>5</v>
      </c>
      <c r="B19" s="14" t="s">
        <v>3</v>
      </c>
      <c r="C19" s="4" t="s">
        <v>12</v>
      </c>
      <c r="D19" s="4"/>
      <c r="E19" s="4"/>
      <c r="F19" s="4"/>
      <c r="G19" s="16">
        <v>1.75</v>
      </c>
      <c r="H19" s="4" t="s">
        <v>17</v>
      </c>
      <c r="I19" s="4"/>
    </row>
    <row r="20" spans="1:9">
      <c r="A20" s="4" t="s">
        <v>8</v>
      </c>
      <c r="B20" s="14" t="s">
        <v>3</v>
      </c>
      <c r="C20" s="4" t="s">
        <v>9</v>
      </c>
      <c r="D20" s="4"/>
      <c r="E20" s="4"/>
      <c r="F20" s="4"/>
      <c r="G20" s="16">
        <v>2.5</v>
      </c>
      <c r="H20" s="4" t="s">
        <v>16</v>
      </c>
      <c r="I20" s="4"/>
    </row>
    <row r="21" spans="1:9">
      <c r="A21" s="4" t="s">
        <v>34</v>
      </c>
      <c r="B21" s="14" t="s">
        <v>3</v>
      </c>
      <c r="C21" s="4" t="s">
        <v>4</v>
      </c>
      <c r="D21" s="4" t="s">
        <v>42</v>
      </c>
      <c r="E21" s="17">
        <v>0.27777777777777779</v>
      </c>
      <c r="F21" s="17">
        <v>0.31944444444444448</v>
      </c>
      <c r="G21" s="16">
        <v>60</v>
      </c>
      <c r="H21" s="4" t="s">
        <v>29</v>
      </c>
      <c r="I21" s="4"/>
    </row>
    <row r="22" spans="1:9">
      <c r="A22" s="4" t="s">
        <v>34</v>
      </c>
      <c r="B22" s="14" t="s">
        <v>3</v>
      </c>
      <c r="C22" s="4" t="s">
        <v>4</v>
      </c>
      <c r="D22" s="4" t="s">
        <v>40</v>
      </c>
      <c r="E22" s="17">
        <v>0.28472222222222221</v>
      </c>
      <c r="F22" s="17">
        <v>0.38194444444444442</v>
      </c>
      <c r="G22" s="16">
        <v>140</v>
      </c>
      <c r="H22" s="4" t="s">
        <v>43</v>
      </c>
      <c r="I22" s="4"/>
    </row>
    <row r="23" spans="1:9">
      <c r="A23" s="4" t="s">
        <v>34</v>
      </c>
      <c r="B23" s="14" t="s">
        <v>3</v>
      </c>
      <c r="C23" s="4" t="s">
        <v>4</v>
      </c>
      <c r="D23" s="4" t="s">
        <v>44</v>
      </c>
      <c r="E23" s="17">
        <v>0.47916666666666669</v>
      </c>
      <c r="F23" s="17">
        <v>0.52083333333333337</v>
      </c>
      <c r="G23" s="16">
        <v>60</v>
      </c>
      <c r="H23" s="4" t="s">
        <v>36</v>
      </c>
      <c r="I23" s="4"/>
    </row>
    <row r="24" spans="1:9">
      <c r="A24" s="4" t="s">
        <v>34</v>
      </c>
      <c r="B24" s="14" t="s">
        <v>3</v>
      </c>
      <c r="C24" s="4" t="s">
        <v>4</v>
      </c>
      <c r="D24" s="4" t="s">
        <v>40</v>
      </c>
      <c r="E24" s="17">
        <v>0.51736111111111105</v>
      </c>
      <c r="F24" s="17">
        <v>4.8611111111111112E-2</v>
      </c>
      <c r="G24" s="16">
        <v>45</v>
      </c>
      <c r="H24" s="4" t="s">
        <v>45</v>
      </c>
      <c r="I24" s="4"/>
    </row>
    <row r="25" spans="1:9">
      <c r="A25" s="4" t="s">
        <v>34</v>
      </c>
      <c r="B25" s="14" t="s">
        <v>3</v>
      </c>
      <c r="C25" s="4" t="s">
        <v>4</v>
      </c>
      <c r="D25" s="4" t="s">
        <v>46</v>
      </c>
      <c r="E25" s="17">
        <v>0.30902777777777779</v>
      </c>
      <c r="F25" s="17">
        <v>0.3576388888888889</v>
      </c>
      <c r="G25" s="16">
        <v>70</v>
      </c>
      <c r="H25" s="4" t="s">
        <v>47</v>
      </c>
      <c r="I25" s="4"/>
    </row>
    <row r="26" spans="1:9">
      <c r="A26" s="4" t="s">
        <v>35</v>
      </c>
      <c r="B26" s="14" t="s">
        <v>3</v>
      </c>
      <c r="C26" s="4" t="s">
        <v>4</v>
      </c>
      <c r="D26" s="4" t="s">
        <v>48</v>
      </c>
      <c r="E26" s="17">
        <v>0.51388888888888895</v>
      </c>
      <c r="F26" s="17">
        <v>4.1666666666666664E-2</v>
      </c>
      <c r="G26" s="16">
        <v>40</v>
      </c>
      <c r="H26" s="4" t="s">
        <v>49</v>
      </c>
      <c r="I26" s="4"/>
    </row>
    <row r="27" spans="1:9">
      <c r="A27" s="4" t="s">
        <v>38</v>
      </c>
      <c r="B27" s="14" t="s">
        <v>3</v>
      </c>
      <c r="C27" s="4" t="s">
        <v>4</v>
      </c>
      <c r="D27" s="4" t="s">
        <v>40</v>
      </c>
      <c r="E27" s="17">
        <v>0.375</v>
      </c>
      <c r="F27" s="17">
        <v>0.39583333333333331</v>
      </c>
      <c r="G27" s="16">
        <v>30</v>
      </c>
      <c r="H27" s="4" t="s">
        <v>39</v>
      </c>
      <c r="I27" s="4"/>
    </row>
    <row r="28" spans="1:9">
      <c r="A28" s="4" t="s">
        <v>38</v>
      </c>
      <c r="B28" s="14" t="s">
        <v>3</v>
      </c>
      <c r="C28" s="4" t="s">
        <v>4</v>
      </c>
      <c r="D28" s="4" t="s">
        <v>51</v>
      </c>
      <c r="E28" s="17">
        <v>0.53472222222222221</v>
      </c>
      <c r="F28" s="17">
        <v>1.07</v>
      </c>
      <c r="G28" s="16">
        <v>17</v>
      </c>
      <c r="H28" s="4" t="s">
        <v>52</v>
      </c>
      <c r="I28" s="4"/>
    </row>
    <row r="29" spans="1:9">
      <c r="A29" s="4" t="s">
        <v>38</v>
      </c>
      <c r="B29" s="14" t="s">
        <v>7</v>
      </c>
      <c r="C29" s="4" t="s">
        <v>4</v>
      </c>
      <c r="D29" s="4" t="s">
        <v>41</v>
      </c>
      <c r="E29" s="17">
        <v>0.5</v>
      </c>
      <c r="F29" s="17">
        <v>0.5625</v>
      </c>
      <c r="G29" s="16">
        <v>90</v>
      </c>
      <c r="H29" s="4" t="s">
        <v>50</v>
      </c>
      <c r="I29" s="4"/>
    </row>
    <row r="30" spans="1:9">
      <c r="A30" s="4" t="s">
        <v>38</v>
      </c>
      <c r="B30" s="14" t="s">
        <v>3</v>
      </c>
      <c r="C30" s="4" t="s">
        <v>53</v>
      </c>
      <c r="D30" s="4" t="s">
        <v>54</v>
      </c>
      <c r="E30" s="17">
        <v>5.2083333333333336E-2</v>
      </c>
      <c r="F30" s="17">
        <v>7.2916666666666671E-2</v>
      </c>
      <c r="G30" s="16">
        <v>30</v>
      </c>
      <c r="H30" s="4" t="s">
        <v>55</v>
      </c>
      <c r="I30" s="4"/>
    </row>
    <row r="31" spans="1:9">
      <c r="A31" s="4" t="s">
        <v>56</v>
      </c>
      <c r="B31" s="14" t="s">
        <v>7</v>
      </c>
      <c r="C31" s="4" t="s">
        <v>4</v>
      </c>
      <c r="D31" s="4" t="s">
        <v>51</v>
      </c>
      <c r="E31" s="17">
        <v>0.86805555555555547</v>
      </c>
      <c r="F31" s="17">
        <v>0.88541666666666663</v>
      </c>
      <c r="G31" s="16">
        <v>25</v>
      </c>
      <c r="H31" s="4" t="s">
        <v>57</v>
      </c>
      <c r="I31" s="4"/>
    </row>
    <row r="32" spans="1:9">
      <c r="A32" s="4" t="s">
        <v>58</v>
      </c>
      <c r="B32" s="14" t="s">
        <v>7</v>
      </c>
      <c r="C32" s="4" t="s">
        <v>4</v>
      </c>
      <c r="D32" s="4" t="s">
        <v>59</v>
      </c>
      <c r="E32" s="17">
        <v>0.8125</v>
      </c>
      <c r="F32" s="17">
        <v>0.83333333333333337</v>
      </c>
      <c r="G32" s="16">
        <v>30</v>
      </c>
      <c r="H32" s="4" t="s">
        <v>60</v>
      </c>
      <c r="I32" s="4"/>
    </row>
    <row r="33" spans="1:9">
      <c r="A33" s="4" t="s">
        <v>58</v>
      </c>
      <c r="B33" s="14" t="s">
        <v>7</v>
      </c>
      <c r="C33" s="4" t="s">
        <v>4</v>
      </c>
      <c r="D33" s="4" t="s">
        <v>63</v>
      </c>
      <c r="E33" s="17">
        <v>0.8125</v>
      </c>
      <c r="F33" s="17">
        <v>0.82638888888888884</v>
      </c>
      <c r="G33" s="16">
        <v>20</v>
      </c>
      <c r="H33" s="4" t="s">
        <v>64</v>
      </c>
      <c r="I33" s="4"/>
    </row>
    <row r="34" spans="1:9">
      <c r="A34" s="4" t="s">
        <v>58</v>
      </c>
      <c r="B34" s="14" t="s">
        <v>7</v>
      </c>
      <c r="C34" s="4" t="s">
        <v>4</v>
      </c>
      <c r="D34" s="4" t="s">
        <v>61</v>
      </c>
      <c r="E34" s="17">
        <v>0.83333333333333337</v>
      </c>
      <c r="F34" s="17">
        <v>0.84722222222222221</v>
      </c>
      <c r="G34" s="16">
        <v>20</v>
      </c>
      <c r="H34" s="4" t="s">
        <v>62</v>
      </c>
      <c r="I34" s="4"/>
    </row>
    <row r="35" spans="1:9" s="22" customFormat="1" hidden="1">
      <c r="A35" s="18" t="s">
        <v>65</v>
      </c>
      <c r="B35" s="19" t="s">
        <v>7</v>
      </c>
      <c r="C35" s="18" t="s">
        <v>4</v>
      </c>
      <c r="D35" s="18" t="s">
        <v>66</v>
      </c>
      <c r="E35" s="20">
        <v>0.72916666666666663</v>
      </c>
      <c r="F35" s="20">
        <v>0.86458333333333337</v>
      </c>
      <c r="G35" s="21">
        <v>195</v>
      </c>
      <c r="H35" s="18" t="s">
        <v>67</v>
      </c>
      <c r="I35" s="18"/>
    </row>
    <row r="36" spans="1:9">
      <c r="A36" s="4" t="s">
        <v>68</v>
      </c>
      <c r="B36" s="14" t="s">
        <v>3</v>
      </c>
      <c r="C36" s="4" t="s">
        <v>4</v>
      </c>
      <c r="D36" s="4" t="s">
        <v>69</v>
      </c>
      <c r="E36" s="17">
        <v>7.6388888888888895E-2</v>
      </c>
      <c r="F36" s="17">
        <v>8.3333333333333329E-2</v>
      </c>
      <c r="G36" s="16">
        <v>10</v>
      </c>
      <c r="H36" s="4" t="s">
        <v>70</v>
      </c>
      <c r="I36" s="4"/>
    </row>
    <row r="37" spans="1:9">
      <c r="A37" s="4" t="s">
        <v>71</v>
      </c>
      <c r="B37" s="14" t="s">
        <v>3</v>
      </c>
      <c r="C37" s="4" t="s">
        <v>4</v>
      </c>
      <c r="D37" s="4" t="s">
        <v>72</v>
      </c>
      <c r="E37" s="17">
        <v>0.25</v>
      </c>
      <c r="F37" s="17">
        <v>0.2673611111111111</v>
      </c>
      <c r="G37" s="16">
        <v>25</v>
      </c>
      <c r="H37" s="4" t="s">
        <v>73</v>
      </c>
      <c r="I37" s="4"/>
    </row>
    <row r="38" spans="1:9">
      <c r="A38" s="4" t="s">
        <v>74</v>
      </c>
      <c r="B38" s="14" t="s">
        <v>3</v>
      </c>
      <c r="C38" s="4" t="s">
        <v>4</v>
      </c>
      <c r="D38" s="4" t="s">
        <v>75</v>
      </c>
      <c r="E38" s="17">
        <v>0.22916666666666666</v>
      </c>
      <c r="F38" s="17">
        <v>0.25</v>
      </c>
      <c r="G38" s="16">
        <v>30</v>
      </c>
      <c r="H38" s="4" t="s">
        <v>76</v>
      </c>
      <c r="I38" s="4"/>
    </row>
    <row r="39" spans="1:9">
      <c r="A39" s="4" t="s">
        <v>74</v>
      </c>
      <c r="B39" s="14" t="s">
        <v>3</v>
      </c>
      <c r="C39" s="4" t="s">
        <v>4</v>
      </c>
      <c r="D39" s="4" t="s">
        <v>69</v>
      </c>
      <c r="E39" s="17">
        <v>0.25</v>
      </c>
      <c r="F39" s="17">
        <v>0.27083333333333331</v>
      </c>
      <c r="G39" s="16">
        <v>30</v>
      </c>
      <c r="H39" s="4" t="s">
        <v>77</v>
      </c>
      <c r="I39" s="4"/>
    </row>
    <row r="40" spans="1:9">
      <c r="A40" s="4" t="s">
        <v>78</v>
      </c>
      <c r="B40" s="14" t="s">
        <v>7</v>
      </c>
      <c r="C40" s="4" t="s">
        <v>4</v>
      </c>
      <c r="D40" s="4" t="s">
        <v>69</v>
      </c>
      <c r="E40" s="17">
        <v>0.14583333333333334</v>
      </c>
      <c r="F40" s="17">
        <v>0.16666666666666666</v>
      </c>
      <c r="G40" s="16">
        <v>30</v>
      </c>
      <c r="H40" s="4" t="s">
        <v>79</v>
      </c>
      <c r="I40" s="4"/>
    </row>
    <row r="41" spans="1:9">
      <c r="A41" s="4" t="s">
        <v>78</v>
      </c>
      <c r="B41" s="14" t="s">
        <v>7</v>
      </c>
      <c r="C41" s="4" t="s">
        <v>9</v>
      </c>
      <c r="D41" s="4" t="s">
        <v>80</v>
      </c>
      <c r="E41" s="17">
        <v>0.23263888888888887</v>
      </c>
      <c r="F41" s="17">
        <v>0.25</v>
      </c>
      <c r="G41" s="16">
        <v>25</v>
      </c>
      <c r="H41" s="4" t="s">
        <v>81</v>
      </c>
      <c r="I41" s="4"/>
    </row>
    <row r="42" spans="1:9" ht="15.75" thickBot="1">
      <c r="A42" s="37"/>
      <c r="B42" s="38"/>
      <c r="C42" s="39"/>
      <c r="D42" s="39"/>
      <c r="E42" s="40"/>
      <c r="F42" s="40"/>
      <c r="G42" s="41">
        <f>SUM(G36:G41)</f>
        <v>150</v>
      </c>
      <c r="H42" s="39"/>
      <c r="I42" s="4"/>
    </row>
    <row r="43" spans="1:9">
      <c r="A43" s="47" t="s">
        <v>102</v>
      </c>
      <c r="B43" s="48" t="s">
        <v>7</v>
      </c>
      <c r="C43" s="49" t="s">
        <v>89</v>
      </c>
      <c r="D43" s="49" t="s">
        <v>90</v>
      </c>
      <c r="E43" s="50">
        <v>0.30902777777777779</v>
      </c>
      <c r="F43" s="50">
        <v>0.3263888888888889</v>
      </c>
      <c r="G43" s="51">
        <v>25</v>
      </c>
      <c r="H43" s="52" t="s">
        <v>91</v>
      </c>
      <c r="I43" s="36"/>
    </row>
    <row r="44" spans="1:9">
      <c r="A44" s="53" t="s">
        <v>102</v>
      </c>
      <c r="B44" s="14" t="s">
        <v>92</v>
      </c>
      <c r="C44" s="4" t="s">
        <v>89</v>
      </c>
      <c r="D44" s="4" t="s">
        <v>42</v>
      </c>
      <c r="E44" s="17">
        <v>0.47916666666666669</v>
      </c>
      <c r="F44" s="17">
        <v>6.25E-2</v>
      </c>
      <c r="G44" s="16">
        <v>120</v>
      </c>
      <c r="H44" s="54" t="s">
        <v>93</v>
      </c>
      <c r="I44" s="36"/>
    </row>
    <row r="45" spans="1:9">
      <c r="A45" s="53" t="s">
        <v>102</v>
      </c>
      <c r="B45" s="14" t="s">
        <v>3</v>
      </c>
      <c r="C45" s="4" t="s">
        <v>89</v>
      </c>
      <c r="D45" s="4" t="s">
        <v>40</v>
      </c>
      <c r="E45" s="17">
        <v>0.38541666666666669</v>
      </c>
      <c r="F45" s="17">
        <v>0.4236111111111111</v>
      </c>
      <c r="G45" s="16">
        <v>55</v>
      </c>
      <c r="H45" s="55" t="s">
        <v>95</v>
      </c>
      <c r="I45" s="36"/>
    </row>
    <row r="46" spans="1:9">
      <c r="A46" s="53" t="s">
        <v>102</v>
      </c>
      <c r="B46" s="14" t="s">
        <v>3</v>
      </c>
      <c r="C46" s="4" t="s">
        <v>89</v>
      </c>
      <c r="D46" s="4" t="s">
        <v>40</v>
      </c>
      <c r="E46" s="17">
        <v>0.5</v>
      </c>
      <c r="F46" s="17">
        <v>0.54861111111111105</v>
      </c>
      <c r="G46" s="16">
        <v>70</v>
      </c>
      <c r="H46" s="55" t="s">
        <v>96</v>
      </c>
      <c r="I46" s="36"/>
    </row>
    <row r="47" spans="1:9">
      <c r="A47" s="53" t="s">
        <v>102</v>
      </c>
      <c r="B47" s="14" t="s">
        <v>7</v>
      </c>
      <c r="C47" s="4" t="s">
        <v>89</v>
      </c>
      <c r="D47" s="4" t="s">
        <v>97</v>
      </c>
      <c r="E47" s="17">
        <v>0.86805555555555547</v>
      </c>
      <c r="F47" s="17">
        <v>0.90972222222222221</v>
      </c>
      <c r="G47" s="16">
        <v>60</v>
      </c>
      <c r="H47" s="54" t="s">
        <v>98</v>
      </c>
      <c r="I47" s="36"/>
    </row>
    <row r="48" spans="1:9">
      <c r="A48" s="53" t="s">
        <v>103</v>
      </c>
      <c r="B48" s="14" t="s">
        <v>7</v>
      </c>
      <c r="C48" s="4" t="s">
        <v>89</v>
      </c>
      <c r="D48" s="4" t="s">
        <v>40</v>
      </c>
      <c r="E48" s="17">
        <v>0.91666666666666663</v>
      </c>
      <c r="F48" s="17">
        <v>0.92361111111111116</v>
      </c>
      <c r="G48" s="16">
        <v>10</v>
      </c>
      <c r="H48" s="54" t="s">
        <v>99</v>
      </c>
      <c r="I48" s="36"/>
    </row>
    <row r="49" spans="1:9">
      <c r="A49" s="53" t="s">
        <v>103</v>
      </c>
      <c r="B49" s="14" t="s">
        <v>92</v>
      </c>
      <c r="C49" s="4" t="s">
        <v>89</v>
      </c>
      <c r="D49" s="4" t="s">
        <v>40</v>
      </c>
      <c r="E49" s="17">
        <v>3.8194444444444441E-2</v>
      </c>
      <c r="F49" s="17">
        <v>4.8611111111111112E-2</v>
      </c>
      <c r="G49" s="16">
        <v>15</v>
      </c>
      <c r="H49" s="55" t="s">
        <v>100</v>
      </c>
      <c r="I49" s="36"/>
    </row>
    <row r="50" spans="1:9">
      <c r="A50" s="53"/>
      <c r="B50" s="14"/>
      <c r="C50" s="4"/>
      <c r="D50" s="4"/>
      <c r="E50" s="17"/>
      <c r="F50" s="17"/>
      <c r="G50" s="16">
        <f>SUM(G43:G49)</f>
        <v>355</v>
      </c>
      <c r="H50" s="56"/>
      <c r="I50" s="36"/>
    </row>
    <row r="51" spans="1:9">
      <c r="A51" s="53" t="s">
        <v>104</v>
      </c>
      <c r="B51" s="14" t="s">
        <v>7</v>
      </c>
      <c r="C51" s="4" t="s">
        <v>89</v>
      </c>
      <c r="D51" s="4" t="s">
        <v>61</v>
      </c>
      <c r="E51" s="17">
        <v>0.64930555555555558</v>
      </c>
      <c r="F51" s="17">
        <v>0.67013888888888884</v>
      </c>
      <c r="G51" s="16">
        <v>30</v>
      </c>
      <c r="H51" s="55" t="s">
        <v>94</v>
      </c>
      <c r="I51" s="36"/>
    </row>
    <row r="52" spans="1:9">
      <c r="A52" s="57" t="s">
        <v>105</v>
      </c>
      <c r="B52" s="14" t="s">
        <v>3</v>
      </c>
      <c r="C52" s="4" t="s">
        <v>106</v>
      </c>
      <c r="D52" s="4" t="s">
        <v>107</v>
      </c>
      <c r="E52" s="17">
        <v>0.48958333333333331</v>
      </c>
      <c r="F52" s="17">
        <v>0.5</v>
      </c>
      <c r="G52" s="16">
        <v>15</v>
      </c>
      <c r="H52" s="54" t="s">
        <v>108</v>
      </c>
      <c r="I52" s="36"/>
    </row>
    <row r="53" spans="1:9">
      <c r="A53" s="57" t="s">
        <v>109</v>
      </c>
      <c r="B53" s="14" t="s">
        <v>3</v>
      </c>
      <c r="C53" s="18" t="s">
        <v>110</v>
      </c>
      <c r="D53" s="4" t="s">
        <v>111</v>
      </c>
      <c r="E53" s="17">
        <v>0.25</v>
      </c>
      <c r="F53" s="17">
        <v>0.29166666666666669</v>
      </c>
      <c r="G53" s="16">
        <v>60</v>
      </c>
      <c r="H53" s="54" t="s">
        <v>112</v>
      </c>
      <c r="I53" s="36"/>
    </row>
    <row r="54" spans="1:9">
      <c r="A54" s="57" t="s">
        <v>113</v>
      </c>
      <c r="B54" s="14" t="s">
        <v>92</v>
      </c>
      <c r="C54" s="4" t="s">
        <v>106</v>
      </c>
      <c r="D54" s="4" t="s">
        <v>107</v>
      </c>
      <c r="E54" s="17">
        <v>0</v>
      </c>
      <c r="F54" s="17">
        <v>2.0833333333333332E-2</v>
      </c>
      <c r="G54" s="16">
        <v>30</v>
      </c>
      <c r="H54" s="54" t="s">
        <v>114</v>
      </c>
      <c r="I54" s="36"/>
    </row>
    <row r="55" spans="1:9">
      <c r="A55" s="57" t="s">
        <v>113</v>
      </c>
      <c r="B55" s="14" t="s">
        <v>92</v>
      </c>
      <c r="C55" s="4" t="s">
        <v>106</v>
      </c>
      <c r="D55" s="4" t="s">
        <v>107</v>
      </c>
      <c r="E55" s="17">
        <v>2.7777777777777776E-2</v>
      </c>
      <c r="F55" s="17">
        <v>4.8611111111111112E-2</v>
      </c>
      <c r="G55" s="16">
        <v>30</v>
      </c>
      <c r="H55" s="54" t="s">
        <v>115</v>
      </c>
      <c r="I55" s="36"/>
    </row>
    <row r="56" spans="1:9">
      <c r="A56" s="57" t="s">
        <v>116</v>
      </c>
      <c r="B56" s="14" t="s">
        <v>3</v>
      </c>
      <c r="C56" s="4" t="s">
        <v>106</v>
      </c>
      <c r="D56" s="4" t="s">
        <v>117</v>
      </c>
      <c r="E56" s="17">
        <v>0.50347222222222221</v>
      </c>
      <c r="F56" s="17">
        <v>0.51041666666666663</v>
      </c>
      <c r="G56" s="16">
        <v>10</v>
      </c>
      <c r="H56" s="54" t="s">
        <v>118</v>
      </c>
      <c r="I56" s="36"/>
    </row>
    <row r="57" spans="1:9">
      <c r="A57" s="57" t="s">
        <v>116</v>
      </c>
      <c r="B57" s="14" t="s">
        <v>3</v>
      </c>
      <c r="C57" s="4" t="s">
        <v>106</v>
      </c>
      <c r="D57" s="4" t="s">
        <v>119</v>
      </c>
      <c r="E57" s="17">
        <v>0.40625</v>
      </c>
      <c r="F57" s="17">
        <v>0.4152777777777778</v>
      </c>
      <c r="G57" s="16">
        <v>13</v>
      </c>
      <c r="H57" s="54" t="s">
        <v>120</v>
      </c>
      <c r="I57" s="36"/>
    </row>
    <row r="58" spans="1:9">
      <c r="A58" s="53" t="s">
        <v>116</v>
      </c>
      <c r="B58" s="14" t="s">
        <v>3</v>
      </c>
      <c r="C58" s="18" t="s">
        <v>121</v>
      </c>
      <c r="D58" s="4" t="s">
        <v>122</v>
      </c>
      <c r="E58" s="17">
        <v>0.38194444444444442</v>
      </c>
      <c r="F58" s="17">
        <v>0.39583333333333331</v>
      </c>
      <c r="G58" s="16">
        <v>20</v>
      </c>
      <c r="H58" s="54" t="s">
        <v>123</v>
      </c>
      <c r="I58" s="36"/>
    </row>
    <row r="59" spans="1:9">
      <c r="A59" s="57" t="s">
        <v>124</v>
      </c>
      <c r="B59" s="14" t="s">
        <v>3</v>
      </c>
      <c r="C59" s="4" t="s">
        <v>106</v>
      </c>
      <c r="D59" s="4" t="s">
        <v>125</v>
      </c>
      <c r="E59" s="17">
        <v>0.41666666666666669</v>
      </c>
      <c r="F59" s="17">
        <v>0.42499999999999999</v>
      </c>
      <c r="G59" s="16">
        <v>12</v>
      </c>
      <c r="H59" s="54" t="s">
        <v>126</v>
      </c>
      <c r="I59" s="36"/>
    </row>
    <row r="60" spans="1:9">
      <c r="A60" s="57" t="s">
        <v>127</v>
      </c>
      <c r="B60" s="14" t="s">
        <v>3</v>
      </c>
      <c r="C60" s="4" t="s">
        <v>106</v>
      </c>
      <c r="D60" s="4" t="s">
        <v>128</v>
      </c>
      <c r="E60" s="17">
        <v>0.5625</v>
      </c>
      <c r="F60" s="17">
        <v>0.60069444444444442</v>
      </c>
      <c r="G60" s="16">
        <v>55</v>
      </c>
      <c r="H60" s="54" t="s">
        <v>129</v>
      </c>
      <c r="I60" s="36"/>
    </row>
    <row r="61" spans="1:9">
      <c r="A61" s="57" t="s">
        <v>127</v>
      </c>
      <c r="B61" s="14" t="s">
        <v>3</v>
      </c>
      <c r="C61" s="4" t="s">
        <v>106</v>
      </c>
      <c r="D61" s="4" t="s">
        <v>130</v>
      </c>
      <c r="E61" s="17">
        <v>0.41666666666666669</v>
      </c>
      <c r="F61" s="17">
        <v>0.43055555555555558</v>
      </c>
      <c r="G61" s="16">
        <v>20</v>
      </c>
      <c r="H61" s="54" t="s">
        <v>131</v>
      </c>
      <c r="I61" s="36"/>
    </row>
    <row r="62" spans="1:9">
      <c r="A62" s="57" t="s">
        <v>132</v>
      </c>
      <c r="B62" s="14" t="s">
        <v>3</v>
      </c>
      <c r="C62" s="4" t="s">
        <v>106</v>
      </c>
      <c r="D62" s="4" t="s">
        <v>133</v>
      </c>
      <c r="E62" s="17">
        <v>0.44791666666666669</v>
      </c>
      <c r="F62" s="17">
        <v>0.45833333333333331</v>
      </c>
      <c r="G62" s="16">
        <v>15</v>
      </c>
      <c r="H62" s="54" t="s">
        <v>134</v>
      </c>
      <c r="I62" s="36"/>
    </row>
    <row r="63" spans="1:9">
      <c r="A63" s="57" t="s">
        <v>132</v>
      </c>
      <c r="B63" s="14" t="s">
        <v>7</v>
      </c>
      <c r="C63" s="4" t="s">
        <v>106</v>
      </c>
      <c r="D63" s="4" t="s">
        <v>40</v>
      </c>
      <c r="E63" s="17">
        <v>0.63888888888888895</v>
      </c>
      <c r="F63" s="17">
        <v>0.65277777777777779</v>
      </c>
      <c r="G63" s="16">
        <v>20</v>
      </c>
      <c r="H63" s="54" t="s">
        <v>135</v>
      </c>
      <c r="I63" s="36"/>
    </row>
    <row r="64" spans="1:9">
      <c r="A64" s="57" t="s">
        <v>136</v>
      </c>
      <c r="B64" s="14" t="s">
        <v>3</v>
      </c>
      <c r="C64" s="4" t="s">
        <v>121</v>
      </c>
      <c r="D64" s="4" t="s">
        <v>137</v>
      </c>
      <c r="E64" s="17">
        <v>0.375</v>
      </c>
      <c r="F64" s="17">
        <v>0.38194444444444442</v>
      </c>
      <c r="G64" s="16">
        <v>10</v>
      </c>
      <c r="H64" s="54" t="s">
        <v>138</v>
      </c>
      <c r="I64" s="36"/>
    </row>
    <row r="65" spans="1:9">
      <c r="A65" s="53" t="s">
        <v>139</v>
      </c>
      <c r="B65" s="14" t="s">
        <v>3</v>
      </c>
      <c r="C65" s="4" t="s">
        <v>121</v>
      </c>
      <c r="D65" s="4" t="s">
        <v>137</v>
      </c>
      <c r="E65" s="17">
        <v>0.5</v>
      </c>
      <c r="F65" s="17">
        <v>0.50694444444444442</v>
      </c>
      <c r="G65" s="16">
        <v>10</v>
      </c>
      <c r="H65" s="54" t="s">
        <v>140</v>
      </c>
      <c r="I65" s="36"/>
    </row>
    <row r="66" spans="1:9">
      <c r="A66" s="57" t="s">
        <v>142</v>
      </c>
      <c r="B66" s="14" t="s">
        <v>3</v>
      </c>
      <c r="C66" s="4" t="s">
        <v>106</v>
      </c>
      <c r="D66" s="4" t="s">
        <v>143</v>
      </c>
      <c r="E66" s="17">
        <v>0.375</v>
      </c>
      <c r="F66" s="17">
        <v>0.40277777777777773</v>
      </c>
      <c r="G66" s="16">
        <v>40</v>
      </c>
      <c r="H66" s="54" t="s">
        <v>144</v>
      </c>
      <c r="I66" s="36"/>
    </row>
    <row r="67" spans="1:9">
      <c r="A67" s="57" t="s">
        <v>142</v>
      </c>
      <c r="B67" s="14" t="s">
        <v>7</v>
      </c>
      <c r="C67" s="4" t="s">
        <v>106</v>
      </c>
      <c r="D67" s="4" t="s">
        <v>61</v>
      </c>
      <c r="E67" s="17">
        <v>0.22569444444444445</v>
      </c>
      <c r="F67" s="17">
        <v>0.25</v>
      </c>
      <c r="G67" s="16">
        <v>35</v>
      </c>
      <c r="H67" s="54" t="s">
        <v>145</v>
      </c>
      <c r="I67" s="36"/>
    </row>
    <row r="68" spans="1:9">
      <c r="A68" s="57" t="s">
        <v>146</v>
      </c>
      <c r="B68" s="14" t="s">
        <v>3</v>
      </c>
      <c r="C68" s="4" t="s">
        <v>106</v>
      </c>
      <c r="D68" s="4" t="s">
        <v>143</v>
      </c>
      <c r="E68" s="17">
        <v>0.25694444444444448</v>
      </c>
      <c r="F68" s="17">
        <v>0.27777777777777779</v>
      </c>
      <c r="G68" s="16">
        <v>30</v>
      </c>
      <c r="H68" s="54" t="s">
        <v>144</v>
      </c>
      <c r="I68" s="36"/>
    </row>
    <row r="69" spans="1:9">
      <c r="A69" s="57" t="s">
        <v>146</v>
      </c>
      <c r="B69" s="14" t="s">
        <v>7</v>
      </c>
      <c r="C69" s="4" t="s">
        <v>106</v>
      </c>
      <c r="D69" s="4" t="s">
        <v>128</v>
      </c>
      <c r="E69" s="17">
        <v>0.1875</v>
      </c>
      <c r="F69" s="17">
        <v>0.20138888888888887</v>
      </c>
      <c r="G69" s="16">
        <v>20</v>
      </c>
      <c r="H69" s="54" t="s">
        <v>147</v>
      </c>
      <c r="I69" s="36"/>
    </row>
    <row r="70" spans="1:9">
      <c r="A70" s="57" t="s">
        <v>146</v>
      </c>
      <c r="B70" s="14" t="s">
        <v>92</v>
      </c>
      <c r="C70" s="4" t="s">
        <v>106</v>
      </c>
      <c r="D70" s="4" t="s">
        <v>128</v>
      </c>
      <c r="E70" s="17">
        <v>0.20833333333333334</v>
      </c>
      <c r="F70" s="17">
        <v>0.25</v>
      </c>
      <c r="G70" s="16">
        <v>60</v>
      </c>
      <c r="H70" s="54" t="s">
        <v>147</v>
      </c>
      <c r="I70" s="36"/>
    </row>
    <row r="71" spans="1:9" ht="15.75" thickBot="1">
      <c r="A71" s="58" t="s">
        <v>148</v>
      </c>
      <c r="B71" s="59" t="s">
        <v>3</v>
      </c>
      <c r="C71" s="60" t="s">
        <v>106</v>
      </c>
      <c r="D71" s="60" t="s">
        <v>128</v>
      </c>
      <c r="E71" s="61">
        <v>0.25</v>
      </c>
      <c r="F71" s="61">
        <v>0.27083333333333331</v>
      </c>
      <c r="G71" s="62">
        <v>30</v>
      </c>
      <c r="H71" s="63" t="s">
        <v>149</v>
      </c>
      <c r="I71" s="36"/>
    </row>
    <row r="72" spans="1:9">
      <c r="A72" s="42"/>
      <c r="B72" s="43"/>
      <c r="C72" s="44"/>
      <c r="D72" s="44"/>
      <c r="E72" s="45"/>
      <c r="F72" s="45"/>
      <c r="G72" s="46"/>
      <c r="H72" s="44"/>
      <c r="I72" s="4"/>
    </row>
    <row r="73" spans="1:9">
      <c r="A73" s="32"/>
      <c r="B73" s="14"/>
      <c r="C73" s="4"/>
      <c r="D73" s="4"/>
      <c r="E73" s="17"/>
      <c r="F73" s="17"/>
      <c r="G73" s="16"/>
      <c r="H73" s="4"/>
      <c r="I73" s="4"/>
    </row>
    <row r="74" spans="1:9">
      <c r="A74" s="32"/>
      <c r="B74" s="14"/>
      <c r="C74" s="4"/>
      <c r="D74" s="4"/>
      <c r="E74" s="17"/>
      <c r="F74" s="17"/>
      <c r="G74" s="16"/>
      <c r="H74" s="4"/>
      <c r="I74" s="4"/>
    </row>
    <row r="75" spans="1:9">
      <c r="A75" s="32"/>
      <c r="B75" s="14"/>
      <c r="C75" s="4"/>
      <c r="D75" s="4"/>
      <c r="E75" s="17"/>
      <c r="F75" s="17"/>
      <c r="G75" s="16"/>
      <c r="H75" s="4"/>
      <c r="I75" s="4"/>
    </row>
    <row r="76" spans="1:9">
      <c r="A76" s="32"/>
      <c r="B76" s="14"/>
      <c r="C76" s="4"/>
      <c r="D76" s="4"/>
      <c r="E76" s="17"/>
      <c r="F76" s="17"/>
      <c r="G76" s="16"/>
      <c r="H76" s="4"/>
      <c r="I76" s="4"/>
    </row>
    <row r="77" spans="1:9">
      <c r="A77" s="32"/>
      <c r="B77" s="14"/>
      <c r="C77" s="4"/>
      <c r="D77" s="4"/>
      <c r="E77" s="17"/>
      <c r="F77" s="17"/>
      <c r="G77" s="16"/>
      <c r="H77" s="4"/>
      <c r="I77" s="4"/>
    </row>
    <row r="78" spans="1:9">
      <c r="A78" s="32"/>
      <c r="B78" s="14"/>
      <c r="C78" s="4"/>
      <c r="D78" s="4"/>
      <c r="E78" s="17"/>
      <c r="F78" s="17"/>
      <c r="G78" s="16"/>
      <c r="H78" s="4"/>
      <c r="I78" s="4"/>
    </row>
    <row r="79" spans="1:9">
      <c r="A79" s="33"/>
      <c r="B79" s="14"/>
      <c r="C79" s="4"/>
      <c r="D79" s="4"/>
      <c r="E79" s="17"/>
      <c r="F79" s="17"/>
      <c r="G79" s="16"/>
      <c r="H79" s="4"/>
      <c r="I79" s="4"/>
    </row>
    <row r="80" spans="1:9">
      <c r="A80" s="32"/>
      <c r="B80" s="14"/>
      <c r="C80" s="4"/>
      <c r="D80" s="4"/>
      <c r="E80" s="17"/>
      <c r="F80" s="17"/>
      <c r="G80" s="16"/>
      <c r="H80" s="4"/>
      <c r="I80" s="4"/>
    </row>
    <row r="81" spans="1:9">
      <c r="A81" s="32"/>
      <c r="B81" s="14"/>
      <c r="C81" s="4"/>
      <c r="D81" s="4"/>
      <c r="E81" s="17"/>
      <c r="F81" s="17"/>
      <c r="G81" s="16"/>
      <c r="H81" s="4"/>
      <c r="I81" s="4"/>
    </row>
    <row r="82" spans="1:9">
      <c r="A82" s="32"/>
      <c r="B82" s="14"/>
      <c r="C82" s="4"/>
      <c r="D82" s="4"/>
      <c r="E82" s="17"/>
      <c r="F82" s="17"/>
      <c r="G82" s="16"/>
      <c r="H82" s="4"/>
      <c r="I82" s="4"/>
    </row>
    <row r="83" spans="1:9">
      <c r="A83" s="32"/>
      <c r="B83" s="14"/>
      <c r="C83" s="4"/>
      <c r="D83" s="4"/>
      <c r="E83" s="17"/>
      <c r="F83" s="17"/>
      <c r="G83" s="16"/>
      <c r="H83" s="4"/>
      <c r="I83" s="4"/>
    </row>
    <row r="84" spans="1:9">
      <c r="A84" s="32"/>
      <c r="B84" s="14"/>
      <c r="C84" s="4"/>
      <c r="D84" s="4"/>
      <c r="E84" s="17"/>
      <c r="F84" s="17"/>
      <c r="G84" s="16"/>
      <c r="H84" s="4"/>
      <c r="I84" s="4"/>
    </row>
    <row r="85" spans="1:9">
      <c r="A85" s="32"/>
      <c r="B85" s="14"/>
      <c r="C85" s="4"/>
      <c r="D85" s="4"/>
      <c r="E85" s="17"/>
      <c r="F85" s="17"/>
      <c r="G85" s="16"/>
      <c r="H85" s="4"/>
      <c r="I85" s="4"/>
    </row>
    <row r="86" spans="1:9">
      <c r="A86" s="33"/>
      <c r="B86" s="14"/>
      <c r="C86" s="4"/>
      <c r="D86" s="4"/>
      <c r="E86" s="17"/>
      <c r="F86" s="17"/>
      <c r="G86" s="16"/>
      <c r="H86" s="4"/>
      <c r="I86" s="4"/>
    </row>
    <row r="87" spans="1:9">
      <c r="A87" s="32"/>
      <c r="B87" s="14"/>
      <c r="C87" s="4"/>
      <c r="D87" s="4"/>
      <c r="E87" s="17"/>
      <c r="F87" s="17"/>
      <c r="G87" s="16"/>
      <c r="H87" s="4"/>
      <c r="I87" s="4"/>
    </row>
    <row r="88" spans="1:9">
      <c r="A88" s="32"/>
      <c r="B88" s="14"/>
      <c r="C88" s="4"/>
      <c r="D88" s="4"/>
      <c r="E88" s="17"/>
      <c r="F88" s="17"/>
      <c r="G88" s="16"/>
      <c r="H88" s="4"/>
      <c r="I88" s="4"/>
    </row>
    <row r="89" spans="1:9">
      <c r="A89" s="32"/>
      <c r="B89" s="14"/>
      <c r="C89" s="4"/>
      <c r="D89" s="4"/>
      <c r="E89" s="17"/>
      <c r="F89" s="17"/>
      <c r="G89" s="16"/>
      <c r="H89" s="4"/>
      <c r="I89" s="4"/>
    </row>
    <row r="90" spans="1:9">
      <c r="A90" s="32"/>
      <c r="B90" s="14"/>
      <c r="C90" s="4"/>
      <c r="D90" s="4"/>
      <c r="E90" s="17"/>
      <c r="F90" s="17"/>
      <c r="G90" s="16"/>
      <c r="H90" s="4"/>
      <c r="I90" s="4"/>
    </row>
    <row r="91" spans="1:9">
      <c r="A91" s="32"/>
      <c r="B91" s="14"/>
      <c r="C91" s="4"/>
      <c r="D91" s="4"/>
      <c r="E91" s="17"/>
      <c r="F91" s="17"/>
      <c r="G91" s="16"/>
      <c r="H91" s="4"/>
      <c r="I91" s="4"/>
    </row>
    <row r="92" spans="1:9">
      <c r="A92" s="32"/>
      <c r="B92" s="14"/>
      <c r="C92" s="4"/>
      <c r="D92" s="4"/>
      <c r="E92" s="17"/>
      <c r="F92" s="17"/>
      <c r="G92" s="16"/>
      <c r="H92" s="4"/>
      <c r="I92" s="4"/>
    </row>
    <row r="93" spans="1:9">
      <c r="A93" s="33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2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2"/>
      <c r="B97" s="14"/>
      <c r="C97" s="4"/>
      <c r="D97" s="4"/>
      <c r="E97" s="17"/>
      <c r="F97" s="17"/>
      <c r="G97" s="16"/>
      <c r="H97" s="4"/>
      <c r="I97" s="4"/>
    </row>
    <row r="98" spans="1:9">
      <c r="A98" s="32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3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2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2"/>
      <c r="B104" s="14"/>
      <c r="C104" s="4"/>
      <c r="D104" s="4"/>
      <c r="E104" s="17"/>
      <c r="F104" s="17"/>
      <c r="G104" s="16"/>
      <c r="H104" s="4"/>
      <c r="I104" s="4"/>
    </row>
    <row r="105" spans="1:9">
      <c r="A105" s="32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3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2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2"/>
      <c r="B111" s="14"/>
      <c r="C111" s="4"/>
      <c r="D111" s="4"/>
      <c r="E111" s="17"/>
      <c r="F111" s="17"/>
      <c r="G111" s="16"/>
      <c r="H111" s="4"/>
      <c r="I111" s="4"/>
    </row>
    <row r="112" spans="1:9">
      <c r="A112" s="32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3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2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2"/>
      <c r="B118" s="14"/>
      <c r="C118" s="4"/>
      <c r="D118" s="4"/>
      <c r="E118" s="17"/>
      <c r="F118" s="17"/>
      <c r="G118" s="16"/>
      <c r="H118" s="4"/>
      <c r="I118" s="4"/>
    </row>
    <row r="119" spans="1:9">
      <c r="A119" s="32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3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2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2"/>
      <c r="B125" s="14"/>
      <c r="C125" s="4"/>
      <c r="D125" s="4"/>
      <c r="E125" s="17"/>
      <c r="F125" s="17"/>
      <c r="G125" s="16"/>
      <c r="H125" s="4"/>
      <c r="I125" s="4"/>
    </row>
    <row r="126" spans="1:9">
      <c r="A126" s="32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3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2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2"/>
      <c r="B132" s="14"/>
      <c r="C132" s="4"/>
      <c r="D132" s="4"/>
      <c r="E132" s="17"/>
      <c r="F132" s="17"/>
      <c r="G132" s="16"/>
      <c r="H132" s="4"/>
      <c r="I132" s="4"/>
    </row>
    <row r="133" spans="1:9">
      <c r="A133" s="32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3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2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2"/>
      <c r="B139" s="14"/>
      <c r="C139" s="4"/>
      <c r="D139" s="4"/>
      <c r="E139" s="17"/>
      <c r="F139" s="17"/>
      <c r="G139" s="16"/>
      <c r="H139" s="4"/>
      <c r="I139" s="4"/>
    </row>
    <row r="140" spans="1:9">
      <c r="A140" s="32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3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2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2"/>
      <c r="B146" s="14"/>
      <c r="C146" s="4"/>
      <c r="D146" s="4"/>
      <c r="E146" s="17"/>
      <c r="F146" s="17"/>
      <c r="G146" s="16"/>
      <c r="H146" s="4"/>
      <c r="I146" s="4"/>
    </row>
    <row r="147" spans="1:9">
      <c r="A147" s="32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3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2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2"/>
      <c r="B153" s="14"/>
      <c r="C153" s="4"/>
      <c r="D153" s="4"/>
      <c r="E153" s="17"/>
      <c r="F153" s="17"/>
      <c r="G153" s="16"/>
      <c r="H153" s="4"/>
      <c r="I153" s="4"/>
    </row>
    <row r="154" spans="1:9">
      <c r="A154" s="32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3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2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2"/>
      <c r="B160" s="14"/>
      <c r="C160" s="4"/>
      <c r="D160" s="4"/>
      <c r="E160" s="17"/>
      <c r="F160" s="17"/>
      <c r="G160" s="16"/>
      <c r="H160" s="4"/>
      <c r="I160" s="4"/>
    </row>
    <row r="161" spans="1:9">
      <c r="A161" s="32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3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2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2"/>
      <c r="B167" s="14"/>
      <c r="C167" s="4"/>
      <c r="D167" s="4"/>
      <c r="E167" s="17"/>
      <c r="F167" s="17"/>
      <c r="G167" s="16"/>
      <c r="H167" s="4"/>
      <c r="I167" s="4"/>
    </row>
    <row r="168" spans="1:9">
      <c r="A168" s="32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3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2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2"/>
      <c r="B174" s="14"/>
      <c r="C174" s="4"/>
      <c r="D174" s="4"/>
      <c r="E174" s="17"/>
      <c r="F174" s="17"/>
      <c r="G174" s="16"/>
      <c r="H174" s="4"/>
      <c r="I174" s="4"/>
    </row>
    <row r="175" spans="1:9">
      <c r="A175" s="32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3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2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2"/>
      <c r="B181" s="14"/>
      <c r="C181" s="4"/>
      <c r="D181" s="4"/>
      <c r="E181" s="17"/>
      <c r="F181" s="17"/>
      <c r="G181" s="16"/>
      <c r="H181" s="4"/>
      <c r="I181" s="4"/>
    </row>
    <row r="182" spans="1:9">
      <c r="A182" s="32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3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2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2"/>
      <c r="B188" s="14"/>
      <c r="C188" s="4"/>
      <c r="D188" s="4"/>
      <c r="E188" s="17"/>
      <c r="F188" s="17"/>
      <c r="G188" s="16"/>
      <c r="H188" s="4"/>
      <c r="I188" s="4"/>
    </row>
    <row r="189" spans="1:9">
      <c r="A189" s="32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3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2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2"/>
      <c r="B195" s="14"/>
      <c r="C195" s="4"/>
      <c r="D195" s="4"/>
      <c r="E195" s="17"/>
      <c r="F195" s="17"/>
      <c r="G195" s="16"/>
      <c r="H195" s="4"/>
      <c r="I195" s="4"/>
    </row>
    <row r="196" spans="1:9">
      <c r="A196" s="32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3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2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2"/>
      <c r="B202" s="14"/>
      <c r="C202" s="4"/>
      <c r="D202" s="4"/>
      <c r="E202" s="17"/>
      <c r="F202" s="17"/>
      <c r="G202" s="16"/>
      <c r="H202" s="4"/>
      <c r="I202" s="4"/>
    </row>
    <row r="203" spans="1:9">
      <c r="A203" s="32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3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2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2"/>
      <c r="B209" s="14"/>
      <c r="C209" s="4"/>
      <c r="D209" s="4"/>
      <c r="E209" s="17"/>
      <c r="F209" s="17"/>
      <c r="G209" s="16"/>
      <c r="H209" s="4"/>
      <c r="I209" s="4"/>
    </row>
    <row r="210" spans="1:9">
      <c r="A210" s="32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3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2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2"/>
      <c r="B216" s="14"/>
      <c r="C216" s="4"/>
      <c r="D216" s="4"/>
      <c r="E216" s="17"/>
      <c r="F216" s="17"/>
      <c r="G216" s="16"/>
      <c r="H216" s="4"/>
      <c r="I216" s="4"/>
    </row>
    <row r="217" spans="1:9">
      <c r="A217" s="32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3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2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2"/>
      <c r="B223" s="14"/>
      <c r="C223" s="4"/>
      <c r="D223" s="4"/>
      <c r="E223" s="17"/>
      <c r="F223" s="17"/>
      <c r="G223" s="16"/>
      <c r="H223" s="4"/>
      <c r="I223" s="4"/>
    </row>
    <row r="224" spans="1:9">
      <c r="A224" s="32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3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2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2"/>
      <c r="B230" s="14"/>
      <c r="C230" s="4"/>
      <c r="D230" s="4"/>
      <c r="E230" s="17"/>
      <c r="F230" s="17"/>
      <c r="G230" s="16"/>
      <c r="H230" s="4"/>
      <c r="I230" s="4"/>
    </row>
    <row r="231" spans="1:9">
      <c r="A231" s="32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3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2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2"/>
      <c r="B237" s="14"/>
      <c r="C237" s="4"/>
      <c r="D237" s="4"/>
      <c r="E237" s="17"/>
      <c r="F237" s="17"/>
      <c r="G237" s="16"/>
      <c r="H237" s="4"/>
      <c r="I237" s="4"/>
    </row>
    <row r="238" spans="1:9">
      <c r="A238" s="32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3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2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2"/>
      <c r="B244" s="14"/>
      <c r="C244" s="4"/>
      <c r="D244" s="4"/>
      <c r="E244" s="17"/>
      <c r="F244" s="17"/>
      <c r="G244" s="16"/>
      <c r="H244" s="4"/>
      <c r="I244" s="4"/>
    </row>
    <row r="245" spans="1:9">
      <c r="A245" s="32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3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2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2"/>
      <c r="B251" s="14"/>
      <c r="C251" s="4"/>
      <c r="D251" s="4"/>
      <c r="E251" s="17"/>
      <c r="F251" s="17"/>
      <c r="G251" s="16"/>
      <c r="H251" s="4"/>
      <c r="I251" s="4"/>
    </row>
    <row r="252" spans="1:9">
      <c r="A252" s="32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3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2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2"/>
      <c r="B258" s="14"/>
      <c r="C258" s="4"/>
      <c r="D258" s="4"/>
      <c r="E258" s="17"/>
      <c r="F258" s="17"/>
      <c r="G258" s="16"/>
      <c r="H258" s="4"/>
      <c r="I258" s="4"/>
    </row>
    <row r="259" spans="1:9">
      <c r="A259" s="32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3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2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2"/>
      <c r="B265" s="14"/>
      <c r="C265" s="4"/>
      <c r="D265" s="4"/>
      <c r="E265" s="17"/>
      <c r="F265" s="17"/>
      <c r="G265" s="16"/>
      <c r="H265" s="4"/>
      <c r="I265" s="4"/>
    </row>
    <row r="266" spans="1:9">
      <c r="A266" s="32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3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2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2"/>
      <c r="B272" s="14"/>
      <c r="C272" s="4"/>
      <c r="D272" s="4"/>
      <c r="E272" s="17"/>
      <c r="F272" s="17"/>
      <c r="G272" s="16"/>
      <c r="H272" s="4"/>
      <c r="I272" s="4"/>
    </row>
    <row r="273" spans="1:9">
      <c r="A273" s="32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3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2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2"/>
      <c r="B279" s="14"/>
      <c r="C279" s="4"/>
      <c r="D279" s="4"/>
      <c r="E279" s="17"/>
      <c r="F279" s="17"/>
      <c r="G279" s="16"/>
      <c r="H279" s="4"/>
      <c r="I279" s="4"/>
    </row>
    <row r="280" spans="1:9">
      <c r="A280" s="32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3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2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2"/>
      <c r="B286" s="14"/>
      <c r="C286" s="4"/>
      <c r="D286" s="4"/>
      <c r="E286" s="17"/>
      <c r="F286" s="17"/>
      <c r="G286" s="16"/>
      <c r="H286" s="4"/>
      <c r="I286" s="4"/>
    </row>
    <row r="287" spans="1:9">
      <c r="A287" s="32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3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2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2"/>
      <c r="B293" s="14"/>
      <c r="C293" s="4"/>
      <c r="D293" s="4"/>
      <c r="E293" s="17"/>
      <c r="F293" s="17"/>
      <c r="G293" s="16"/>
      <c r="H293" s="4"/>
      <c r="I293" s="4"/>
    </row>
    <row r="294" spans="1:9">
      <c r="A294" s="32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3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2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2"/>
      <c r="B300" s="14"/>
      <c r="C300" s="4"/>
      <c r="D300" s="4"/>
      <c r="E300" s="17"/>
      <c r="F300" s="17"/>
      <c r="G300" s="16"/>
      <c r="H300" s="4"/>
      <c r="I300" s="4"/>
    </row>
    <row r="301" spans="1:9">
      <c r="A301" s="32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3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2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2"/>
      <c r="B307" s="14"/>
      <c r="C307" s="4"/>
      <c r="D307" s="4"/>
      <c r="E307" s="17"/>
      <c r="F307" s="17"/>
      <c r="G307" s="16"/>
      <c r="H307" s="4"/>
      <c r="I307" s="4"/>
    </row>
    <row r="308" spans="1:9">
      <c r="A308" s="32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3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2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2"/>
      <c r="B314" s="14"/>
      <c r="C314" s="4"/>
      <c r="D314" s="4"/>
      <c r="E314" s="17"/>
      <c r="F314" s="17"/>
      <c r="G314" s="16"/>
      <c r="H314" s="4"/>
      <c r="I314" s="4"/>
    </row>
    <row r="315" spans="1:9">
      <c r="A315" s="32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3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2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2"/>
      <c r="B321" s="14"/>
      <c r="C321" s="4"/>
      <c r="D321" s="4"/>
      <c r="E321" s="17"/>
      <c r="F321" s="17"/>
      <c r="G321" s="16"/>
      <c r="H321" s="4"/>
      <c r="I321" s="4"/>
    </row>
    <row r="322" spans="1:9">
      <c r="A322" s="32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3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2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2"/>
      <c r="B328" s="14"/>
      <c r="C328" s="4"/>
      <c r="D328" s="4"/>
      <c r="E328" s="17"/>
      <c r="F328" s="17"/>
      <c r="G328" s="16"/>
      <c r="H328" s="4"/>
      <c r="I328" s="4"/>
    </row>
    <row r="329" spans="1:9">
      <c r="A329" s="32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3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2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2"/>
      <c r="B335" s="14"/>
      <c r="C335" s="4"/>
      <c r="D335" s="4"/>
      <c r="E335" s="17"/>
      <c r="F335" s="17"/>
      <c r="G335" s="16"/>
      <c r="H335" s="4"/>
      <c r="I335" s="4"/>
    </row>
    <row r="336" spans="1:9">
      <c r="A336" s="32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3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2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2"/>
      <c r="B342" s="14"/>
      <c r="C342" s="4"/>
      <c r="D342" s="4"/>
      <c r="E342" s="17"/>
      <c r="F342" s="17"/>
      <c r="G342" s="16"/>
      <c r="H342" s="4"/>
      <c r="I342" s="4"/>
    </row>
    <row r="343" spans="1:9">
      <c r="A343" s="32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3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2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2"/>
      <c r="B349" s="14"/>
      <c r="C349" s="4"/>
      <c r="D349" s="4"/>
      <c r="E349" s="17"/>
      <c r="F349" s="17"/>
      <c r="G349" s="16"/>
      <c r="H349" s="4"/>
      <c r="I349" s="4"/>
    </row>
    <row r="350" spans="1:9">
      <c r="A350" s="32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3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2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2"/>
      <c r="B356" s="14"/>
      <c r="C356" s="4"/>
      <c r="D356" s="4"/>
      <c r="E356" s="17"/>
      <c r="F356" s="17"/>
      <c r="G356" s="16"/>
      <c r="H356" s="4"/>
      <c r="I356" s="4"/>
    </row>
    <row r="357" spans="1:9">
      <c r="A357" s="32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3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2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2"/>
      <c r="B363" s="14"/>
      <c r="C363" s="4"/>
      <c r="D363" s="4"/>
      <c r="E363" s="17"/>
      <c r="F363" s="17"/>
      <c r="G363" s="16"/>
      <c r="H363" s="4"/>
      <c r="I363" s="4"/>
    </row>
    <row r="364" spans="1:9">
      <c r="A364" s="32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3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2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2"/>
      <c r="B370" s="14"/>
      <c r="C370" s="4"/>
      <c r="D370" s="4"/>
      <c r="E370" s="17"/>
      <c r="F370" s="17"/>
      <c r="G370" s="16"/>
      <c r="H370" s="4"/>
      <c r="I370" s="4"/>
    </row>
    <row r="371" spans="1:9">
      <c r="A371" s="32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3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2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2"/>
      <c r="B377" s="14"/>
      <c r="C377" s="4"/>
      <c r="D377" s="4"/>
      <c r="E377" s="17"/>
      <c r="F377" s="17"/>
      <c r="G377" s="16"/>
      <c r="H377" s="4"/>
      <c r="I377" s="4"/>
    </row>
    <row r="378" spans="1:9">
      <c r="A378" s="32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3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2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2"/>
      <c r="B384" s="14"/>
      <c r="C384" s="4"/>
      <c r="D384" s="4"/>
      <c r="E384" s="17"/>
      <c r="F384" s="17"/>
      <c r="G384" s="16"/>
      <c r="H384" s="4"/>
      <c r="I384" s="4"/>
    </row>
    <row r="385" spans="1:9">
      <c r="A385" s="32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3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2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2"/>
      <c r="B391" s="14"/>
      <c r="C391" s="4"/>
      <c r="D391" s="4"/>
      <c r="E391" s="17"/>
      <c r="F391" s="17"/>
      <c r="G391" s="16"/>
      <c r="H391" s="4"/>
      <c r="I391" s="4"/>
    </row>
    <row r="392" spans="1:9">
      <c r="A392" s="32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3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2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2"/>
      <c r="B398" s="14"/>
      <c r="C398" s="4"/>
      <c r="D398" s="4"/>
      <c r="E398" s="17"/>
      <c r="F398" s="17"/>
      <c r="G398" s="16"/>
      <c r="H398" s="4"/>
      <c r="I398" s="4"/>
    </row>
    <row r="399" spans="1:9">
      <c r="A399" s="32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3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2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2"/>
      <c r="B405" s="14"/>
      <c r="C405" s="4"/>
      <c r="D405" s="4"/>
      <c r="E405" s="17"/>
      <c r="F405" s="17"/>
      <c r="G405" s="16"/>
      <c r="H405" s="4"/>
      <c r="I405" s="4"/>
    </row>
    <row r="406" spans="1:9">
      <c r="A406" s="32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3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2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2"/>
      <c r="B412" s="14"/>
      <c r="C412" s="4"/>
      <c r="D412" s="4"/>
      <c r="E412" s="17"/>
      <c r="F412" s="17"/>
      <c r="G412" s="16"/>
      <c r="H412" s="4"/>
      <c r="I412" s="4"/>
    </row>
    <row r="413" spans="1:9">
      <c r="A413" s="32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3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2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2"/>
      <c r="B419" s="14"/>
      <c r="C419" s="4"/>
      <c r="D419" s="4"/>
      <c r="E419" s="17"/>
      <c r="F419" s="17"/>
      <c r="G419" s="16"/>
      <c r="H419" s="4"/>
      <c r="I419" s="4"/>
    </row>
    <row r="420" spans="1:9">
      <c r="A420" s="32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3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2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2"/>
      <c r="B426" s="14"/>
      <c r="C426" s="4"/>
      <c r="D426" s="4"/>
      <c r="E426" s="17"/>
      <c r="F426" s="17"/>
      <c r="G426" s="16"/>
      <c r="H426" s="4"/>
      <c r="I426" s="4"/>
    </row>
    <row r="427" spans="1:9">
      <c r="A427" s="32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3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2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2"/>
      <c r="B433" s="14"/>
      <c r="C433" s="4"/>
      <c r="D433" s="4"/>
      <c r="E433" s="17"/>
      <c r="F433" s="17"/>
      <c r="G433" s="16"/>
      <c r="H433" s="4"/>
      <c r="I433" s="4"/>
    </row>
    <row r="434" spans="1:9">
      <c r="A434" s="32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3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2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2"/>
      <c r="B440" s="14"/>
      <c r="C440" s="4"/>
      <c r="D440" s="4"/>
      <c r="E440" s="17"/>
      <c r="F440" s="17"/>
      <c r="G440" s="16"/>
      <c r="H440" s="4"/>
      <c r="I440" s="4"/>
    </row>
    <row r="441" spans="1:9">
      <c r="A441" s="32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3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2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2"/>
      <c r="B447" s="14"/>
      <c r="C447" s="4"/>
      <c r="D447" s="4"/>
      <c r="E447" s="17"/>
      <c r="F447" s="17"/>
      <c r="G447" s="16"/>
      <c r="H447" s="4"/>
      <c r="I447" s="4"/>
    </row>
    <row r="448" spans="1:9">
      <c r="A448" s="32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3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2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2"/>
      <c r="B454" s="14"/>
      <c r="C454" s="4"/>
      <c r="D454" s="4"/>
      <c r="E454" s="17"/>
      <c r="F454" s="17"/>
      <c r="G454" s="16"/>
      <c r="H454" s="4"/>
      <c r="I454" s="4"/>
    </row>
    <row r="455" spans="1:9">
      <c r="A455" s="32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3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2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2"/>
      <c r="B461" s="14"/>
      <c r="C461" s="4"/>
      <c r="D461" s="4"/>
      <c r="E461" s="17"/>
      <c r="F461" s="17"/>
      <c r="G461" s="16"/>
      <c r="H461" s="4"/>
      <c r="I461" s="4"/>
    </row>
    <row r="462" spans="1:9">
      <c r="A462" s="32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3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2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2"/>
      <c r="B468" s="14"/>
      <c r="C468" s="4"/>
      <c r="D468" s="4"/>
      <c r="E468" s="17"/>
      <c r="F468" s="17"/>
      <c r="G468" s="16"/>
      <c r="H468" s="4"/>
      <c r="I468" s="4"/>
    </row>
    <row r="469" spans="1:9">
      <c r="A469" s="32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3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2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2"/>
      <c r="B475" s="14"/>
      <c r="C475" s="4"/>
      <c r="D475" s="4"/>
      <c r="E475" s="17"/>
      <c r="F475" s="17"/>
      <c r="G475" s="16"/>
      <c r="H475" s="4"/>
      <c r="I475" s="4"/>
    </row>
    <row r="476" spans="1:9">
      <c r="A476" s="32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3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2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2"/>
      <c r="B482" s="14"/>
      <c r="C482" s="4"/>
      <c r="D482" s="4"/>
      <c r="E482" s="17"/>
      <c r="F482" s="17"/>
      <c r="G482" s="16"/>
      <c r="H482" s="4"/>
      <c r="I482" s="4"/>
    </row>
    <row r="483" spans="1:9">
      <c r="A483" s="32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3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2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2"/>
      <c r="B489" s="14"/>
      <c r="C489" s="4"/>
      <c r="D489" s="4"/>
      <c r="E489" s="17"/>
      <c r="F489" s="17"/>
      <c r="G489" s="16"/>
      <c r="H489" s="4"/>
      <c r="I489" s="4"/>
    </row>
    <row r="490" spans="1:9">
      <c r="A490" s="32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3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2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2"/>
      <c r="B496" s="14"/>
      <c r="C496" s="4"/>
      <c r="D496" s="4"/>
      <c r="E496" s="17"/>
      <c r="F496" s="17"/>
      <c r="G496" s="16"/>
      <c r="H496" s="4"/>
      <c r="I496" s="4"/>
    </row>
    <row r="497" spans="1:9">
      <c r="A497" s="32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3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2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2"/>
      <c r="B503" s="14"/>
      <c r="C503" s="4"/>
      <c r="D503" s="4"/>
      <c r="E503" s="17"/>
      <c r="F503" s="17"/>
      <c r="G503" s="16"/>
      <c r="H503" s="4"/>
      <c r="I503" s="4"/>
    </row>
    <row r="504" spans="1:9">
      <c r="A504" s="32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3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2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2"/>
      <c r="B510" s="14"/>
      <c r="C510" s="4"/>
      <c r="D510" s="4"/>
      <c r="E510" s="17"/>
      <c r="F510" s="17"/>
      <c r="G510" s="16"/>
      <c r="H510" s="4"/>
      <c r="I510" s="4"/>
    </row>
    <row r="511" spans="1:9">
      <c r="A511" s="32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3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2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2"/>
      <c r="B517" s="14"/>
      <c r="C517" s="4"/>
      <c r="D517" s="4"/>
      <c r="E517" s="17"/>
      <c r="F517" s="17"/>
      <c r="G517" s="16"/>
      <c r="H517" s="4"/>
      <c r="I517" s="4"/>
    </row>
    <row r="518" spans="1:9">
      <c r="A518" s="32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3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2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2"/>
      <c r="B524" s="14"/>
      <c r="C524" s="4"/>
      <c r="D524" s="4"/>
      <c r="E524" s="17"/>
      <c r="F524" s="17"/>
      <c r="G524" s="16"/>
      <c r="H524" s="4"/>
      <c r="I524" s="4"/>
    </row>
    <row r="525" spans="1:9">
      <c r="A525" s="32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3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2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2"/>
      <c r="B531" s="14"/>
      <c r="C531" s="4"/>
      <c r="D531" s="4"/>
      <c r="E531" s="17"/>
      <c r="F531" s="17"/>
      <c r="G531" s="16"/>
      <c r="H531" s="4"/>
      <c r="I531" s="4"/>
    </row>
    <row r="532" spans="1:9">
      <c r="A532" s="32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3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2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2"/>
      <c r="B538" s="14"/>
      <c r="C538" s="4"/>
      <c r="D538" s="4"/>
      <c r="E538" s="17"/>
      <c r="F538" s="17"/>
      <c r="G538" s="16"/>
      <c r="H538" s="4"/>
      <c r="I538" s="4"/>
    </row>
    <row r="539" spans="1:9">
      <c r="A539" s="32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3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2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2"/>
      <c r="B545" s="14"/>
      <c r="C545" s="4"/>
      <c r="D545" s="4"/>
      <c r="E545" s="17"/>
      <c r="F545" s="17"/>
      <c r="G545" s="16"/>
      <c r="H545" s="4"/>
      <c r="I545" s="4"/>
    </row>
    <row r="546" spans="1:9">
      <c r="A546" s="32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3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2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2"/>
      <c r="B552" s="14"/>
      <c r="C552" s="4"/>
      <c r="D552" s="4"/>
      <c r="E552" s="17"/>
      <c r="F552" s="17"/>
      <c r="G552" s="16"/>
      <c r="H552" s="4"/>
      <c r="I552" s="4"/>
    </row>
    <row r="553" spans="1:9">
      <c r="A553" s="32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3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2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2"/>
      <c r="B559" s="14"/>
      <c r="C559" s="4"/>
      <c r="D559" s="4"/>
      <c r="E559" s="17"/>
      <c r="F559" s="17"/>
      <c r="G559" s="16"/>
      <c r="H559" s="4"/>
      <c r="I559" s="4"/>
    </row>
    <row r="560" spans="1:9">
      <c r="A560" s="32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3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2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2"/>
      <c r="B566" s="14"/>
      <c r="C566" s="4"/>
      <c r="D566" s="4"/>
      <c r="E566" s="17"/>
      <c r="F566" s="17"/>
      <c r="G566" s="16"/>
      <c r="H566" s="4"/>
      <c r="I566" s="4"/>
    </row>
    <row r="567" spans="1:9">
      <c r="A567" s="32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3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2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2"/>
      <c r="B573" s="14"/>
      <c r="C573" s="4"/>
      <c r="D573" s="4"/>
      <c r="E573" s="17"/>
      <c r="F573" s="17"/>
      <c r="G573" s="16"/>
      <c r="H573" s="4"/>
      <c r="I573" s="4"/>
    </row>
    <row r="574" spans="1:9">
      <c r="A574" s="32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3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2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2"/>
      <c r="B580" s="14"/>
      <c r="C580" s="4"/>
      <c r="D580" s="4"/>
      <c r="E580" s="17"/>
      <c r="F580" s="17"/>
      <c r="G580" s="16"/>
      <c r="H580" s="4"/>
      <c r="I580" s="4"/>
    </row>
    <row r="581" spans="1:9">
      <c r="A581" s="32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3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2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2"/>
      <c r="B587" s="14"/>
      <c r="C587" s="4"/>
      <c r="D587" s="4"/>
      <c r="E587" s="17"/>
      <c r="F587" s="17"/>
      <c r="G587" s="16"/>
      <c r="H587" s="4"/>
      <c r="I587" s="4"/>
    </row>
    <row r="588" spans="1:9">
      <c r="A588" s="32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3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2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2"/>
      <c r="B594" s="14"/>
      <c r="C594" s="4"/>
      <c r="D594" s="4"/>
      <c r="E594" s="17"/>
      <c r="F594" s="17"/>
      <c r="G594" s="16"/>
      <c r="H594" s="4"/>
      <c r="I594" s="4"/>
    </row>
    <row r="595" spans="1:9">
      <c r="A595" s="32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3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2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2"/>
      <c r="B601" s="14"/>
      <c r="C601" s="4"/>
      <c r="D601" s="4"/>
      <c r="E601" s="17"/>
      <c r="F601" s="17"/>
      <c r="G601" s="16"/>
      <c r="H601" s="4"/>
      <c r="I601" s="4"/>
    </row>
    <row r="602" spans="1:9">
      <c r="A602" s="32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3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2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2"/>
      <c r="B608" s="14"/>
      <c r="C608" s="4"/>
      <c r="D608" s="4"/>
      <c r="E608" s="17"/>
      <c r="F608" s="17"/>
      <c r="G608" s="16"/>
      <c r="H608" s="4"/>
      <c r="I608" s="4"/>
    </row>
    <row r="609" spans="1:9">
      <c r="A609" s="32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3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2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2"/>
      <c r="B615" s="14"/>
      <c r="C615" s="4"/>
      <c r="D615" s="4"/>
      <c r="E615" s="17"/>
      <c r="F615" s="17"/>
      <c r="G615" s="16"/>
      <c r="H615" s="4"/>
      <c r="I615" s="4"/>
    </row>
    <row r="616" spans="1:9">
      <c r="A616" s="32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3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2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2"/>
      <c r="B622" s="14"/>
      <c r="C622" s="4"/>
      <c r="D622" s="4"/>
      <c r="E622" s="17"/>
      <c r="F622" s="17"/>
      <c r="G622" s="16"/>
      <c r="H622" s="4"/>
      <c r="I622" s="4"/>
    </row>
    <row r="623" spans="1:9">
      <c r="A623" s="32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3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2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2"/>
      <c r="B629" s="14"/>
      <c r="C629" s="4"/>
      <c r="D629" s="4"/>
      <c r="E629" s="17"/>
      <c r="F629" s="17"/>
      <c r="G629" s="16"/>
      <c r="H629" s="4"/>
      <c r="I629" s="4"/>
    </row>
    <row r="630" spans="1:9">
      <c r="A630" s="32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3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2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2"/>
      <c r="B636" s="14"/>
      <c r="C636" s="4"/>
      <c r="D636" s="4"/>
      <c r="E636" s="17"/>
      <c r="F636" s="17"/>
      <c r="G636" s="16"/>
      <c r="H636" s="4"/>
      <c r="I636" s="4"/>
    </row>
    <row r="637" spans="1:9">
      <c r="A637" s="32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3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2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2"/>
      <c r="B643" s="14"/>
      <c r="C643" s="4"/>
      <c r="D643" s="4"/>
      <c r="E643" s="17"/>
      <c r="F643" s="17"/>
      <c r="G643" s="16"/>
      <c r="H643" s="4"/>
      <c r="I643" s="4"/>
    </row>
    <row r="644" spans="1:9">
      <c r="A644" s="32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3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2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2"/>
      <c r="B650" s="14"/>
      <c r="C650" s="4"/>
      <c r="D650" s="4"/>
      <c r="E650" s="17"/>
      <c r="F650" s="17"/>
      <c r="G650" s="16"/>
      <c r="H650" s="4"/>
      <c r="I650" s="4"/>
    </row>
    <row r="651" spans="1:9">
      <c r="A651" s="32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3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2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2"/>
      <c r="B657" s="14"/>
      <c r="C657" s="4"/>
      <c r="D657" s="4"/>
      <c r="E657" s="17"/>
      <c r="F657" s="17"/>
      <c r="G657" s="16"/>
      <c r="H657" s="4"/>
      <c r="I657" s="4"/>
    </row>
    <row r="658" spans="1:9">
      <c r="A658" s="32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3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2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2"/>
      <c r="B664" s="14"/>
      <c r="C664" s="4"/>
      <c r="D664" s="4"/>
      <c r="E664" s="17"/>
      <c r="F664" s="17"/>
      <c r="G664" s="16"/>
      <c r="H664" s="4"/>
      <c r="I664" s="4"/>
    </row>
    <row r="665" spans="1:9">
      <c r="A665" s="32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3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2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2"/>
      <c r="B671" s="14"/>
      <c r="C671" s="4"/>
      <c r="D671" s="4"/>
      <c r="E671" s="17"/>
      <c r="F671" s="17"/>
      <c r="G671" s="16"/>
      <c r="H671" s="4"/>
      <c r="I671" s="4"/>
    </row>
    <row r="672" spans="1:9">
      <c r="A672" s="32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3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2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2"/>
      <c r="B678" s="14"/>
      <c r="C678" s="4"/>
      <c r="D678" s="4"/>
      <c r="E678" s="17"/>
      <c r="F678" s="17"/>
      <c r="G678" s="16"/>
      <c r="H678" s="4"/>
      <c r="I678" s="4"/>
    </row>
    <row r="679" spans="1:9">
      <c r="A679" s="32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3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2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2"/>
      <c r="B685" s="14"/>
      <c r="C685" s="4"/>
      <c r="D685" s="4"/>
      <c r="E685" s="17"/>
      <c r="F685" s="17"/>
      <c r="G685" s="16"/>
      <c r="H685" s="4"/>
      <c r="I685" s="4"/>
    </row>
    <row r="686" spans="1:9">
      <c r="A686" s="32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3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2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2"/>
      <c r="B692" s="14"/>
      <c r="C692" s="4"/>
      <c r="D692" s="4"/>
      <c r="E692" s="17"/>
      <c r="F692" s="17"/>
      <c r="G692" s="16"/>
      <c r="H692" s="4"/>
      <c r="I692" s="4"/>
    </row>
    <row r="693" spans="1:9">
      <c r="A693" s="32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3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2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2"/>
      <c r="B699" s="14"/>
      <c r="C699" s="4"/>
      <c r="D699" s="4"/>
      <c r="E699" s="17"/>
      <c r="F699" s="17"/>
      <c r="G699" s="16"/>
      <c r="H699" s="4"/>
      <c r="I699" s="4"/>
    </row>
    <row r="700" spans="1:9">
      <c r="A700" s="32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3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2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2"/>
      <c r="B706" s="14"/>
      <c r="C706" s="4"/>
      <c r="D706" s="4"/>
      <c r="E706" s="17"/>
      <c r="F706" s="17"/>
      <c r="G706" s="16"/>
      <c r="H706" s="4"/>
      <c r="I706" s="4"/>
    </row>
    <row r="707" spans="1:9">
      <c r="A707" s="32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3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2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2"/>
      <c r="B713" s="14"/>
      <c r="C713" s="4"/>
      <c r="D713" s="4"/>
      <c r="E713" s="17"/>
      <c r="F713" s="17"/>
      <c r="G713" s="16"/>
      <c r="H713" s="4"/>
      <c r="I713" s="4"/>
    </row>
    <row r="714" spans="1:9">
      <c r="A714" s="32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3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2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2"/>
      <c r="B720" s="14"/>
      <c r="C720" s="4"/>
      <c r="D720" s="4"/>
      <c r="E720" s="17"/>
      <c r="F720" s="17"/>
      <c r="G720" s="16"/>
      <c r="H720" s="4"/>
      <c r="I720" s="4"/>
    </row>
    <row r="721" spans="1:9">
      <c r="A721" s="32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3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2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2"/>
      <c r="B727" s="14"/>
      <c r="C727" s="4"/>
      <c r="D727" s="4"/>
      <c r="E727" s="17"/>
      <c r="F727" s="17"/>
      <c r="G727" s="16"/>
      <c r="H727" s="4"/>
      <c r="I727" s="4"/>
    </row>
    <row r="728" spans="1:9">
      <c r="A728" s="32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3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2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2"/>
      <c r="B734" s="14"/>
      <c r="C734" s="4"/>
      <c r="D734" s="4"/>
      <c r="E734" s="17"/>
      <c r="F734" s="17"/>
      <c r="G734" s="16"/>
      <c r="H734" s="4"/>
      <c r="I734" s="4"/>
    </row>
    <row r="735" spans="1:9">
      <c r="A735" s="32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3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2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2"/>
      <c r="B741" s="14"/>
      <c r="C741" s="4"/>
      <c r="D741" s="4"/>
      <c r="E741" s="17"/>
      <c r="F741" s="17"/>
      <c r="G741" s="16"/>
      <c r="H741" s="4"/>
      <c r="I741" s="4"/>
    </row>
    <row r="742" spans="1:9">
      <c r="A742" s="32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3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2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2"/>
      <c r="B748" s="14"/>
      <c r="C748" s="4"/>
      <c r="D748" s="4"/>
      <c r="E748" s="17"/>
      <c r="F748" s="17"/>
      <c r="G748" s="16"/>
      <c r="H748" s="4"/>
      <c r="I748" s="4"/>
    </row>
    <row r="749" spans="1:9">
      <c r="A749" s="32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3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2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2"/>
      <c r="B755" s="14"/>
      <c r="C755" s="4"/>
      <c r="D755" s="4"/>
      <c r="E755" s="17"/>
      <c r="F755" s="17"/>
      <c r="G755" s="16"/>
      <c r="H755" s="4"/>
      <c r="I755" s="4"/>
    </row>
    <row r="756" spans="1:9">
      <c r="A756" s="32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3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2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2"/>
      <c r="B762" s="14"/>
      <c r="C762" s="4"/>
      <c r="D762" s="4"/>
      <c r="E762" s="17"/>
      <c r="F762" s="17"/>
      <c r="G762" s="16"/>
      <c r="H762" s="4"/>
      <c r="I762" s="4"/>
    </row>
    <row r="763" spans="1:9">
      <c r="A763" s="32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3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2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2"/>
      <c r="B769" s="14"/>
      <c r="C769" s="4"/>
      <c r="D769" s="4"/>
      <c r="E769" s="17"/>
      <c r="F769" s="17"/>
      <c r="G769" s="16"/>
      <c r="H769" s="4"/>
      <c r="I769" s="4"/>
    </row>
    <row r="770" spans="1:9">
      <c r="A770" s="32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3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2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2"/>
      <c r="B776" s="14"/>
      <c r="C776" s="4"/>
      <c r="D776" s="4"/>
      <c r="E776" s="17"/>
      <c r="F776" s="17"/>
      <c r="G776" s="16"/>
      <c r="H776" s="4"/>
      <c r="I776" s="4"/>
    </row>
    <row r="777" spans="1:9">
      <c r="A777" s="32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3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2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2"/>
      <c r="B783" s="14"/>
      <c r="C783" s="4"/>
      <c r="D783" s="4"/>
      <c r="E783" s="17"/>
      <c r="F783" s="17"/>
      <c r="G783" s="16"/>
      <c r="H783" s="4"/>
      <c r="I783" s="4"/>
    </row>
    <row r="784" spans="1:9">
      <c r="A784" s="32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3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2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2"/>
      <c r="B790" s="14"/>
      <c r="C790" s="4"/>
      <c r="D790" s="4"/>
      <c r="E790" s="17"/>
      <c r="F790" s="17"/>
      <c r="G790" s="16"/>
      <c r="H790" s="4"/>
      <c r="I790" s="4"/>
    </row>
    <row r="791" spans="1:9">
      <c r="A791" s="32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3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2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2"/>
      <c r="B797" s="14"/>
      <c r="C797" s="4"/>
      <c r="D797" s="4"/>
      <c r="E797" s="17"/>
      <c r="F797" s="17"/>
      <c r="G797" s="16"/>
      <c r="H797" s="4"/>
      <c r="I797" s="4"/>
    </row>
    <row r="798" spans="1:9">
      <c r="A798" s="32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3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2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2"/>
      <c r="B804" s="14"/>
      <c r="C804" s="4"/>
      <c r="D804" s="4"/>
      <c r="E804" s="17"/>
      <c r="F804" s="17"/>
      <c r="G804" s="16"/>
      <c r="H804" s="4"/>
      <c r="I804" s="4"/>
    </row>
    <row r="805" spans="1:9">
      <c r="A805" s="32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3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2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2"/>
      <c r="B811" s="14"/>
      <c r="C811" s="4"/>
      <c r="D811" s="4"/>
      <c r="E811" s="17"/>
      <c r="F811" s="17"/>
      <c r="G811" s="16"/>
      <c r="H811" s="4"/>
      <c r="I811" s="4"/>
    </row>
    <row r="812" spans="1:9">
      <c r="A812" s="32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3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2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2"/>
      <c r="B818" s="14"/>
      <c r="C818" s="4"/>
      <c r="D818" s="4"/>
      <c r="E818" s="17"/>
      <c r="F818" s="17"/>
      <c r="G818" s="16"/>
      <c r="H818" s="4"/>
      <c r="I818" s="4"/>
    </row>
    <row r="819" spans="1:9">
      <c r="A819" s="32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3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2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2"/>
      <c r="B825" s="14"/>
      <c r="C825" s="4"/>
      <c r="D825" s="4"/>
      <c r="E825" s="17"/>
      <c r="F825" s="17"/>
      <c r="G825" s="16"/>
      <c r="H825" s="4"/>
      <c r="I825" s="4"/>
    </row>
    <row r="826" spans="1:9">
      <c r="A826" s="32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3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2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2"/>
      <c r="B832" s="14"/>
      <c r="C832" s="4"/>
      <c r="D832" s="4"/>
      <c r="E832" s="17"/>
      <c r="F832" s="17"/>
      <c r="G832" s="16"/>
      <c r="H832" s="4"/>
      <c r="I832" s="4"/>
    </row>
    <row r="833" spans="1:9">
      <c r="A833" s="32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3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2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2"/>
      <c r="B839" s="14"/>
      <c r="C839" s="4"/>
      <c r="D839" s="4"/>
      <c r="E839" s="17"/>
      <c r="F839" s="17"/>
      <c r="G839" s="16"/>
      <c r="H839" s="4"/>
      <c r="I839" s="4"/>
    </row>
    <row r="840" spans="1:9">
      <c r="A840" s="32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3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2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2"/>
      <c r="B846" s="14"/>
      <c r="C846" s="4"/>
      <c r="D846" s="4"/>
      <c r="E846" s="17"/>
      <c r="F846" s="17"/>
      <c r="G846" s="16"/>
      <c r="H846" s="4"/>
      <c r="I846" s="4"/>
    </row>
    <row r="847" spans="1:9">
      <c r="A847" s="32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3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2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2"/>
      <c r="B853" s="14"/>
      <c r="C853" s="4"/>
      <c r="D853" s="4"/>
      <c r="E853" s="17"/>
      <c r="F853" s="17"/>
      <c r="G853" s="16"/>
      <c r="H853" s="4"/>
      <c r="I853" s="4"/>
    </row>
    <row r="854" spans="1:9">
      <c r="A854" s="32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3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2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2"/>
      <c r="B860" s="14"/>
      <c r="C860" s="4"/>
      <c r="D860" s="4"/>
      <c r="E860" s="17"/>
      <c r="F860" s="17"/>
      <c r="G860" s="16"/>
      <c r="H860" s="4"/>
      <c r="I860" s="4"/>
    </row>
    <row r="861" spans="1:9">
      <c r="A861" s="32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3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2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2"/>
      <c r="B867" s="14"/>
      <c r="C867" s="4"/>
      <c r="D867" s="4"/>
      <c r="E867" s="17"/>
      <c r="F867" s="17"/>
      <c r="G867" s="16"/>
      <c r="H867" s="4"/>
      <c r="I867" s="4"/>
    </row>
    <row r="868" spans="1:9">
      <c r="A868" s="32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3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2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2"/>
      <c r="B874" s="14"/>
      <c r="C874" s="4"/>
      <c r="D874" s="4"/>
      <c r="E874" s="17"/>
      <c r="F874" s="17"/>
      <c r="G874" s="16"/>
      <c r="H874" s="4"/>
      <c r="I874" s="4"/>
    </row>
    <row r="875" spans="1:9">
      <c r="A875" s="32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3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2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2"/>
      <c r="B881" s="14"/>
      <c r="C881" s="4"/>
      <c r="D881" s="4"/>
      <c r="E881" s="17"/>
      <c r="F881" s="17"/>
      <c r="G881" s="16"/>
      <c r="H881" s="4"/>
      <c r="I881" s="4"/>
    </row>
    <row r="882" spans="1:9">
      <c r="A882" s="32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3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2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2"/>
      <c r="B888" s="14"/>
      <c r="C888" s="4"/>
      <c r="D888" s="4"/>
      <c r="E888" s="17"/>
      <c r="F888" s="17"/>
      <c r="G888" s="16"/>
      <c r="H888" s="4"/>
      <c r="I888" s="4"/>
    </row>
    <row r="889" spans="1:9">
      <c r="A889" s="32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3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2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2"/>
      <c r="B895" s="14"/>
      <c r="C895" s="4"/>
      <c r="D895" s="4"/>
      <c r="E895" s="17"/>
      <c r="F895" s="17"/>
      <c r="G895" s="16"/>
      <c r="H895" s="4"/>
      <c r="I895" s="4"/>
    </row>
    <row r="896" spans="1:9">
      <c r="A896" s="32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3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2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2"/>
      <c r="B902" s="14"/>
      <c r="C902" s="4"/>
      <c r="D902" s="4"/>
      <c r="E902" s="17"/>
      <c r="F902" s="17"/>
      <c r="G902" s="16"/>
      <c r="H902" s="4"/>
      <c r="I902" s="4"/>
    </row>
    <row r="903" spans="1:9">
      <c r="A903" s="32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3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2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2"/>
      <c r="B909" s="14"/>
      <c r="C909" s="4"/>
      <c r="D909" s="4"/>
      <c r="E909" s="17"/>
      <c r="F909" s="17"/>
      <c r="G909" s="16"/>
      <c r="H909" s="4"/>
      <c r="I909" s="4"/>
    </row>
    <row r="910" spans="1:9">
      <c r="A910" s="32"/>
      <c r="B910" s="14"/>
      <c r="C910" s="4"/>
      <c r="D910" s="4"/>
      <c r="E910" s="17"/>
      <c r="F910" s="17"/>
      <c r="G910" s="16"/>
      <c r="H910" s="4"/>
      <c r="I910" s="4"/>
    </row>
    <row r="911" spans="1:9">
      <c r="A911" s="32"/>
      <c r="B911" s="14"/>
      <c r="C911" s="4"/>
      <c r="D911" s="4"/>
      <c r="E911" s="17"/>
      <c r="F911" s="17"/>
      <c r="G911" s="16"/>
      <c r="H911" s="4"/>
      <c r="I911" s="4"/>
    </row>
    <row r="912" spans="1:9">
      <c r="A912" s="33"/>
      <c r="B912" s="14"/>
      <c r="C912" s="4"/>
      <c r="D912" s="4"/>
      <c r="E912" s="17"/>
      <c r="F912" s="17"/>
      <c r="G912" s="16"/>
      <c r="H912" s="4"/>
      <c r="I912" s="4"/>
    </row>
    <row r="913" spans="1:9">
      <c r="A913" s="32"/>
      <c r="B913" s="14"/>
      <c r="C913" s="4"/>
      <c r="D913" s="4"/>
      <c r="E913" s="17"/>
      <c r="F913" s="17"/>
      <c r="G913" s="16"/>
      <c r="H913" s="4"/>
      <c r="I913" s="4"/>
    </row>
    <row r="914" spans="1:9">
      <c r="A914" s="32"/>
      <c r="B914" s="14"/>
      <c r="C914" s="4"/>
      <c r="D914" s="4"/>
      <c r="E914" s="17"/>
      <c r="F914" s="17"/>
      <c r="G914" s="16"/>
      <c r="H914" s="4"/>
      <c r="I914" s="4"/>
    </row>
    <row r="915" spans="1:9">
      <c r="A915" s="32"/>
      <c r="B915" s="14"/>
      <c r="C915" s="4"/>
      <c r="D915" s="4"/>
      <c r="E915" s="17"/>
      <c r="F915" s="17"/>
      <c r="G915" s="16"/>
      <c r="H915" s="4"/>
      <c r="I915" s="4"/>
    </row>
    <row r="916" spans="1:9">
      <c r="A916" s="32"/>
      <c r="B916" s="14"/>
      <c r="C916" s="4"/>
      <c r="D916" s="4"/>
      <c r="E916" s="17"/>
      <c r="F916" s="17"/>
      <c r="G916" s="16"/>
      <c r="H916" s="4"/>
      <c r="I916" s="4"/>
    </row>
    <row r="917" spans="1:9">
      <c r="A917" s="32"/>
      <c r="B917" s="14"/>
      <c r="C917" s="4"/>
      <c r="D917" s="4"/>
      <c r="E917" s="17"/>
      <c r="F917" s="17"/>
      <c r="G917" s="16"/>
      <c r="H917" s="4"/>
      <c r="I917" s="4"/>
    </row>
    <row r="918" spans="1:9">
      <c r="A918" s="32"/>
      <c r="B918" s="14"/>
      <c r="C918" s="4"/>
      <c r="D918" s="4"/>
      <c r="E918" s="17"/>
      <c r="F918" s="17"/>
      <c r="G918" s="16"/>
      <c r="H918" s="4"/>
      <c r="I918" s="4"/>
    </row>
    <row r="919" spans="1:9">
      <c r="A919" s="33"/>
      <c r="B919" s="14"/>
      <c r="C919" s="4"/>
      <c r="D919" s="4"/>
      <c r="E919" s="17"/>
      <c r="F919" s="17"/>
      <c r="G919" s="16"/>
      <c r="H919" s="4"/>
      <c r="I919" s="4"/>
    </row>
    <row r="920" spans="1:9">
      <c r="A920" s="32"/>
      <c r="B920" s="14"/>
      <c r="C920" s="4"/>
      <c r="D920" s="4"/>
      <c r="E920" s="17"/>
      <c r="F920" s="17"/>
      <c r="G920" s="16"/>
      <c r="H920" s="4"/>
      <c r="I920" s="4"/>
    </row>
    <row r="921" spans="1:9">
      <c r="A921" s="32"/>
      <c r="B921" s="14"/>
      <c r="C921" s="4"/>
      <c r="D921" s="4"/>
      <c r="E921" s="17"/>
      <c r="F921" s="17"/>
      <c r="G921" s="16"/>
      <c r="H921" s="4"/>
      <c r="I921" s="4"/>
    </row>
    <row r="922" spans="1:9">
      <c r="A922" s="32"/>
      <c r="B922" s="14"/>
      <c r="C922" s="4"/>
      <c r="D922" s="4"/>
      <c r="E922" s="17"/>
      <c r="F922" s="17"/>
      <c r="G922" s="16"/>
      <c r="H922" s="4"/>
      <c r="I922" s="4"/>
    </row>
    <row r="923" spans="1:9">
      <c r="A923" s="32"/>
      <c r="B923" s="14"/>
      <c r="C923" s="4"/>
      <c r="D923" s="4"/>
      <c r="E923" s="17"/>
      <c r="F923" s="17"/>
      <c r="G923" s="16"/>
      <c r="H923" s="4"/>
      <c r="I923" s="4"/>
    </row>
    <row r="924" spans="1:9">
      <c r="A924" s="32"/>
      <c r="B924" s="14"/>
      <c r="C924" s="4"/>
      <c r="D924" s="4"/>
      <c r="E924" s="17"/>
      <c r="F924" s="17"/>
      <c r="G924" s="16"/>
      <c r="H924" s="4"/>
      <c r="I924" s="4"/>
    </row>
    <row r="925" spans="1:9">
      <c r="A925" s="32"/>
      <c r="B925" s="14"/>
      <c r="C925" s="4"/>
      <c r="D925" s="4"/>
      <c r="E925" s="17"/>
      <c r="F925" s="17"/>
      <c r="G925" s="16"/>
      <c r="H925" s="4"/>
      <c r="I925" s="4"/>
    </row>
    <row r="926" spans="1:9">
      <c r="A926" s="33"/>
      <c r="B926" s="14"/>
      <c r="C926" s="4"/>
      <c r="D926" s="4"/>
      <c r="E926" s="17"/>
      <c r="F926" s="17"/>
      <c r="G926" s="16"/>
      <c r="H926" s="4"/>
      <c r="I926" s="4"/>
    </row>
    <row r="927" spans="1:9">
      <c r="A927" s="32"/>
      <c r="B927" s="14"/>
      <c r="C927" s="4"/>
      <c r="D927" s="4"/>
      <c r="E927" s="17"/>
      <c r="F927" s="17"/>
      <c r="G927" s="16"/>
      <c r="H927" s="4"/>
      <c r="I927" s="4"/>
    </row>
    <row r="928" spans="1:9">
      <c r="A928" s="32"/>
      <c r="B928" s="14"/>
      <c r="C928" s="4"/>
      <c r="D928" s="4"/>
      <c r="E928" s="17"/>
      <c r="F928" s="17"/>
      <c r="G928" s="16"/>
      <c r="H928" s="4"/>
      <c r="I928" s="4"/>
    </row>
    <row r="929" spans="1:9">
      <c r="A929" s="32"/>
      <c r="B929" s="14"/>
      <c r="C929" s="4"/>
      <c r="D929" s="4"/>
      <c r="E929" s="17"/>
      <c r="F929" s="17"/>
      <c r="G929" s="16"/>
      <c r="H929" s="4"/>
      <c r="I929" s="4"/>
    </row>
    <row r="930" spans="1:9">
      <c r="A930" s="32"/>
      <c r="B930" s="14"/>
      <c r="C930" s="4"/>
      <c r="D930" s="4"/>
      <c r="E930" s="17"/>
      <c r="F930" s="17"/>
      <c r="G930" s="16"/>
      <c r="H930" s="4"/>
      <c r="I930" s="4"/>
    </row>
    <row r="931" spans="1:9">
      <c r="A931" s="32"/>
      <c r="B931" s="14"/>
      <c r="C931" s="4"/>
      <c r="D931" s="4"/>
      <c r="E931" s="17"/>
      <c r="F931" s="17"/>
      <c r="G931" s="16"/>
      <c r="H931" s="4"/>
      <c r="I931" s="4"/>
    </row>
    <row r="932" spans="1:9">
      <c r="A932" s="32"/>
      <c r="B932" s="14"/>
      <c r="C932" s="4"/>
      <c r="D932" s="4"/>
      <c r="E932" s="17"/>
      <c r="F932" s="17"/>
      <c r="G932" s="16"/>
      <c r="H932" s="4"/>
      <c r="I932" s="4"/>
    </row>
    <row r="933" spans="1:9">
      <c r="A933" s="33"/>
      <c r="B933" s="14"/>
      <c r="C933" s="4"/>
      <c r="D933" s="4"/>
      <c r="E933" s="17"/>
      <c r="F933" s="17"/>
      <c r="G933" s="16"/>
      <c r="H933" s="4"/>
      <c r="I933" s="4"/>
    </row>
    <row r="934" spans="1:9">
      <c r="A934" s="32"/>
      <c r="B934" s="14"/>
      <c r="C934" s="4"/>
      <c r="D934" s="4"/>
      <c r="E934" s="17"/>
      <c r="F934" s="17"/>
      <c r="G934" s="16"/>
      <c r="H934" s="4"/>
      <c r="I934" s="4"/>
    </row>
    <row r="935" spans="1:9">
      <c r="A935" s="32"/>
      <c r="B935" s="14"/>
      <c r="C935" s="4"/>
      <c r="D935" s="4"/>
      <c r="E935" s="17"/>
      <c r="F935" s="17"/>
      <c r="G935" s="16"/>
      <c r="H935" s="4"/>
      <c r="I935" s="4"/>
    </row>
    <row r="936" spans="1:9">
      <c r="A936" s="32"/>
      <c r="B936" s="14"/>
      <c r="C936" s="4"/>
      <c r="D936" s="4"/>
      <c r="E936" s="17"/>
      <c r="F936" s="17"/>
      <c r="G936" s="16"/>
      <c r="H936" s="4"/>
      <c r="I936" s="4"/>
    </row>
    <row r="937" spans="1:9">
      <c r="A937" s="32"/>
      <c r="B937" s="14"/>
      <c r="C937" s="4"/>
      <c r="D937" s="4"/>
      <c r="E937" s="17"/>
      <c r="F937" s="17"/>
      <c r="G937" s="16"/>
      <c r="H937" s="4"/>
      <c r="I937" s="4"/>
    </row>
    <row r="938" spans="1:9">
      <c r="A938" s="32"/>
      <c r="B938" s="14"/>
      <c r="C938" s="4"/>
      <c r="D938" s="4"/>
      <c r="E938" s="17"/>
      <c r="F938" s="17"/>
      <c r="G938" s="16"/>
      <c r="H938" s="4"/>
      <c r="I938" s="4"/>
    </row>
    <row r="939" spans="1:9">
      <c r="A939" s="32"/>
      <c r="B939" s="14"/>
      <c r="C939" s="4"/>
      <c r="D939" s="4"/>
      <c r="E939" s="17"/>
      <c r="F939" s="17"/>
      <c r="G939" s="16"/>
      <c r="H939" s="4"/>
      <c r="I939" s="4"/>
    </row>
    <row r="940" spans="1:9">
      <c r="A940" s="33"/>
      <c r="B940" s="14"/>
      <c r="C940" s="4"/>
      <c r="D940" s="4"/>
      <c r="E940" s="17"/>
      <c r="F940" s="17"/>
      <c r="G940" s="16"/>
      <c r="H940" s="4"/>
      <c r="I940" s="4"/>
    </row>
    <row r="941" spans="1:9">
      <c r="A941" s="32"/>
      <c r="B941" s="14"/>
      <c r="C941" s="4"/>
      <c r="D941" s="4"/>
      <c r="E941" s="17"/>
      <c r="F941" s="17"/>
      <c r="G941" s="16"/>
      <c r="H941" s="4"/>
      <c r="I941" s="4"/>
    </row>
    <row r="942" spans="1:9">
      <c r="A942" s="32"/>
      <c r="B942" s="14"/>
      <c r="C942" s="4"/>
      <c r="D942" s="4"/>
      <c r="E942" s="17"/>
      <c r="F942" s="17"/>
      <c r="G942" s="16"/>
      <c r="H942" s="4"/>
      <c r="I942" s="4"/>
    </row>
    <row r="943" spans="1:9">
      <c r="A943" s="32"/>
      <c r="B943" s="14"/>
      <c r="C943" s="4"/>
      <c r="D943" s="4"/>
      <c r="E943" s="17"/>
      <c r="F943" s="17"/>
      <c r="G943" s="16"/>
      <c r="H943" s="4"/>
      <c r="I943" s="4"/>
    </row>
    <row r="944" spans="1:9">
      <c r="A944" s="32"/>
      <c r="B944" s="14"/>
      <c r="C944" s="4"/>
      <c r="D944" s="4"/>
      <c r="E944" s="17"/>
      <c r="F944" s="17"/>
      <c r="G944" s="16"/>
      <c r="H944" s="4"/>
      <c r="I944" s="4"/>
    </row>
    <row r="945" spans="1:9">
      <c r="A945" s="32"/>
      <c r="B945" s="14"/>
      <c r="C945" s="4"/>
      <c r="D945" s="4"/>
      <c r="E945" s="17"/>
      <c r="F945" s="17"/>
      <c r="G945" s="16"/>
      <c r="H945" s="4"/>
      <c r="I945" s="4"/>
    </row>
    <row r="946" spans="1:9">
      <c r="A946" s="32"/>
      <c r="B946" s="14"/>
      <c r="C946" s="4"/>
      <c r="D946" s="4"/>
      <c r="E946" s="17"/>
      <c r="F946" s="17"/>
      <c r="G946" s="16"/>
      <c r="H946" s="4"/>
      <c r="I946" s="4"/>
    </row>
    <row r="947" spans="1:9">
      <c r="A947" s="33"/>
      <c r="B947" s="14"/>
      <c r="C947" s="4"/>
      <c r="D947" s="4"/>
      <c r="E947" s="17"/>
      <c r="F947" s="17"/>
      <c r="G947" s="16"/>
      <c r="H947" s="4"/>
      <c r="I947" s="4"/>
    </row>
    <row r="948" spans="1:9">
      <c r="A948" s="32"/>
      <c r="B948" s="14"/>
      <c r="C948" s="4"/>
      <c r="D948" s="4"/>
      <c r="E948" s="17"/>
      <c r="F948" s="17"/>
      <c r="G948" s="16"/>
      <c r="H948" s="4"/>
      <c r="I948" s="4"/>
    </row>
  </sheetData>
  <autoFilter ref="A1:K1"/>
  <pageMargins left="0.7" right="0.7" top="0.75" bottom="0.75" header="0.3" footer="0.3"/>
  <pageSetup paperSize="9"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L14"/>
  <sheetViews>
    <sheetView topLeftCell="E1" zoomScale="90" zoomScaleNormal="90" workbookViewId="0">
      <selection activeCell="A12" sqref="A12"/>
    </sheetView>
  </sheetViews>
  <sheetFormatPr defaultRowHeight="15"/>
  <cols>
    <col min="2" max="2" width="10.42578125" bestFit="1" customWidth="1"/>
    <col min="3" max="3" width="38.5703125" bestFit="1" customWidth="1"/>
    <col min="4" max="4" width="62.140625" bestFit="1" customWidth="1"/>
    <col min="5" max="5" width="30.7109375" customWidth="1"/>
    <col min="6" max="6" width="37.28515625" bestFit="1" customWidth="1"/>
    <col min="7" max="7" width="13.85546875" customWidth="1"/>
    <col min="9" max="9" width="8.85546875" customWidth="1"/>
    <col min="10" max="10" width="12.85546875" bestFit="1" customWidth="1"/>
    <col min="11" max="11" width="5.5703125" bestFit="1" customWidth="1"/>
    <col min="12" max="12" width="12.7109375" bestFit="1" customWidth="1"/>
  </cols>
  <sheetData>
    <row r="2" spans="2:12">
      <c r="B2" s="6" t="s">
        <v>20</v>
      </c>
      <c r="C2" s="6" t="s">
        <v>0</v>
      </c>
      <c r="D2" s="6" t="s">
        <v>21</v>
      </c>
      <c r="E2" s="6"/>
      <c r="F2" s="6"/>
      <c r="G2" s="6" t="s">
        <v>19</v>
      </c>
      <c r="H2" s="6" t="s">
        <v>22</v>
      </c>
      <c r="I2" s="6" t="s">
        <v>23</v>
      </c>
      <c r="J2" s="9" t="s">
        <v>24</v>
      </c>
      <c r="K2" s="9"/>
      <c r="L2" s="9" t="s">
        <v>25</v>
      </c>
    </row>
    <row r="3" spans="2:12">
      <c r="B3" s="4" t="s">
        <v>10</v>
      </c>
      <c r="C3" s="4" t="s">
        <v>3</v>
      </c>
      <c r="D3" s="4" t="s">
        <v>9</v>
      </c>
      <c r="E3" s="4"/>
      <c r="F3" s="4"/>
      <c r="G3" s="4" t="s">
        <v>16</v>
      </c>
      <c r="H3" s="7">
        <v>3</v>
      </c>
      <c r="I3" s="8">
        <v>1</v>
      </c>
      <c r="J3" s="8">
        <f>+I3</f>
        <v>1</v>
      </c>
      <c r="K3" s="5">
        <f>+J3/$J$7*100</f>
        <v>6.8965517241379306</v>
      </c>
      <c r="L3" s="5">
        <f>K3</f>
        <v>6.8965517241379306</v>
      </c>
    </row>
    <row r="4" spans="2:12">
      <c r="B4" s="4" t="s">
        <v>5</v>
      </c>
      <c r="C4" s="4" t="s">
        <v>7</v>
      </c>
      <c r="D4" s="4" t="s">
        <v>4</v>
      </c>
      <c r="E4" s="4"/>
      <c r="F4" s="4"/>
      <c r="G4" s="4" t="s">
        <v>15</v>
      </c>
      <c r="H4" s="7">
        <v>3</v>
      </c>
      <c r="I4" s="8">
        <v>1.5</v>
      </c>
      <c r="J4" s="8">
        <f>+J3+I4</f>
        <v>2.5</v>
      </c>
      <c r="K4" s="5">
        <f>+J4/J7*100</f>
        <v>17.241379310344829</v>
      </c>
      <c r="L4" s="5">
        <f>+L3+K4</f>
        <v>24.137931034482762</v>
      </c>
    </row>
    <row r="5" spans="2:12">
      <c r="B5" s="4" t="s">
        <v>5</v>
      </c>
      <c r="C5" s="4" t="s">
        <v>3</v>
      </c>
      <c r="D5" s="4" t="s">
        <v>12</v>
      </c>
      <c r="E5" s="4"/>
      <c r="F5" s="4"/>
      <c r="G5" s="4" t="s">
        <v>17</v>
      </c>
      <c r="H5" s="7">
        <v>3</v>
      </c>
      <c r="I5" s="8">
        <v>1.75</v>
      </c>
      <c r="J5" s="8">
        <f>+J4+I5</f>
        <v>4.25</v>
      </c>
      <c r="K5" s="5">
        <f>+J5/J7*100</f>
        <v>29.310344827586203</v>
      </c>
      <c r="L5" s="5">
        <f>+L4+K5</f>
        <v>53.448275862068968</v>
      </c>
    </row>
    <row r="6" spans="2:12">
      <c r="B6" s="4" t="s">
        <v>8</v>
      </c>
      <c r="C6" s="4" t="s">
        <v>3</v>
      </c>
      <c r="D6" s="4" t="s">
        <v>9</v>
      </c>
      <c r="E6" s="4"/>
      <c r="F6" s="4"/>
      <c r="G6" s="4" t="s">
        <v>16</v>
      </c>
      <c r="H6" s="7">
        <v>3</v>
      </c>
      <c r="I6" s="8">
        <v>2.5</v>
      </c>
      <c r="J6" s="8">
        <f>+J5+I6</f>
        <v>6.75</v>
      </c>
      <c r="K6" s="5">
        <f>+J6/J7*100</f>
        <v>46.551724137931032</v>
      </c>
      <c r="L6" s="5">
        <f>+L5+K6</f>
        <v>100</v>
      </c>
    </row>
    <row r="7" spans="2:12">
      <c r="B7" s="1"/>
      <c r="C7" s="1"/>
      <c r="D7" s="1"/>
      <c r="E7" s="1"/>
      <c r="F7" s="1"/>
      <c r="G7" s="1"/>
      <c r="H7" s="1"/>
      <c r="I7" s="1"/>
      <c r="J7" s="2">
        <f>SUM(J3:J6)</f>
        <v>14.5</v>
      </c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11" spans="2:12">
      <c r="B11" s="34" t="s">
        <v>26</v>
      </c>
      <c r="C11" s="34" t="s">
        <v>1</v>
      </c>
      <c r="D11" s="35" t="s">
        <v>27</v>
      </c>
      <c r="E11" s="35" t="s">
        <v>101</v>
      </c>
      <c r="F11" s="6" t="s">
        <v>141</v>
      </c>
      <c r="G11" s="34" t="s">
        <v>28</v>
      </c>
      <c r="H11" s="3"/>
    </row>
    <row r="12" spans="2:12">
      <c r="B12" s="10">
        <v>1</v>
      </c>
      <c r="C12" s="74" t="s">
        <v>318</v>
      </c>
      <c r="D12" s="11" t="s">
        <v>319</v>
      </c>
      <c r="E12" s="11"/>
      <c r="F12" s="74"/>
      <c r="G12" s="8">
        <v>1</v>
      </c>
      <c r="H12" s="3"/>
    </row>
    <row r="13" spans="2:12">
      <c r="B13" s="10">
        <v>2</v>
      </c>
      <c r="C13" s="11" t="s">
        <v>312</v>
      </c>
      <c r="D13" s="11" t="s">
        <v>316</v>
      </c>
      <c r="E13" s="11"/>
      <c r="F13" s="74"/>
      <c r="G13" s="8">
        <v>0.5</v>
      </c>
      <c r="H13" s="3"/>
    </row>
    <row r="14" spans="2:12">
      <c r="B14" s="10">
        <v>3</v>
      </c>
      <c r="C14" s="74" t="s">
        <v>320</v>
      </c>
      <c r="D14" s="74" t="s">
        <v>321</v>
      </c>
      <c r="E14" s="74"/>
      <c r="F14" s="74"/>
      <c r="G14" s="8">
        <v>0.5</v>
      </c>
      <c r="H14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"/>
  <sheetViews>
    <sheetView zoomScaleNormal="100" workbookViewId="0">
      <selection activeCell="F22" sqref="F22"/>
    </sheetView>
  </sheetViews>
  <sheetFormatPr defaultRowHeight="15"/>
  <cols>
    <col min="2" max="2" width="13.85546875" customWidth="1"/>
    <col min="3" max="3" width="19" bestFit="1" customWidth="1"/>
    <col min="4" max="4" width="10.28515625" bestFit="1" customWidth="1"/>
    <col min="5" max="5" width="20.5703125" bestFit="1" customWidth="1"/>
    <col min="6" max="6" width="11" bestFit="1" customWidth="1"/>
    <col min="7" max="7" width="9.28515625" customWidth="1"/>
    <col min="8" max="9" width="9.140625" customWidth="1"/>
    <col min="11" max="12" width="9.140625" customWidth="1"/>
  </cols>
  <sheetData>
    <row r="1" spans="1:12">
      <c r="G1" s="24"/>
      <c r="H1" s="24"/>
      <c r="I1" s="24"/>
      <c r="J1" s="29"/>
      <c r="K1" s="29"/>
      <c r="L1" s="24"/>
    </row>
    <row r="2" spans="1:12">
      <c r="A2" s="3" t="s">
        <v>84</v>
      </c>
      <c r="B2" s="3" t="s">
        <v>88</v>
      </c>
      <c r="C2" s="3" t="s">
        <v>1</v>
      </c>
      <c r="D2" s="3" t="s">
        <v>85</v>
      </c>
      <c r="E2" s="3" t="s">
        <v>82</v>
      </c>
      <c r="F2" s="3" t="s">
        <v>83</v>
      </c>
      <c r="G2" s="25"/>
      <c r="H2" s="26"/>
      <c r="I2" s="27"/>
      <c r="J2" s="30"/>
      <c r="K2" s="30"/>
      <c r="L2" s="28"/>
    </row>
    <row r="3" spans="1:12">
      <c r="A3" s="3">
        <v>1</v>
      </c>
      <c r="B3" s="3" t="s">
        <v>74</v>
      </c>
      <c r="C3" s="3" t="s">
        <v>75</v>
      </c>
      <c r="D3" s="3">
        <v>30</v>
      </c>
      <c r="E3" s="3">
        <v>30</v>
      </c>
      <c r="F3" s="31">
        <f t="shared" ref="F3:F8" si="0">E3/$D$9</f>
        <v>0.2</v>
      </c>
      <c r="G3" s="25"/>
      <c r="H3" s="26"/>
      <c r="I3" s="27"/>
      <c r="J3" s="30"/>
      <c r="K3" s="30"/>
      <c r="L3" s="28"/>
    </row>
    <row r="4" spans="1:12">
      <c r="A4" s="3">
        <v>2</v>
      </c>
      <c r="B4" s="3" t="s">
        <v>74</v>
      </c>
      <c r="C4" s="3" t="s">
        <v>69</v>
      </c>
      <c r="D4" s="3">
        <v>30</v>
      </c>
      <c r="E4" s="3">
        <f>E3+D4</f>
        <v>60</v>
      </c>
      <c r="F4" s="31">
        <f t="shared" si="0"/>
        <v>0.4</v>
      </c>
      <c r="G4" s="25"/>
      <c r="H4" s="26"/>
      <c r="I4" s="27"/>
      <c r="J4" s="30"/>
      <c r="K4" s="30"/>
      <c r="L4" s="28"/>
    </row>
    <row r="5" spans="1:12">
      <c r="A5" s="3">
        <v>6</v>
      </c>
      <c r="B5" s="3" t="s">
        <v>78</v>
      </c>
      <c r="C5" s="3" t="s">
        <v>69</v>
      </c>
      <c r="D5" s="3">
        <v>30</v>
      </c>
      <c r="E5" s="3">
        <f>E4+D5</f>
        <v>90</v>
      </c>
      <c r="F5" s="31">
        <f t="shared" si="0"/>
        <v>0.6</v>
      </c>
      <c r="G5" s="25"/>
      <c r="H5" s="26"/>
      <c r="I5" s="27"/>
      <c r="J5" s="30"/>
      <c r="K5" s="30"/>
      <c r="L5" s="28"/>
    </row>
    <row r="6" spans="1:12">
      <c r="A6" s="3">
        <v>3</v>
      </c>
      <c r="B6" s="3" t="s">
        <v>71</v>
      </c>
      <c r="C6" s="3" t="s">
        <v>86</v>
      </c>
      <c r="D6" s="3">
        <v>25</v>
      </c>
      <c r="E6" s="3">
        <f>E5+D6</f>
        <v>115</v>
      </c>
      <c r="F6" s="31">
        <f t="shared" si="0"/>
        <v>0.76666666666666672</v>
      </c>
      <c r="G6" s="25"/>
      <c r="H6" s="26"/>
      <c r="I6" s="27"/>
      <c r="J6" s="30"/>
      <c r="K6" s="30"/>
      <c r="L6" s="28"/>
    </row>
    <row r="7" spans="1:12">
      <c r="A7" s="3">
        <v>4</v>
      </c>
      <c r="B7" s="3" t="s">
        <v>78</v>
      </c>
      <c r="C7" s="3" t="s">
        <v>87</v>
      </c>
      <c r="D7" s="3">
        <v>25</v>
      </c>
      <c r="E7" s="3">
        <f>E6+D7</f>
        <v>140</v>
      </c>
      <c r="F7" s="31">
        <f t="shared" si="0"/>
        <v>0.93333333333333335</v>
      </c>
      <c r="G7" s="25"/>
      <c r="H7" s="26"/>
      <c r="I7" s="27"/>
      <c r="J7" s="30"/>
      <c r="K7" s="30"/>
      <c r="L7" s="28"/>
    </row>
    <row r="8" spans="1:12">
      <c r="A8" s="3">
        <v>5</v>
      </c>
      <c r="B8" s="3" t="s">
        <v>68</v>
      </c>
      <c r="C8" s="3" t="s">
        <v>69</v>
      </c>
      <c r="D8" s="3">
        <v>10</v>
      </c>
      <c r="E8" s="3">
        <f>E7+D8</f>
        <v>150</v>
      </c>
      <c r="F8" s="31">
        <f t="shared" si="0"/>
        <v>1</v>
      </c>
      <c r="I8" s="23"/>
    </row>
    <row r="9" spans="1:12">
      <c r="A9" s="3"/>
      <c r="B9" s="3"/>
      <c r="C9" s="3"/>
      <c r="D9" s="3">
        <f>SUM(D3:D8)</f>
        <v>150</v>
      </c>
      <c r="E9" s="3"/>
      <c r="F9" s="3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22"/>
  <sheetViews>
    <sheetView workbookViewId="0">
      <selection activeCell="A12" sqref="A12"/>
    </sheetView>
  </sheetViews>
  <sheetFormatPr defaultColWidth="9.140625" defaultRowHeight="15"/>
  <cols>
    <col min="1" max="1" width="15.140625" style="1" customWidth="1"/>
    <col min="2" max="2" width="7.140625" style="1" customWidth="1"/>
    <col min="3" max="3" width="12.140625" style="1" bestFit="1" customWidth="1"/>
    <col min="4" max="4" width="39.28515625" style="1" customWidth="1"/>
    <col min="5" max="6" width="12.5703125" style="1" customWidth="1"/>
    <col min="7" max="7" width="19" style="1" customWidth="1"/>
    <col min="8" max="8" width="91.5703125" style="1" bestFit="1" customWidth="1"/>
    <col min="9" max="11" width="48" style="1" customWidth="1"/>
    <col min="12" max="16384" width="9.140625" style="1"/>
  </cols>
  <sheetData>
    <row r="1" spans="1:9" s="12" customFormat="1">
      <c r="A1" s="9" t="s">
        <v>20</v>
      </c>
      <c r="B1" s="9" t="s">
        <v>0</v>
      </c>
      <c r="C1" s="9" t="s">
        <v>21</v>
      </c>
      <c r="D1" s="9" t="s">
        <v>37</v>
      </c>
      <c r="E1" s="9" t="s">
        <v>32</v>
      </c>
      <c r="F1" s="12" t="s">
        <v>33</v>
      </c>
      <c r="G1" s="9" t="s">
        <v>30</v>
      </c>
      <c r="H1" s="9" t="s">
        <v>31</v>
      </c>
      <c r="I1" s="9" t="s">
        <v>101</v>
      </c>
    </row>
    <row r="2" spans="1:9">
      <c r="A2" s="65">
        <v>43164</v>
      </c>
      <c r="B2" s="14"/>
      <c r="C2" s="4"/>
      <c r="D2" s="4" t="s">
        <v>150</v>
      </c>
      <c r="E2" s="17">
        <v>0.35416666666666669</v>
      </c>
      <c r="F2" s="17">
        <v>0.375</v>
      </c>
      <c r="G2" s="16">
        <v>0.5</v>
      </c>
      <c r="H2" s="64" t="s">
        <v>154</v>
      </c>
      <c r="I2" s="4"/>
    </row>
    <row r="3" spans="1:9">
      <c r="A3" s="65">
        <v>43166</v>
      </c>
      <c r="B3" s="14"/>
      <c r="C3" s="4"/>
      <c r="D3" s="4" t="s">
        <v>151</v>
      </c>
      <c r="E3" s="17">
        <v>0.19791666666666666</v>
      </c>
      <c r="F3" s="17">
        <v>0.21527777777777779</v>
      </c>
      <c r="G3" s="16">
        <v>0.4</v>
      </c>
      <c r="H3" s="64" t="s">
        <v>155</v>
      </c>
      <c r="I3" s="4"/>
    </row>
    <row r="4" spans="1:9">
      <c r="A4" s="65">
        <v>43167</v>
      </c>
      <c r="B4" s="14"/>
      <c r="C4" s="4"/>
      <c r="D4" s="4" t="s">
        <v>152</v>
      </c>
      <c r="E4" s="17">
        <v>0.35416666666666669</v>
      </c>
      <c r="F4" s="17">
        <v>0.375</v>
      </c>
      <c r="G4" s="16">
        <v>0.5</v>
      </c>
      <c r="H4" s="64" t="s">
        <v>156</v>
      </c>
      <c r="I4" s="4"/>
    </row>
    <row r="5" spans="1:9">
      <c r="A5" s="65">
        <v>43168</v>
      </c>
      <c r="B5" s="14"/>
      <c r="C5" s="4"/>
      <c r="D5" s="4" t="s">
        <v>152</v>
      </c>
      <c r="E5" s="17">
        <v>0.25</v>
      </c>
      <c r="F5" s="17">
        <v>0.27083333333333331</v>
      </c>
      <c r="G5" s="16">
        <v>0.5</v>
      </c>
      <c r="H5" s="64" t="s">
        <v>157</v>
      </c>
      <c r="I5" s="4"/>
    </row>
    <row r="6" spans="1:9">
      <c r="A6" s="65">
        <v>43168</v>
      </c>
      <c r="B6" s="14"/>
      <c r="C6" s="4"/>
      <c r="D6" s="4" t="s">
        <v>153</v>
      </c>
      <c r="E6" s="17">
        <v>0.53125</v>
      </c>
      <c r="F6" s="17">
        <v>0.54166666666666663</v>
      </c>
      <c r="G6" s="16">
        <v>0.25</v>
      </c>
      <c r="H6" s="64" t="s">
        <v>158</v>
      </c>
      <c r="I6" s="4"/>
    </row>
    <row r="7" spans="1:9">
      <c r="A7" s="65">
        <v>43169</v>
      </c>
      <c r="B7" s="14"/>
      <c r="C7" s="4"/>
      <c r="D7" s="4" t="s">
        <v>151</v>
      </c>
      <c r="E7" s="17">
        <v>0.55902777777777779</v>
      </c>
      <c r="F7" s="17">
        <v>0.56597222222222221</v>
      </c>
      <c r="G7" s="16">
        <v>0.16</v>
      </c>
      <c r="H7" s="64" t="s">
        <v>159</v>
      </c>
      <c r="I7" s="4"/>
    </row>
    <row r="8" spans="1:9">
      <c r="A8" s="65">
        <v>43167</v>
      </c>
      <c r="B8" s="14"/>
      <c r="C8" s="4"/>
      <c r="D8" s="4" t="s">
        <v>152</v>
      </c>
      <c r="E8" s="17">
        <v>0.33333333333333331</v>
      </c>
      <c r="F8" s="17">
        <v>0.34722222222222227</v>
      </c>
      <c r="G8" s="16">
        <v>0.33334000000000003</v>
      </c>
      <c r="H8" s="64" t="s">
        <v>160</v>
      </c>
      <c r="I8" s="4"/>
    </row>
    <row r="9" spans="1:9">
      <c r="A9" s="32">
        <v>43175</v>
      </c>
      <c r="B9" s="14" t="s">
        <v>3</v>
      </c>
      <c r="C9" s="4" t="s">
        <v>89</v>
      </c>
      <c r="D9" s="4" t="s">
        <v>161</v>
      </c>
      <c r="E9" s="17">
        <v>0.27083333333333331</v>
      </c>
      <c r="F9" s="17">
        <v>0.29166666666666663</v>
      </c>
      <c r="G9" s="16">
        <v>0.5</v>
      </c>
      <c r="H9" s="4" t="s">
        <v>165</v>
      </c>
      <c r="I9" s="4"/>
    </row>
    <row r="10" spans="1:9">
      <c r="A10" s="32">
        <v>43171</v>
      </c>
      <c r="B10" s="14" t="s">
        <v>92</v>
      </c>
      <c r="C10" s="4" t="s">
        <v>89</v>
      </c>
      <c r="D10" s="4" t="s">
        <v>162</v>
      </c>
      <c r="E10" s="17">
        <v>0.96527777777777779</v>
      </c>
      <c r="F10" s="17">
        <v>0.97569444444444442</v>
      </c>
      <c r="G10" s="16">
        <v>0.25</v>
      </c>
      <c r="H10" s="4" t="s">
        <v>166</v>
      </c>
      <c r="I10" s="4"/>
    </row>
    <row r="11" spans="1:9">
      <c r="A11" s="32">
        <v>43171</v>
      </c>
      <c r="B11" s="14" t="s">
        <v>92</v>
      </c>
      <c r="C11" s="4" t="s">
        <v>89</v>
      </c>
      <c r="D11" s="4" t="s">
        <v>163</v>
      </c>
      <c r="E11" s="17">
        <v>6.9444444444444434E-2</v>
      </c>
      <c r="F11" s="17">
        <v>9.0277777777777762E-2</v>
      </c>
      <c r="G11" s="16">
        <v>0.5</v>
      </c>
      <c r="H11" s="4" t="s">
        <v>167</v>
      </c>
      <c r="I11" s="4"/>
    </row>
    <row r="12" spans="1:9">
      <c r="A12" s="32">
        <v>43174</v>
      </c>
      <c r="B12" s="14" t="s">
        <v>3</v>
      </c>
      <c r="C12" s="4" t="s">
        <v>89</v>
      </c>
      <c r="D12" s="4" t="s">
        <v>161</v>
      </c>
      <c r="E12" s="17">
        <v>0.33333333333333331</v>
      </c>
      <c r="F12" s="17">
        <v>0.34027916666666663</v>
      </c>
      <c r="G12" s="16">
        <v>0.16669999999999999</v>
      </c>
      <c r="H12" s="4" t="s">
        <v>168</v>
      </c>
      <c r="I12" s="4"/>
    </row>
    <row r="13" spans="1:9">
      <c r="A13" s="32">
        <v>43175</v>
      </c>
      <c r="B13" s="14" t="s">
        <v>7</v>
      </c>
      <c r="C13" s="4" t="s">
        <v>89</v>
      </c>
      <c r="D13" s="4" t="s">
        <v>161</v>
      </c>
      <c r="E13" s="17">
        <v>0.80555555555555547</v>
      </c>
      <c r="F13" s="17">
        <v>0.83333472222222216</v>
      </c>
      <c r="G13" s="16">
        <v>0.66669999999999996</v>
      </c>
      <c r="H13" s="4" t="s">
        <v>169</v>
      </c>
      <c r="I13" s="4"/>
    </row>
    <row r="14" spans="1:9">
      <c r="A14" s="32">
        <v>43171</v>
      </c>
      <c r="B14" s="14" t="s">
        <v>92</v>
      </c>
      <c r="C14" s="4" t="s">
        <v>89</v>
      </c>
      <c r="D14" s="4" t="s">
        <v>164</v>
      </c>
      <c r="E14" s="17">
        <v>0.17361111111111113</v>
      </c>
      <c r="F14" s="17">
        <v>0.19444444444444448</v>
      </c>
      <c r="G14" s="16">
        <v>0.5</v>
      </c>
      <c r="H14" s="4" t="s">
        <v>170</v>
      </c>
      <c r="I14" s="4"/>
    </row>
    <row r="15" spans="1:9">
      <c r="A15" s="65">
        <v>43179</v>
      </c>
      <c r="B15" s="14" t="s">
        <v>7</v>
      </c>
      <c r="C15" s="4" t="s">
        <v>89</v>
      </c>
      <c r="D15" s="4" t="s">
        <v>130</v>
      </c>
      <c r="E15" s="17">
        <v>0.60416666666666663</v>
      </c>
      <c r="F15" s="17">
        <v>0.625</v>
      </c>
      <c r="G15" s="16">
        <v>0.5</v>
      </c>
      <c r="H15" s="4" t="s">
        <v>174</v>
      </c>
      <c r="I15" s="4"/>
    </row>
    <row r="16" spans="1:9">
      <c r="A16" s="65">
        <v>43180</v>
      </c>
      <c r="B16" s="14" t="s">
        <v>3</v>
      </c>
      <c r="C16" s="4" t="s">
        <v>171</v>
      </c>
      <c r="D16" s="4" t="s">
        <v>150</v>
      </c>
      <c r="E16" s="17">
        <v>0.375</v>
      </c>
      <c r="F16" s="17">
        <v>0.39930555555555558</v>
      </c>
      <c r="G16" s="16">
        <v>0.58333333333333337</v>
      </c>
      <c r="H16" s="4" t="s">
        <v>175</v>
      </c>
      <c r="I16" s="4"/>
    </row>
    <row r="17" spans="1:9">
      <c r="A17" s="65">
        <v>43182</v>
      </c>
      <c r="B17" s="14" t="s">
        <v>92</v>
      </c>
      <c r="C17" s="4" t="s">
        <v>172</v>
      </c>
      <c r="D17" s="4" t="s">
        <v>173</v>
      </c>
      <c r="E17" s="17">
        <v>4.1666666666666664E-2</v>
      </c>
      <c r="F17" s="17">
        <v>5.2083333333333336E-2</v>
      </c>
      <c r="G17" s="16">
        <v>0.25</v>
      </c>
      <c r="H17" s="4" t="s">
        <v>176</v>
      </c>
      <c r="I17" s="4"/>
    </row>
    <row r="18" spans="1:9">
      <c r="A18" s="65">
        <v>43185</v>
      </c>
      <c r="B18" s="14" t="s">
        <v>3</v>
      </c>
      <c r="C18" s="4" t="s">
        <v>89</v>
      </c>
      <c r="D18" s="4" t="s">
        <v>173</v>
      </c>
      <c r="E18" s="17">
        <v>0.47916666666666669</v>
      </c>
      <c r="F18" s="17">
        <v>0.48958333333333331</v>
      </c>
      <c r="G18" s="16">
        <v>0.25</v>
      </c>
      <c r="H18" s="4" t="s">
        <v>179</v>
      </c>
      <c r="I18" s="4"/>
    </row>
    <row r="19" spans="1:9">
      <c r="A19" s="65">
        <v>43187</v>
      </c>
      <c r="B19" s="14" t="s">
        <v>3</v>
      </c>
      <c r="C19" s="4" t="s">
        <v>177</v>
      </c>
      <c r="D19" s="4" t="s">
        <v>178</v>
      </c>
      <c r="E19" s="17">
        <v>0.45833333333333331</v>
      </c>
      <c r="F19" s="17">
        <v>0.47916666666666669</v>
      </c>
      <c r="G19" s="16">
        <v>0.5</v>
      </c>
      <c r="H19" s="4" t="s">
        <v>180</v>
      </c>
      <c r="I19" s="4"/>
    </row>
    <row r="20" spans="1:9">
      <c r="A20" s="65">
        <v>43188</v>
      </c>
      <c r="B20" s="14" t="s">
        <v>3</v>
      </c>
      <c r="C20" s="4" t="s">
        <v>177</v>
      </c>
      <c r="D20" s="4" t="s">
        <v>178</v>
      </c>
      <c r="E20" s="17">
        <v>0.2638888888888889</v>
      </c>
      <c r="F20" s="17">
        <v>0.29166666666666669</v>
      </c>
      <c r="G20" s="16">
        <v>0.67</v>
      </c>
      <c r="H20" s="4" t="s">
        <v>181</v>
      </c>
      <c r="I20" s="4"/>
    </row>
    <row r="21" spans="1:9">
      <c r="A21" s="65">
        <v>43190</v>
      </c>
      <c r="B21" s="14" t="s">
        <v>7</v>
      </c>
      <c r="C21" s="4" t="s">
        <v>89</v>
      </c>
      <c r="D21" s="4" t="s">
        <v>173</v>
      </c>
      <c r="E21" s="17">
        <v>0.80555555555555547</v>
      </c>
      <c r="F21" s="17">
        <v>0.81805555555555554</v>
      </c>
      <c r="G21" s="16">
        <v>0.3</v>
      </c>
      <c r="H21" s="4" t="s">
        <v>182</v>
      </c>
      <c r="I21" s="4"/>
    </row>
    <row r="22" spans="1:9">
      <c r="A22" s="53">
        <v>43377</v>
      </c>
      <c r="B22" s="14" t="s">
        <v>7</v>
      </c>
      <c r="C22" s="4" t="s">
        <v>89</v>
      </c>
      <c r="D22" s="4" t="s">
        <v>130</v>
      </c>
      <c r="E22" s="17">
        <v>0.70833333333333337</v>
      </c>
      <c r="F22" s="17">
        <v>0.73611111111111116</v>
      </c>
      <c r="G22" s="16">
        <v>0.67</v>
      </c>
      <c r="H22" s="54" t="s">
        <v>183</v>
      </c>
      <c r="I22" s="36"/>
    </row>
    <row r="23" spans="1:9">
      <c r="A23" s="53">
        <v>43347</v>
      </c>
      <c r="B23" s="14" t="s">
        <v>3</v>
      </c>
      <c r="C23" s="4" t="s">
        <v>89</v>
      </c>
      <c r="D23" s="4" t="s">
        <v>184</v>
      </c>
      <c r="E23" s="17">
        <v>0.25694444444444448</v>
      </c>
      <c r="F23" s="17">
        <v>0.2986111111111111</v>
      </c>
      <c r="G23" s="16">
        <v>1</v>
      </c>
      <c r="H23" s="54" t="s">
        <v>185</v>
      </c>
      <c r="I23" s="36"/>
    </row>
    <row r="24" spans="1:9">
      <c r="A24" s="53">
        <v>43347</v>
      </c>
      <c r="B24" s="14" t="s">
        <v>7</v>
      </c>
      <c r="C24" s="4" t="s">
        <v>89</v>
      </c>
      <c r="D24" s="4" t="s">
        <v>186</v>
      </c>
      <c r="E24" s="17">
        <v>0.80555555555555547</v>
      </c>
      <c r="F24" s="17">
        <v>0.81944444444444453</v>
      </c>
      <c r="G24" s="16">
        <v>0.32</v>
      </c>
      <c r="H24" s="54" t="s">
        <v>187</v>
      </c>
      <c r="I24" s="36"/>
    </row>
    <row r="25" spans="1:9">
      <c r="A25" s="4" t="s">
        <v>188</v>
      </c>
      <c r="B25" s="14" t="s">
        <v>3</v>
      </c>
      <c r="C25" s="4" t="s">
        <v>89</v>
      </c>
      <c r="D25" s="4" t="s">
        <v>130</v>
      </c>
      <c r="E25" s="17">
        <v>0.35416666666666669</v>
      </c>
      <c r="F25" s="17">
        <v>0.38194444444444442</v>
      </c>
      <c r="G25" s="16">
        <f>40/60</f>
        <v>0.66666666666666663</v>
      </c>
      <c r="H25" s="4" t="s">
        <v>195</v>
      </c>
      <c r="I25" s="4"/>
    </row>
    <row r="26" spans="1:9">
      <c r="A26" s="4" t="s">
        <v>189</v>
      </c>
      <c r="B26" s="14" t="s">
        <v>7</v>
      </c>
      <c r="C26" s="4" t="s">
        <v>89</v>
      </c>
      <c r="D26" s="4" t="s">
        <v>130</v>
      </c>
      <c r="E26" s="17">
        <v>0.17361111111111113</v>
      </c>
      <c r="F26" s="17">
        <v>0.19097222222222221</v>
      </c>
      <c r="G26" s="16">
        <f>25/60</f>
        <v>0.41666666666666669</v>
      </c>
      <c r="H26" s="4" t="s">
        <v>196</v>
      </c>
      <c r="I26" s="4"/>
    </row>
    <row r="27" spans="1:9" ht="15.75" thickBot="1">
      <c r="A27" s="37" t="s">
        <v>190</v>
      </c>
      <c r="B27" s="38" t="s">
        <v>3</v>
      </c>
      <c r="C27" s="39" t="s">
        <v>89</v>
      </c>
      <c r="D27" s="39" t="s">
        <v>193</v>
      </c>
      <c r="E27" s="40">
        <v>0.45833333333333331</v>
      </c>
      <c r="F27" s="40">
        <v>0.49305555555555558</v>
      </c>
      <c r="G27" s="41">
        <f>50/60</f>
        <v>0.83333333333333337</v>
      </c>
      <c r="H27" s="39" t="s">
        <v>197</v>
      </c>
      <c r="I27" s="4"/>
    </row>
    <row r="28" spans="1:9">
      <c r="A28" s="47" t="s">
        <v>191</v>
      </c>
      <c r="B28" s="48" t="s">
        <v>3</v>
      </c>
      <c r="C28" s="49" t="s">
        <v>192</v>
      </c>
      <c r="D28" s="49" t="s">
        <v>178</v>
      </c>
      <c r="E28" s="50">
        <v>0.28125</v>
      </c>
      <c r="F28" s="50">
        <v>0.2986111111111111</v>
      </c>
      <c r="G28" s="51">
        <f>25/60</f>
        <v>0.41666666666666669</v>
      </c>
      <c r="H28" s="66" t="s">
        <v>198</v>
      </c>
      <c r="I28" s="36"/>
    </row>
    <row r="29" spans="1:9">
      <c r="A29" s="53" t="s">
        <v>191</v>
      </c>
      <c r="B29" s="14" t="s">
        <v>92</v>
      </c>
      <c r="C29" s="4" t="s">
        <v>89</v>
      </c>
      <c r="D29" s="4" t="s">
        <v>194</v>
      </c>
      <c r="E29" s="17">
        <v>0.95833333333333337</v>
      </c>
      <c r="F29" s="17">
        <v>0.97569444444444453</v>
      </c>
      <c r="G29" s="16">
        <f>25/60</f>
        <v>0.41666666666666669</v>
      </c>
      <c r="H29" s="54" t="s">
        <v>199</v>
      </c>
      <c r="I29" s="36"/>
    </row>
    <row r="30" spans="1:9">
      <c r="A30" s="53" t="s">
        <v>200</v>
      </c>
      <c r="B30" s="14" t="s">
        <v>3</v>
      </c>
      <c r="C30" s="4" t="s">
        <v>89</v>
      </c>
      <c r="D30" s="4" t="s">
        <v>151</v>
      </c>
      <c r="E30" s="17">
        <v>0.27430555555555552</v>
      </c>
      <c r="F30" s="17">
        <v>0.29166666666666669</v>
      </c>
      <c r="G30" s="16">
        <v>0.42</v>
      </c>
      <c r="H30" s="54" t="s">
        <v>204</v>
      </c>
      <c r="I30" s="36"/>
    </row>
    <row r="31" spans="1:9">
      <c r="A31" s="53" t="s">
        <v>201</v>
      </c>
      <c r="B31" s="14" t="s">
        <v>92</v>
      </c>
      <c r="C31" s="4" t="s">
        <v>89</v>
      </c>
      <c r="D31" s="4" t="s">
        <v>203</v>
      </c>
      <c r="E31" s="17">
        <v>0.16666666666666666</v>
      </c>
      <c r="F31" s="17">
        <v>0.25</v>
      </c>
      <c r="G31" s="16">
        <v>2</v>
      </c>
      <c r="H31" s="54" t="s">
        <v>205</v>
      </c>
      <c r="I31" s="36"/>
    </row>
    <row r="32" spans="1:9">
      <c r="A32" s="53" t="s">
        <v>202</v>
      </c>
      <c r="B32" s="14" t="s">
        <v>3</v>
      </c>
      <c r="C32" s="4" t="s">
        <v>89</v>
      </c>
      <c r="D32" s="4" t="s">
        <v>178</v>
      </c>
      <c r="E32" s="17">
        <v>0.5</v>
      </c>
      <c r="F32" s="17">
        <v>0.52777777777777779</v>
      </c>
      <c r="G32" s="16">
        <v>0.66666666666666663</v>
      </c>
      <c r="H32" s="54" t="s">
        <v>206</v>
      </c>
      <c r="I32" s="36"/>
    </row>
    <row r="33" spans="1:9">
      <c r="A33" s="53" t="s">
        <v>202</v>
      </c>
      <c r="B33" s="14" t="s">
        <v>92</v>
      </c>
      <c r="C33" s="4" t="s">
        <v>89</v>
      </c>
      <c r="D33" s="4" t="s">
        <v>151</v>
      </c>
      <c r="E33" s="17">
        <v>0.23611111111111113</v>
      </c>
      <c r="F33" s="17">
        <v>0.25</v>
      </c>
      <c r="G33" s="16">
        <v>0.33333333333333331</v>
      </c>
      <c r="H33" s="54" t="s">
        <v>207</v>
      </c>
      <c r="I33" s="36"/>
    </row>
    <row r="34" spans="1:9">
      <c r="A34" s="53">
        <v>43105</v>
      </c>
      <c r="B34" s="14" t="s">
        <v>7</v>
      </c>
      <c r="C34" s="4" t="s">
        <v>89</v>
      </c>
      <c r="D34" s="4" t="s">
        <v>194</v>
      </c>
      <c r="E34" s="17">
        <v>0.84722222222222221</v>
      </c>
      <c r="F34" s="17">
        <v>0.875</v>
      </c>
      <c r="G34" s="16">
        <v>0.66666666666666663</v>
      </c>
      <c r="H34" s="54" t="s">
        <v>210</v>
      </c>
      <c r="I34" s="36"/>
    </row>
    <row r="35" spans="1:9">
      <c r="A35" s="53">
        <v>43105</v>
      </c>
      <c r="B35" s="14" t="s">
        <v>7</v>
      </c>
      <c r="C35" s="4" t="s">
        <v>192</v>
      </c>
      <c r="D35" s="4" t="s">
        <v>209</v>
      </c>
      <c r="E35" s="17">
        <v>0.86805555555555547</v>
      </c>
      <c r="F35" s="17">
        <v>0.89583333333333337</v>
      </c>
      <c r="G35" s="16">
        <v>0.66666666666666663</v>
      </c>
      <c r="H35" s="54" t="s">
        <v>211</v>
      </c>
      <c r="I35" s="36"/>
    </row>
    <row r="36" spans="1:9">
      <c r="A36" s="53">
        <v>43164</v>
      </c>
      <c r="B36" s="14" t="s">
        <v>3</v>
      </c>
      <c r="C36" s="4" t="s">
        <v>89</v>
      </c>
      <c r="D36" s="4" t="s">
        <v>119</v>
      </c>
      <c r="E36" s="17">
        <v>0.2638888888888889</v>
      </c>
      <c r="F36" s="17">
        <v>0.27777777777777779</v>
      </c>
      <c r="G36" s="16">
        <v>0.33333333333333331</v>
      </c>
      <c r="H36" s="54" t="s">
        <v>212</v>
      </c>
      <c r="I36" s="36"/>
    </row>
    <row r="37" spans="1:9">
      <c r="A37" s="53">
        <v>43136</v>
      </c>
      <c r="B37" s="14" t="s">
        <v>7</v>
      </c>
      <c r="C37" s="4" t="s">
        <v>89</v>
      </c>
      <c r="D37" s="4" t="s">
        <v>151</v>
      </c>
      <c r="E37" s="17">
        <v>0.375</v>
      </c>
      <c r="F37" s="17">
        <v>0.3923611111111111</v>
      </c>
      <c r="G37" s="16">
        <v>0.41666666666666669</v>
      </c>
      <c r="H37" s="54" t="s">
        <v>213</v>
      </c>
      <c r="I37" s="36"/>
    </row>
    <row r="38" spans="1:9">
      <c r="A38" s="57">
        <v>43378</v>
      </c>
      <c r="B38" s="14" t="s">
        <v>92</v>
      </c>
      <c r="C38" s="4" t="s">
        <v>89</v>
      </c>
      <c r="D38" s="4" t="s">
        <v>194</v>
      </c>
      <c r="E38" s="17">
        <v>0.22916666666666666</v>
      </c>
      <c r="F38" s="17">
        <v>0.23958333333333334</v>
      </c>
      <c r="G38" s="16">
        <v>0.25</v>
      </c>
      <c r="H38" s="54" t="s">
        <v>215</v>
      </c>
      <c r="I38" s="36"/>
    </row>
    <row r="39" spans="1:9">
      <c r="A39" s="57" t="s">
        <v>217</v>
      </c>
      <c r="B39" s="14" t="s">
        <v>3</v>
      </c>
      <c r="C39" s="4" t="s">
        <v>192</v>
      </c>
      <c r="D39" s="4" t="s">
        <v>218</v>
      </c>
      <c r="E39" s="17">
        <v>0.375</v>
      </c>
      <c r="F39" s="17">
        <v>0.39930555555555558</v>
      </c>
      <c r="G39" s="16">
        <v>0.58333333333333337</v>
      </c>
      <c r="H39" s="54" t="s">
        <v>219</v>
      </c>
      <c r="I39" s="36"/>
    </row>
    <row r="40" spans="1:9">
      <c r="A40" s="53" t="s">
        <v>217</v>
      </c>
      <c r="B40" s="14" t="s">
        <v>92</v>
      </c>
      <c r="C40" s="4" t="s">
        <v>89</v>
      </c>
      <c r="D40" s="4" t="s">
        <v>194</v>
      </c>
      <c r="E40" s="17">
        <v>0.16666666666666666</v>
      </c>
      <c r="F40" s="17">
        <v>0.20833333333333334</v>
      </c>
      <c r="G40" s="16">
        <v>1</v>
      </c>
      <c r="H40" s="54" t="s">
        <v>220</v>
      </c>
      <c r="I40" s="36"/>
    </row>
    <row r="41" spans="1:9">
      <c r="A41" s="57" t="s">
        <v>221</v>
      </c>
      <c r="B41" s="14" t="s">
        <v>3</v>
      </c>
      <c r="C41" s="4" t="s">
        <v>89</v>
      </c>
      <c r="D41" s="4" t="s">
        <v>133</v>
      </c>
      <c r="E41" s="17">
        <v>0.54166666666666663</v>
      </c>
      <c r="F41" s="17">
        <v>0.56597222222222221</v>
      </c>
      <c r="G41" s="16">
        <v>0.58333333333333337</v>
      </c>
      <c r="H41" s="54" t="s">
        <v>222</v>
      </c>
      <c r="I41" s="36"/>
    </row>
    <row r="42" spans="1:9">
      <c r="A42" s="57" t="s">
        <v>223</v>
      </c>
      <c r="B42" s="14" t="s">
        <v>3</v>
      </c>
      <c r="C42" s="4" t="s">
        <v>89</v>
      </c>
      <c r="D42" s="4" t="s">
        <v>194</v>
      </c>
      <c r="E42" s="17">
        <v>0.41666666666666669</v>
      </c>
      <c r="F42" s="17">
        <v>0.43402777777777773</v>
      </c>
      <c r="G42" s="16">
        <v>0.41666666666666669</v>
      </c>
      <c r="H42" s="54" t="s">
        <v>224</v>
      </c>
      <c r="I42" s="36"/>
    </row>
    <row r="43" spans="1:9">
      <c r="A43" s="57" t="s">
        <v>226</v>
      </c>
      <c r="B43" s="14" t="s">
        <v>92</v>
      </c>
      <c r="C43" s="4" t="s">
        <v>121</v>
      </c>
      <c r="D43" s="4" t="s">
        <v>228</v>
      </c>
      <c r="E43" s="17">
        <v>0</v>
      </c>
      <c r="F43" s="17">
        <v>1.3888888888888888E-2</v>
      </c>
      <c r="G43" s="16">
        <v>0.33333333333333331</v>
      </c>
      <c r="H43" s="54" t="s">
        <v>227</v>
      </c>
      <c r="I43" s="36"/>
    </row>
    <row r="44" spans="1:9">
      <c r="A44" s="57" t="s">
        <v>229</v>
      </c>
      <c r="B44" s="14" t="s">
        <v>3</v>
      </c>
      <c r="C44" s="4" t="s">
        <v>231</v>
      </c>
      <c r="D44" s="4" t="s">
        <v>232</v>
      </c>
      <c r="E44" s="17">
        <v>0.28125</v>
      </c>
      <c r="F44" s="17">
        <v>0.29166666666666669</v>
      </c>
      <c r="G44" s="16">
        <v>0.25</v>
      </c>
      <c r="H44" s="54" t="s">
        <v>233</v>
      </c>
      <c r="I44" s="36"/>
    </row>
    <row r="45" spans="1:9">
      <c r="A45" s="57" t="s">
        <v>230</v>
      </c>
      <c r="B45" s="14" t="s">
        <v>3</v>
      </c>
      <c r="C45" s="4" t="s">
        <v>234</v>
      </c>
      <c r="D45" s="4" t="s">
        <v>235</v>
      </c>
      <c r="E45" s="17">
        <v>0.63541666666666663</v>
      </c>
      <c r="F45" s="17">
        <v>0.67708333333333337</v>
      </c>
      <c r="G45" s="16">
        <v>1</v>
      </c>
      <c r="H45" s="54" t="s">
        <v>236</v>
      </c>
      <c r="I45" s="36"/>
    </row>
    <row r="46" spans="1:9">
      <c r="A46" s="57" t="s">
        <v>230</v>
      </c>
      <c r="B46" s="14" t="s">
        <v>92</v>
      </c>
      <c r="C46" s="4" t="s">
        <v>237</v>
      </c>
      <c r="D46" s="4" t="s">
        <v>238</v>
      </c>
      <c r="E46" s="17">
        <v>0.125</v>
      </c>
      <c r="F46" s="17">
        <v>0.15625</v>
      </c>
      <c r="G46" s="16">
        <v>0.75</v>
      </c>
      <c r="H46" s="54" t="s">
        <v>239</v>
      </c>
      <c r="I46" s="36"/>
    </row>
    <row r="47" spans="1:9">
      <c r="A47" s="53" t="s">
        <v>240</v>
      </c>
      <c r="B47" s="14" t="s">
        <v>92</v>
      </c>
      <c r="C47" s="4" t="s">
        <v>234</v>
      </c>
      <c r="D47" s="4" t="s">
        <v>241</v>
      </c>
      <c r="E47" s="17">
        <v>9.375E-2</v>
      </c>
      <c r="F47" s="17">
        <v>0.1111111111111111</v>
      </c>
      <c r="G47" s="16">
        <v>0.41666666666666669</v>
      </c>
      <c r="H47" s="54" t="s">
        <v>242</v>
      </c>
      <c r="I47" s="36"/>
    </row>
    <row r="48" spans="1:9">
      <c r="A48" s="53" t="s">
        <v>240</v>
      </c>
      <c r="B48" s="14" t="s">
        <v>3</v>
      </c>
      <c r="C48" s="4" t="s">
        <v>234</v>
      </c>
      <c r="D48" s="4" t="s">
        <v>194</v>
      </c>
      <c r="E48" s="17">
        <v>0.41666666666666669</v>
      </c>
      <c r="F48" s="17">
        <v>0.4375</v>
      </c>
      <c r="G48" s="16">
        <v>0.5</v>
      </c>
      <c r="H48" s="54" t="s">
        <v>243</v>
      </c>
      <c r="I48" s="36"/>
    </row>
    <row r="49" spans="1:9">
      <c r="A49" s="57" t="s">
        <v>245</v>
      </c>
      <c r="B49" s="14" t="s">
        <v>7</v>
      </c>
      <c r="C49" s="18" t="s">
        <v>89</v>
      </c>
      <c r="D49" s="4" t="s">
        <v>194</v>
      </c>
      <c r="E49" s="17">
        <v>0.39583333333333331</v>
      </c>
      <c r="F49" s="17">
        <v>0.40972222222222227</v>
      </c>
      <c r="G49" s="16">
        <v>0.33333333333333331</v>
      </c>
      <c r="H49" s="54" t="s">
        <v>251</v>
      </c>
      <c r="I49" s="36"/>
    </row>
    <row r="50" spans="1:9">
      <c r="A50" s="57" t="s">
        <v>245</v>
      </c>
      <c r="B50" s="14" t="s">
        <v>92</v>
      </c>
      <c r="C50" s="4" t="s">
        <v>177</v>
      </c>
      <c r="D50" s="4" t="s">
        <v>248</v>
      </c>
      <c r="E50" s="17">
        <v>8.3333333333333329E-2</v>
      </c>
      <c r="F50" s="17">
        <v>0.10069444444444443</v>
      </c>
      <c r="G50" s="16">
        <v>0.41666666666666669</v>
      </c>
      <c r="H50" s="54" t="s">
        <v>252</v>
      </c>
      <c r="I50" s="36"/>
    </row>
    <row r="51" spans="1:9">
      <c r="A51" s="57" t="s">
        <v>246</v>
      </c>
      <c r="B51" s="14" t="s">
        <v>92</v>
      </c>
      <c r="C51" s="4" t="s">
        <v>171</v>
      </c>
      <c r="D51" s="4" t="s">
        <v>249</v>
      </c>
      <c r="E51" s="17">
        <v>0.125</v>
      </c>
      <c r="F51" s="17">
        <v>0.13541666666666666</v>
      </c>
      <c r="G51" s="16">
        <v>0.25</v>
      </c>
      <c r="H51" s="54" t="s">
        <v>253</v>
      </c>
      <c r="I51" s="36"/>
    </row>
    <row r="52" spans="1:9">
      <c r="A52" s="57" t="s">
        <v>247</v>
      </c>
      <c r="B52" s="14" t="s">
        <v>3</v>
      </c>
      <c r="C52" s="18" t="s">
        <v>89</v>
      </c>
      <c r="D52" s="4" t="s">
        <v>250</v>
      </c>
      <c r="E52" s="17">
        <v>0.29166666666666669</v>
      </c>
      <c r="F52" s="17">
        <v>0.30902777777777779</v>
      </c>
      <c r="G52" s="16">
        <v>0.41666666666666669</v>
      </c>
      <c r="H52" s="54" t="s">
        <v>254</v>
      </c>
      <c r="I52" s="36"/>
    </row>
    <row r="53" spans="1:9" ht="15.75" thickBot="1">
      <c r="A53" s="67">
        <v>43136</v>
      </c>
      <c r="B53" s="59" t="s">
        <v>7</v>
      </c>
      <c r="C53" s="70" t="s">
        <v>89</v>
      </c>
      <c r="D53" s="60" t="s">
        <v>194</v>
      </c>
      <c r="E53" s="61">
        <v>0.14583333333333334</v>
      </c>
      <c r="F53" s="61">
        <v>0.16666666666666666</v>
      </c>
      <c r="G53" s="62">
        <v>0.5</v>
      </c>
      <c r="H53" s="63" t="s">
        <v>255</v>
      </c>
      <c r="I53" s="36"/>
    </row>
    <row r="54" spans="1:9">
      <c r="A54" s="57">
        <v>43257</v>
      </c>
      <c r="B54" s="14" t="s">
        <v>3</v>
      </c>
      <c r="C54" s="71" t="s">
        <v>265</v>
      </c>
      <c r="D54" s="4" t="s">
        <v>262</v>
      </c>
      <c r="E54" s="17">
        <v>0.25694444444444448</v>
      </c>
      <c r="F54" s="17">
        <v>0.2673611111111111</v>
      </c>
      <c r="G54" s="16">
        <v>0.25</v>
      </c>
      <c r="H54" s="54" t="s">
        <v>261</v>
      </c>
      <c r="I54" s="36"/>
    </row>
    <row r="55" spans="1:9">
      <c r="A55" s="57">
        <v>43257</v>
      </c>
      <c r="B55" s="14" t="s">
        <v>3</v>
      </c>
      <c r="C55" s="71" t="s">
        <v>237</v>
      </c>
      <c r="D55" s="4" t="s">
        <v>263</v>
      </c>
      <c r="E55" s="17">
        <v>0.28472222222222221</v>
      </c>
      <c r="F55" s="17">
        <v>0.2951388888888889</v>
      </c>
      <c r="G55" s="16">
        <v>0.25</v>
      </c>
      <c r="H55" s="54" t="s">
        <v>264</v>
      </c>
      <c r="I55" s="36"/>
    </row>
    <row r="56" spans="1:9">
      <c r="A56" s="57">
        <v>43287</v>
      </c>
      <c r="B56" s="14" t="s">
        <v>3</v>
      </c>
      <c r="C56" s="71" t="s">
        <v>234</v>
      </c>
      <c r="D56" s="4" t="s">
        <v>266</v>
      </c>
      <c r="E56" s="17">
        <v>0.38611111111111113</v>
      </c>
      <c r="F56" s="17">
        <v>0.42777777777777781</v>
      </c>
      <c r="G56" s="16">
        <v>1</v>
      </c>
      <c r="H56" s="54" t="s">
        <v>267</v>
      </c>
      <c r="I56" s="36"/>
    </row>
    <row r="57" spans="1:9">
      <c r="A57" s="57">
        <v>43287</v>
      </c>
      <c r="B57" s="14" t="s">
        <v>3</v>
      </c>
      <c r="C57" s="71" t="s">
        <v>268</v>
      </c>
      <c r="D57" s="4" t="s">
        <v>263</v>
      </c>
      <c r="E57" s="17">
        <v>0.25694444444444448</v>
      </c>
      <c r="F57" s="17">
        <v>0.2638888888888889</v>
      </c>
      <c r="G57" s="16">
        <f>10/60</f>
        <v>0.16666666666666666</v>
      </c>
      <c r="H57" s="54" t="s">
        <v>269</v>
      </c>
      <c r="I57" s="36"/>
    </row>
    <row r="58" spans="1:9" ht="15.75" thickBot="1">
      <c r="A58" s="67"/>
      <c r="B58" s="59"/>
      <c r="C58" s="72"/>
      <c r="D58" s="60"/>
      <c r="E58" s="61"/>
      <c r="F58" s="61"/>
      <c r="G58" s="62"/>
      <c r="H58" s="63"/>
      <c r="I58" s="36"/>
    </row>
    <row r="59" spans="1:9">
      <c r="A59" s="32"/>
      <c r="B59" s="14"/>
      <c r="C59" s="4"/>
      <c r="D59" s="4"/>
      <c r="E59" s="17"/>
      <c r="F59" s="17"/>
      <c r="G59" s="16"/>
      <c r="H59" s="4"/>
      <c r="I59" s="4"/>
    </row>
    <row r="60" spans="1:9">
      <c r="A60" s="32"/>
      <c r="B60" s="14"/>
      <c r="C60" s="4"/>
      <c r="D60" s="4"/>
      <c r="E60" s="17"/>
      <c r="F60" s="17"/>
      <c r="G60" s="16"/>
      <c r="H60" s="4"/>
      <c r="I60" s="4"/>
    </row>
    <row r="61" spans="1:9">
      <c r="A61" s="32"/>
      <c r="B61" s="14"/>
      <c r="C61" s="4"/>
      <c r="D61" s="4"/>
      <c r="E61" s="17"/>
      <c r="F61" s="17"/>
      <c r="G61" s="16"/>
      <c r="H61" s="4"/>
      <c r="I61" s="4"/>
    </row>
    <row r="62" spans="1:9">
      <c r="A62" s="32"/>
      <c r="B62" s="14"/>
      <c r="C62" s="4"/>
      <c r="D62" s="4"/>
      <c r="E62" s="17"/>
      <c r="F62" s="17"/>
      <c r="G62" s="16"/>
      <c r="H62" s="4"/>
      <c r="I62" s="4"/>
    </row>
    <row r="63" spans="1:9">
      <c r="A63" s="32"/>
      <c r="B63" s="14"/>
      <c r="C63" s="4"/>
      <c r="D63" s="4"/>
      <c r="E63" s="17"/>
      <c r="F63" s="17"/>
      <c r="G63" s="16"/>
      <c r="H63" s="4"/>
      <c r="I63" s="4"/>
    </row>
    <row r="64" spans="1:9">
      <c r="A64" s="33"/>
      <c r="B64" s="14"/>
      <c r="C64" s="4"/>
      <c r="D64" s="4"/>
      <c r="E64" s="17"/>
      <c r="F64" s="17"/>
      <c r="G64" s="16"/>
      <c r="H64" s="4"/>
      <c r="I64" s="4"/>
    </row>
    <row r="65" spans="1:9">
      <c r="A65" s="32"/>
      <c r="B65" s="14"/>
      <c r="C65" s="4"/>
      <c r="D65" s="4"/>
      <c r="E65" s="17"/>
      <c r="F65" s="17"/>
      <c r="G65" s="16"/>
      <c r="H65" s="4"/>
      <c r="I65" s="4"/>
    </row>
    <row r="66" spans="1:9">
      <c r="A66" s="32"/>
      <c r="B66" s="14"/>
      <c r="C66" s="4"/>
      <c r="D66" s="4"/>
      <c r="E66" s="17"/>
      <c r="F66" s="17"/>
      <c r="G66" s="16"/>
      <c r="H66" s="4"/>
      <c r="I66" s="4"/>
    </row>
    <row r="67" spans="1:9">
      <c r="A67" s="32"/>
      <c r="B67" s="14"/>
      <c r="C67" s="4"/>
      <c r="D67" s="4"/>
      <c r="E67" s="17"/>
      <c r="F67" s="17"/>
      <c r="G67" s="16"/>
      <c r="H67" s="4"/>
      <c r="I67" s="4"/>
    </row>
    <row r="68" spans="1:9">
      <c r="A68" s="57" t="s">
        <v>270</v>
      </c>
      <c r="B68" s="14"/>
      <c r="C68" s="4"/>
      <c r="D68" s="4" t="s">
        <v>228</v>
      </c>
      <c r="E68" s="17">
        <v>0.625</v>
      </c>
      <c r="F68" s="17">
        <v>0.64583333333333337</v>
      </c>
      <c r="G68" s="16">
        <v>0.5</v>
      </c>
      <c r="H68" s="4" t="s">
        <v>271</v>
      </c>
      <c r="I68" s="4"/>
    </row>
    <row r="69" spans="1:9" s="22" customFormat="1">
      <c r="A69" s="73" t="s">
        <v>272</v>
      </c>
      <c r="B69" s="19"/>
      <c r="C69" s="18"/>
      <c r="D69" s="18" t="s">
        <v>273</v>
      </c>
      <c r="E69" s="20">
        <v>0.83333333333333337</v>
      </c>
      <c r="F69" s="20">
        <v>0.875</v>
      </c>
      <c r="G69" s="21">
        <v>1</v>
      </c>
      <c r="H69" s="18" t="s">
        <v>274</v>
      </c>
      <c r="I69" s="18"/>
    </row>
    <row r="70" spans="1:9">
      <c r="A70" s="57" t="s">
        <v>272</v>
      </c>
      <c r="B70" s="14"/>
      <c r="C70" s="4"/>
      <c r="D70" s="4" t="s">
        <v>275</v>
      </c>
      <c r="E70" s="17">
        <v>0.875</v>
      </c>
      <c r="F70" s="17">
        <v>0.88541666666666663</v>
      </c>
      <c r="G70" s="16">
        <v>0.25</v>
      </c>
      <c r="H70" s="4" t="s">
        <v>276</v>
      </c>
      <c r="I70" s="4"/>
    </row>
    <row r="71" spans="1:9" s="22" customFormat="1">
      <c r="A71" s="73" t="s">
        <v>272</v>
      </c>
      <c r="B71" s="19"/>
      <c r="C71" s="18"/>
      <c r="D71" s="18" t="s">
        <v>277</v>
      </c>
      <c r="E71" s="20">
        <v>0.45833333333333331</v>
      </c>
      <c r="F71" s="20">
        <v>0.47569444444444442</v>
      </c>
      <c r="G71" s="21">
        <f>25/60</f>
        <v>0.41666666666666669</v>
      </c>
      <c r="H71" s="18" t="s">
        <v>282</v>
      </c>
      <c r="I71" s="18"/>
    </row>
    <row r="72" spans="1:9">
      <c r="A72" s="57" t="s">
        <v>272</v>
      </c>
      <c r="B72" s="14"/>
      <c r="C72" s="4"/>
      <c r="D72" s="4" t="s">
        <v>278</v>
      </c>
      <c r="E72" s="17">
        <v>0.70138888888888884</v>
      </c>
      <c r="F72" s="17">
        <v>0.71180555555555547</v>
      </c>
      <c r="G72" s="16">
        <v>0.25</v>
      </c>
      <c r="H72" s="4" t="s">
        <v>276</v>
      </c>
      <c r="I72" s="4"/>
    </row>
    <row r="73" spans="1:9" s="22" customFormat="1">
      <c r="A73" s="73" t="s">
        <v>279</v>
      </c>
      <c r="B73" s="19"/>
      <c r="C73" s="18"/>
      <c r="D73" s="18" t="s">
        <v>280</v>
      </c>
      <c r="E73" s="20">
        <v>0</v>
      </c>
      <c r="F73" s="20">
        <v>8.3333333333333329E-2</v>
      </c>
      <c r="G73" s="21">
        <v>2</v>
      </c>
      <c r="H73" s="18" t="s">
        <v>281</v>
      </c>
      <c r="I73" s="18"/>
    </row>
    <row r="74" spans="1:9">
      <c r="A74" s="73" t="s">
        <v>283</v>
      </c>
      <c r="B74" s="14"/>
      <c r="C74" s="4"/>
      <c r="D74" s="4" t="s">
        <v>284</v>
      </c>
      <c r="E74" s="17">
        <v>0.91666666666666663</v>
      </c>
      <c r="F74" s="17">
        <v>0.93402777777777779</v>
      </c>
      <c r="G74" s="16">
        <v>0.41666666666666669</v>
      </c>
      <c r="H74" s="4" t="s">
        <v>285</v>
      </c>
      <c r="I74" s="4"/>
    </row>
    <row r="75" spans="1:9">
      <c r="A75" s="32" t="s">
        <v>288</v>
      </c>
      <c r="B75" s="14"/>
      <c r="C75" s="4" t="s">
        <v>234</v>
      </c>
      <c r="D75" s="4" t="s">
        <v>286</v>
      </c>
      <c r="E75" s="17">
        <v>0.47916666666666669</v>
      </c>
      <c r="F75" s="17">
        <v>0.54166666666666663</v>
      </c>
      <c r="G75" s="16">
        <v>1.5</v>
      </c>
      <c r="H75" s="4" t="s">
        <v>287</v>
      </c>
      <c r="I75" s="4"/>
    </row>
    <row r="76" spans="1:9">
      <c r="A76" s="32" t="s">
        <v>289</v>
      </c>
      <c r="B76" s="14"/>
      <c r="C76" s="4" t="s">
        <v>234</v>
      </c>
      <c r="D76" s="4" t="s">
        <v>284</v>
      </c>
      <c r="E76" s="17">
        <v>0.91666666666666663</v>
      </c>
      <c r="F76" s="17">
        <v>0.95833333333333337</v>
      </c>
      <c r="G76" s="16">
        <v>1</v>
      </c>
      <c r="H76" s="4" t="s">
        <v>290</v>
      </c>
      <c r="I76" s="4"/>
    </row>
    <row r="77" spans="1:9">
      <c r="A77" s="32" t="s">
        <v>295</v>
      </c>
      <c r="B77" s="14"/>
      <c r="C77" s="4" t="s">
        <v>292</v>
      </c>
      <c r="D77" s="4" t="s">
        <v>293</v>
      </c>
      <c r="E77" s="17">
        <v>0.98958333333333337</v>
      </c>
      <c r="F77" s="17">
        <v>0</v>
      </c>
      <c r="G77" s="16">
        <v>0.25</v>
      </c>
      <c r="H77" s="4" t="s">
        <v>294</v>
      </c>
      <c r="I77" s="4"/>
    </row>
    <row r="78" spans="1:9">
      <c r="A78" s="32" t="s">
        <v>291</v>
      </c>
      <c r="B78" s="14"/>
      <c r="C78" s="4" t="s">
        <v>234</v>
      </c>
      <c r="D78" s="4" t="s">
        <v>235</v>
      </c>
      <c r="E78" s="17">
        <v>0.27083333333333331</v>
      </c>
      <c r="F78" s="17">
        <v>0.28472222222222221</v>
      </c>
      <c r="G78" s="16">
        <v>0.33333333333333331</v>
      </c>
      <c r="H78" s="4" t="s">
        <v>296</v>
      </c>
      <c r="I78" s="4"/>
    </row>
    <row r="79" spans="1:9">
      <c r="A79" s="32" t="s">
        <v>297</v>
      </c>
      <c r="B79" s="14"/>
      <c r="C79" s="4" t="s">
        <v>265</v>
      </c>
      <c r="D79" s="4" t="s">
        <v>298</v>
      </c>
      <c r="E79" s="17">
        <v>0.3263888888888889</v>
      </c>
      <c r="F79" s="17">
        <v>0.33680555555555558</v>
      </c>
      <c r="G79" s="16">
        <v>0.25</v>
      </c>
      <c r="H79" s="4" t="s">
        <v>304</v>
      </c>
      <c r="I79" s="4"/>
    </row>
    <row r="80" spans="1:9">
      <c r="A80" s="32" t="s">
        <v>297</v>
      </c>
      <c r="B80" s="14"/>
      <c r="C80" s="4" t="s">
        <v>234</v>
      </c>
      <c r="D80" s="4" t="s">
        <v>250</v>
      </c>
      <c r="E80" s="17">
        <v>0.98958333333333337</v>
      </c>
      <c r="F80" s="17">
        <v>0</v>
      </c>
      <c r="G80" s="16">
        <v>0.25</v>
      </c>
      <c r="H80" s="4" t="s">
        <v>299</v>
      </c>
      <c r="I80" s="4"/>
    </row>
    <row r="81" spans="1:9">
      <c r="A81" s="32" t="s">
        <v>297</v>
      </c>
      <c r="B81" s="14"/>
      <c r="C81" s="4" t="s">
        <v>268</v>
      </c>
      <c r="D81" s="4" t="s">
        <v>275</v>
      </c>
      <c r="E81" s="17">
        <v>8.3333333333333329E-2</v>
      </c>
      <c r="F81" s="17">
        <v>9.375E-2</v>
      </c>
      <c r="G81" s="16">
        <v>0.25</v>
      </c>
      <c r="H81" s="4" t="s">
        <v>300</v>
      </c>
      <c r="I81" s="4"/>
    </row>
    <row r="82" spans="1:9">
      <c r="A82" s="32" t="s">
        <v>291</v>
      </c>
      <c r="B82" s="14"/>
      <c r="C82" s="4" t="s">
        <v>301</v>
      </c>
      <c r="D82" s="4" t="s">
        <v>302</v>
      </c>
      <c r="E82" s="17">
        <v>0.91666666666666663</v>
      </c>
      <c r="F82" s="17">
        <v>0.95833333333333337</v>
      </c>
      <c r="G82" s="16">
        <v>1</v>
      </c>
      <c r="H82" s="4" t="s">
        <v>303</v>
      </c>
      <c r="I82" s="4"/>
    </row>
    <row r="83" spans="1:9">
      <c r="A83" s="32">
        <v>43138</v>
      </c>
      <c r="B83" s="14"/>
      <c r="C83" s="4" t="s">
        <v>301</v>
      </c>
      <c r="D83" s="4" t="s">
        <v>278</v>
      </c>
      <c r="E83" s="17">
        <v>0.41666666666666669</v>
      </c>
      <c r="F83" s="17">
        <v>0.4236111111111111</v>
      </c>
      <c r="G83" s="16">
        <v>0.16666666666666666</v>
      </c>
      <c r="H83" s="4" t="s">
        <v>305</v>
      </c>
      <c r="I83" s="4"/>
    </row>
    <row r="84" spans="1:9">
      <c r="A84" s="32">
        <v>43138</v>
      </c>
      <c r="B84" s="14"/>
      <c r="C84" s="4" t="s">
        <v>237</v>
      </c>
      <c r="D84" s="4" t="s">
        <v>306</v>
      </c>
      <c r="E84" s="17">
        <v>0.66666666666666663</v>
      </c>
      <c r="F84" s="17">
        <v>0.68055555555555547</v>
      </c>
      <c r="G84" s="16">
        <v>0.33333333333333331</v>
      </c>
      <c r="H84" s="4" t="s">
        <v>307</v>
      </c>
      <c r="I84" s="4"/>
    </row>
    <row r="85" spans="1:9">
      <c r="A85" s="32">
        <v>43166</v>
      </c>
      <c r="B85" s="14"/>
      <c r="C85" s="4" t="s">
        <v>234</v>
      </c>
      <c r="D85" s="4" t="s">
        <v>308</v>
      </c>
      <c r="E85" s="17">
        <v>0.41666666666666669</v>
      </c>
      <c r="F85" s="17">
        <v>0.43055555555555558</v>
      </c>
      <c r="G85" s="16">
        <v>0.33333333333333331</v>
      </c>
      <c r="H85" s="4" t="s">
        <v>309</v>
      </c>
      <c r="I85" s="4"/>
    </row>
    <row r="86" spans="1:9">
      <c r="A86" s="32">
        <v>43166</v>
      </c>
      <c r="B86" s="14"/>
      <c r="C86" s="4" t="s">
        <v>234</v>
      </c>
      <c r="D86" s="4" t="s">
        <v>310</v>
      </c>
      <c r="E86" s="17">
        <v>0.5</v>
      </c>
      <c r="F86" s="17">
        <v>0.51388888888888895</v>
      </c>
      <c r="G86" s="16">
        <v>0.33333333333333331</v>
      </c>
      <c r="H86" s="4" t="s">
        <v>311</v>
      </c>
      <c r="I86" s="4"/>
    </row>
    <row r="87" spans="1:9">
      <c r="A87" s="32">
        <v>43166</v>
      </c>
      <c r="B87" s="14"/>
      <c r="C87" s="4" t="s">
        <v>234</v>
      </c>
      <c r="D87" s="4" t="s">
        <v>312</v>
      </c>
      <c r="E87" s="17">
        <v>0.63194444444444442</v>
      </c>
      <c r="F87" s="17">
        <v>0.65277777777777779</v>
      </c>
      <c r="G87" s="16">
        <v>0.5</v>
      </c>
      <c r="H87" s="4" t="s">
        <v>315</v>
      </c>
      <c r="I87" s="4"/>
    </row>
    <row r="88" spans="1:9">
      <c r="A88" s="32">
        <v>43197</v>
      </c>
      <c r="B88" s="14"/>
      <c r="C88" s="4" t="s">
        <v>292</v>
      </c>
      <c r="D88" s="4" t="s">
        <v>313</v>
      </c>
      <c r="E88" s="17">
        <v>0.27083333333333331</v>
      </c>
      <c r="F88" s="17">
        <v>0.29166666666666669</v>
      </c>
      <c r="G88" s="16">
        <v>0.5</v>
      </c>
      <c r="H88" s="4" t="s">
        <v>314</v>
      </c>
      <c r="I88" s="4"/>
    </row>
    <row r="89" spans="1:9">
      <c r="A89" s="32">
        <v>43227</v>
      </c>
      <c r="B89" s="14"/>
      <c r="C89" s="4" t="s">
        <v>234</v>
      </c>
      <c r="D89" s="4" t="s">
        <v>312</v>
      </c>
      <c r="E89" s="17">
        <v>0.27777777777777779</v>
      </c>
      <c r="F89" s="17">
        <v>0.2986111111111111</v>
      </c>
      <c r="G89" s="16">
        <v>0.5</v>
      </c>
      <c r="H89" s="4" t="s">
        <v>316</v>
      </c>
      <c r="I89" s="4"/>
    </row>
    <row r="90" spans="1:9">
      <c r="A90" s="32">
        <v>43227</v>
      </c>
      <c r="B90" s="14"/>
      <c r="C90" s="4" t="s">
        <v>265</v>
      </c>
      <c r="D90" s="4" t="s">
        <v>51</v>
      </c>
      <c r="E90" s="17">
        <v>0.40625</v>
      </c>
      <c r="F90" s="17">
        <v>0.4236111111111111</v>
      </c>
      <c r="G90" s="16">
        <v>0.41666666666666669</v>
      </c>
      <c r="H90" s="4" t="s">
        <v>317</v>
      </c>
      <c r="I90" s="4"/>
    </row>
    <row r="91" spans="1:9">
      <c r="A91" s="32">
        <v>43227</v>
      </c>
      <c r="B91" s="14"/>
      <c r="C91" s="4" t="s">
        <v>237</v>
      </c>
      <c r="D91" s="4" t="s">
        <v>318</v>
      </c>
      <c r="E91" s="17">
        <v>0.16666666666666666</v>
      </c>
      <c r="F91" s="17">
        <v>0.20833333333333334</v>
      </c>
      <c r="G91" s="16">
        <v>1</v>
      </c>
      <c r="H91" s="4" t="s">
        <v>319</v>
      </c>
      <c r="I91" s="4"/>
    </row>
    <row r="92" spans="1:9">
      <c r="A92" s="32">
        <v>43227</v>
      </c>
      <c r="B92" s="14"/>
      <c r="C92" s="4" t="s">
        <v>301</v>
      </c>
      <c r="D92" s="4" t="s">
        <v>320</v>
      </c>
      <c r="E92" s="17">
        <v>0.1875</v>
      </c>
      <c r="F92" s="17">
        <v>0.20833333333333334</v>
      </c>
      <c r="G92" s="16">
        <v>0.5</v>
      </c>
      <c r="H92" s="4" t="s">
        <v>321</v>
      </c>
      <c r="I92" s="4"/>
    </row>
    <row r="93" spans="1:9">
      <c r="A93" s="32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3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2"/>
      <c r="B97" s="14"/>
      <c r="C97" s="4"/>
      <c r="D97" s="4"/>
      <c r="E97" s="17"/>
      <c r="F97" s="17"/>
      <c r="G97" s="16"/>
      <c r="H97" s="4"/>
      <c r="I97" s="4"/>
    </row>
    <row r="98" spans="1:9">
      <c r="A98" s="32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2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3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2"/>
      <c r="B104" s="14"/>
      <c r="C104" s="4"/>
      <c r="D104" s="4"/>
      <c r="E104" s="17"/>
      <c r="F104" s="17"/>
      <c r="G104" s="16"/>
      <c r="H104" s="4"/>
      <c r="I104" s="4"/>
    </row>
    <row r="105" spans="1:9">
      <c r="A105" s="32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2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3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2"/>
      <c r="B111" s="14"/>
      <c r="C111" s="4"/>
      <c r="D111" s="4"/>
      <c r="E111" s="17"/>
      <c r="F111" s="17"/>
      <c r="G111" s="16"/>
      <c r="H111" s="4"/>
      <c r="I111" s="4"/>
    </row>
    <row r="112" spans="1:9">
      <c r="A112" s="32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2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3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2"/>
      <c r="B118" s="14"/>
      <c r="C118" s="4"/>
      <c r="D118" s="4"/>
      <c r="E118" s="17"/>
      <c r="F118" s="17"/>
      <c r="G118" s="16"/>
      <c r="H118" s="4"/>
      <c r="I118" s="4"/>
    </row>
    <row r="119" spans="1:9">
      <c r="A119" s="32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2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3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2"/>
      <c r="B125" s="14"/>
      <c r="C125" s="4"/>
      <c r="D125" s="4"/>
      <c r="E125" s="17"/>
      <c r="F125" s="17"/>
      <c r="G125" s="16"/>
      <c r="H125" s="4"/>
      <c r="I125" s="4"/>
    </row>
    <row r="126" spans="1:9">
      <c r="A126" s="32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2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3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2"/>
      <c r="B132" s="14"/>
      <c r="C132" s="4"/>
      <c r="D132" s="4"/>
      <c r="E132" s="17"/>
      <c r="F132" s="17"/>
      <c r="G132" s="16"/>
      <c r="H132" s="4"/>
      <c r="I132" s="4"/>
    </row>
    <row r="133" spans="1:9">
      <c r="A133" s="32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2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3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2"/>
      <c r="B139" s="14"/>
      <c r="C139" s="4"/>
      <c r="D139" s="4"/>
      <c r="E139" s="17"/>
      <c r="F139" s="17"/>
      <c r="G139" s="16"/>
      <c r="H139" s="4"/>
      <c r="I139" s="4"/>
    </row>
    <row r="140" spans="1:9">
      <c r="A140" s="32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2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3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2"/>
      <c r="B146" s="14"/>
      <c r="C146" s="4"/>
      <c r="D146" s="4"/>
      <c r="E146" s="17"/>
      <c r="F146" s="17"/>
      <c r="G146" s="16"/>
      <c r="H146" s="4"/>
      <c r="I146" s="4"/>
    </row>
    <row r="147" spans="1:9">
      <c r="A147" s="32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2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3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2"/>
      <c r="B153" s="14"/>
      <c r="C153" s="4"/>
      <c r="D153" s="4"/>
      <c r="E153" s="17"/>
      <c r="F153" s="17"/>
      <c r="G153" s="16"/>
      <c r="H153" s="4"/>
      <c r="I153" s="4"/>
    </row>
    <row r="154" spans="1:9">
      <c r="A154" s="32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2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3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2"/>
      <c r="B160" s="14"/>
      <c r="C160" s="4"/>
      <c r="D160" s="4"/>
      <c r="E160" s="17"/>
      <c r="F160" s="17"/>
      <c r="G160" s="16"/>
      <c r="H160" s="4"/>
      <c r="I160" s="4"/>
    </row>
    <row r="161" spans="1:9">
      <c r="A161" s="32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2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3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2"/>
      <c r="B167" s="14"/>
      <c r="C167" s="4"/>
      <c r="D167" s="4"/>
      <c r="E167" s="17"/>
      <c r="F167" s="17"/>
      <c r="G167" s="16"/>
      <c r="H167" s="4"/>
      <c r="I167" s="4"/>
    </row>
    <row r="168" spans="1:9">
      <c r="A168" s="32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2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3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2"/>
      <c r="B174" s="14"/>
      <c r="C174" s="4"/>
      <c r="D174" s="4"/>
      <c r="E174" s="17"/>
      <c r="F174" s="17"/>
      <c r="G174" s="16"/>
      <c r="H174" s="4"/>
      <c r="I174" s="4"/>
    </row>
    <row r="175" spans="1:9">
      <c r="A175" s="32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2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3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2"/>
      <c r="B181" s="14"/>
      <c r="C181" s="4"/>
      <c r="D181" s="4"/>
      <c r="E181" s="17"/>
      <c r="F181" s="17"/>
      <c r="G181" s="16"/>
      <c r="H181" s="4"/>
      <c r="I181" s="4"/>
    </row>
    <row r="182" spans="1:9">
      <c r="A182" s="32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2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3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2"/>
      <c r="B188" s="14"/>
      <c r="C188" s="4"/>
      <c r="D188" s="4"/>
      <c r="E188" s="17"/>
      <c r="F188" s="17"/>
      <c r="G188" s="16"/>
      <c r="H188" s="4"/>
      <c r="I188" s="4"/>
    </row>
    <row r="189" spans="1:9">
      <c r="A189" s="32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2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3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2"/>
      <c r="B195" s="14"/>
      <c r="C195" s="4"/>
      <c r="D195" s="4"/>
      <c r="E195" s="17"/>
      <c r="F195" s="17"/>
      <c r="G195" s="16"/>
      <c r="H195" s="4"/>
      <c r="I195" s="4"/>
    </row>
    <row r="196" spans="1:9">
      <c r="A196" s="32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2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3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2"/>
      <c r="B202" s="14"/>
      <c r="C202" s="4"/>
      <c r="D202" s="4"/>
      <c r="E202" s="17"/>
      <c r="F202" s="17"/>
      <c r="G202" s="16"/>
      <c r="H202" s="4"/>
      <c r="I202" s="4"/>
    </row>
    <row r="203" spans="1:9">
      <c r="A203" s="32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2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3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2"/>
      <c r="B209" s="14"/>
      <c r="C209" s="4"/>
      <c r="D209" s="4"/>
      <c r="E209" s="17"/>
      <c r="F209" s="17"/>
      <c r="G209" s="16"/>
      <c r="H209" s="4"/>
      <c r="I209" s="4"/>
    </row>
    <row r="210" spans="1:9">
      <c r="A210" s="32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2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3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2"/>
      <c r="B216" s="14"/>
      <c r="C216" s="4"/>
      <c r="D216" s="4"/>
      <c r="E216" s="17"/>
      <c r="F216" s="17"/>
      <c r="G216" s="16"/>
      <c r="H216" s="4"/>
      <c r="I216" s="4"/>
    </row>
    <row r="217" spans="1:9">
      <c r="A217" s="32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2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3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2"/>
      <c r="B223" s="14"/>
      <c r="C223" s="4"/>
      <c r="D223" s="4"/>
      <c r="E223" s="17"/>
      <c r="F223" s="17"/>
      <c r="G223" s="16"/>
      <c r="H223" s="4"/>
      <c r="I223" s="4"/>
    </row>
    <row r="224" spans="1:9">
      <c r="A224" s="32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2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3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2"/>
      <c r="B230" s="14"/>
      <c r="C230" s="4"/>
      <c r="D230" s="4"/>
      <c r="E230" s="17"/>
      <c r="F230" s="17"/>
      <c r="G230" s="16"/>
      <c r="H230" s="4"/>
      <c r="I230" s="4"/>
    </row>
    <row r="231" spans="1:9">
      <c r="A231" s="32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2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3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2"/>
      <c r="B237" s="14"/>
      <c r="C237" s="4"/>
      <c r="D237" s="4"/>
      <c r="E237" s="17"/>
      <c r="F237" s="17"/>
      <c r="G237" s="16"/>
      <c r="H237" s="4"/>
      <c r="I237" s="4"/>
    </row>
    <row r="238" spans="1:9">
      <c r="A238" s="32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2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3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2"/>
      <c r="B244" s="14"/>
      <c r="C244" s="4"/>
      <c r="D244" s="4"/>
      <c r="E244" s="17"/>
      <c r="F244" s="17"/>
      <c r="G244" s="16"/>
      <c r="H244" s="4"/>
      <c r="I244" s="4"/>
    </row>
    <row r="245" spans="1:9">
      <c r="A245" s="32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2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3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2"/>
      <c r="B251" s="14"/>
      <c r="C251" s="4"/>
      <c r="D251" s="4"/>
      <c r="E251" s="17"/>
      <c r="F251" s="17"/>
      <c r="G251" s="16"/>
      <c r="H251" s="4"/>
      <c r="I251" s="4"/>
    </row>
    <row r="252" spans="1:9">
      <c r="A252" s="32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2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3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2"/>
      <c r="B258" s="14"/>
      <c r="C258" s="4"/>
      <c r="D258" s="4"/>
      <c r="E258" s="17"/>
      <c r="F258" s="17"/>
      <c r="G258" s="16"/>
      <c r="H258" s="4"/>
      <c r="I258" s="4"/>
    </row>
    <row r="259" spans="1:9">
      <c r="A259" s="32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2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3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2"/>
      <c r="B265" s="14"/>
      <c r="C265" s="4"/>
      <c r="D265" s="4"/>
      <c r="E265" s="17"/>
      <c r="F265" s="17"/>
      <c r="G265" s="16"/>
      <c r="H265" s="4"/>
      <c r="I265" s="4"/>
    </row>
    <row r="266" spans="1:9">
      <c r="A266" s="32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2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3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2"/>
      <c r="B272" s="14"/>
      <c r="C272" s="4"/>
      <c r="D272" s="4"/>
      <c r="E272" s="17"/>
      <c r="F272" s="17"/>
      <c r="G272" s="16"/>
      <c r="H272" s="4"/>
      <c r="I272" s="4"/>
    </row>
    <row r="273" spans="1:9">
      <c r="A273" s="32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2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3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2"/>
      <c r="B279" s="14"/>
      <c r="C279" s="4"/>
      <c r="D279" s="4"/>
      <c r="E279" s="17"/>
      <c r="F279" s="17"/>
      <c r="G279" s="16"/>
      <c r="H279" s="4"/>
      <c r="I279" s="4"/>
    </row>
    <row r="280" spans="1:9">
      <c r="A280" s="32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2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3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2"/>
      <c r="B286" s="14"/>
      <c r="C286" s="4"/>
      <c r="D286" s="4"/>
      <c r="E286" s="17"/>
      <c r="F286" s="17"/>
      <c r="G286" s="16"/>
      <c r="H286" s="4"/>
      <c r="I286" s="4"/>
    </row>
    <row r="287" spans="1:9">
      <c r="A287" s="32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2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3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2"/>
      <c r="B293" s="14"/>
      <c r="C293" s="4"/>
      <c r="D293" s="4"/>
      <c r="E293" s="17"/>
      <c r="F293" s="17"/>
      <c r="G293" s="16"/>
      <c r="H293" s="4"/>
      <c r="I293" s="4"/>
    </row>
    <row r="294" spans="1:9">
      <c r="A294" s="32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2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3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2"/>
      <c r="B300" s="14"/>
      <c r="C300" s="4"/>
      <c r="D300" s="4"/>
      <c r="E300" s="17"/>
      <c r="F300" s="17"/>
      <c r="G300" s="16"/>
      <c r="H300" s="4"/>
      <c r="I300" s="4"/>
    </row>
    <row r="301" spans="1:9">
      <c r="A301" s="32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2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3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2"/>
      <c r="B307" s="14"/>
      <c r="C307" s="4"/>
      <c r="D307" s="4"/>
      <c r="E307" s="17"/>
      <c r="F307" s="17"/>
      <c r="G307" s="16"/>
      <c r="H307" s="4"/>
      <c r="I307" s="4"/>
    </row>
    <row r="308" spans="1:9">
      <c r="A308" s="32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2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3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2"/>
      <c r="B314" s="14"/>
      <c r="C314" s="4"/>
      <c r="D314" s="4"/>
      <c r="E314" s="17"/>
      <c r="F314" s="17"/>
      <c r="G314" s="16"/>
      <c r="H314" s="4"/>
      <c r="I314" s="4"/>
    </row>
    <row r="315" spans="1:9">
      <c r="A315" s="32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2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3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2"/>
      <c r="B321" s="14"/>
      <c r="C321" s="4"/>
      <c r="D321" s="4"/>
      <c r="E321" s="17"/>
      <c r="F321" s="17"/>
      <c r="G321" s="16"/>
      <c r="H321" s="4"/>
      <c r="I321" s="4"/>
    </row>
    <row r="322" spans="1:9">
      <c r="A322" s="32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2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3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2"/>
      <c r="B328" s="14"/>
      <c r="C328" s="4"/>
      <c r="D328" s="4"/>
      <c r="E328" s="17"/>
      <c r="F328" s="17"/>
      <c r="G328" s="16"/>
      <c r="H328" s="4"/>
      <c r="I328" s="4"/>
    </row>
    <row r="329" spans="1:9">
      <c r="A329" s="32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2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3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2"/>
      <c r="B335" s="14"/>
      <c r="C335" s="4"/>
      <c r="D335" s="4"/>
      <c r="E335" s="17"/>
      <c r="F335" s="17"/>
      <c r="G335" s="16"/>
      <c r="H335" s="4"/>
      <c r="I335" s="4"/>
    </row>
    <row r="336" spans="1:9">
      <c r="A336" s="32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2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3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2"/>
      <c r="B342" s="14"/>
      <c r="C342" s="4"/>
      <c r="D342" s="4"/>
      <c r="E342" s="17"/>
      <c r="F342" s="17"/>
      <c r="G342" s="16"/>
      <c r="H342" s="4"/>
      <c r="I342" s="4"/>
    </row>
    <row r="343" spans="1:9">
      <c r="A343" s="32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2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3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2"/>
      <c r="B349" s="14"/>
      <c r="C349" s="4"/>
      <c r="D349" s="4"/>
      <c r="E349" s="17"/>
      <c r="F349" s="17"/>
      <c r="G349" s="16"/>
      <c r="H349" s="4"/>
      <c r="I349" s="4"/>
    </row>
    <row r="350" spans="1:9">
      <c r="A350" s="32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2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3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2"/>
      <c r="B356" s="14"/>
      <c r="C356" s="4"/>
      <c r="D356" s="4"/>
      <c r="E356" s="17"/>
      <c r="F356" s="17"/>
      <c r="G356" s="16"/>
      <c r="H356" s="4"/>
      <c r="I356" s="4"/>
    </row>
    <row r="357" spans="1:9">
      <c r="A357" s="32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2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3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2"/>
      <c r="B363" s="14"/>
      <c r="C363" s="4"/>
      <c r="D363" s="4"/>
      <c r="E363" s="17"/>
      <c r="F363" s="17"/>
      <c r="G363" s="16"/>
      <c r="H363" s="4"/>
      <c r="I363" s="4"/>
    </row>
    <row r="364" spans="1:9">
      <c r="A364" s="32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2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3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2"/>
      <c r="B370" s="14"/>
      <c r="C370" s="4"/>
      <c r="D370" s="4"/>
      <c r="E370" s="17"/>
      <c r="F370" s="17"/>
      <c r="G370" s="16"/>
      <c r="H370" s="4"/>
      <c r="I370" s="4"/>
    </row>
    <row r="371" spans="1:9">
      <c r="A371" s="32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2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3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2"/>
      <c r="B377" s="14"/>
      <c r="C377" s="4"/>
      <c r="D377" s="4"/>
      <c r="E377" s="17"/>
      <c r="F377" s="17"/>
      <c r="G377" s="16"/>
      <c r="H377" s="4"/>
      <c r="I377" s="4"/>
    </row>
    <row r="378" spans="1:9">
      <c r="A378" s="32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2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3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2"/>
      <c r="B384" s="14"/>
      <c r="C384" s="4"/>
      <c r="D384" s="4"/>
      <c r="E384" s="17"/>
      <c r="F384" s="17"/>
      <c r="G384" s="16"/>
      <c r="H384" s="4"/>
      <c r="I384" s="4"/>
    </row>
    <row r="385" spans="1:9">
      <c r="A385" s="32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2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3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2"/>
      <c r="B391" s="14"/>
      <c r="C391" s="4"/>
      <c r="D391" s="4"/>
      <c r="E391" s="17"/>
      <c r="F391" s="17"/>
      <c r="G391" s="16"/>
      <c r="H391" s="4"/>
      <c r="I391" s="4"/>
    </row>
    <row r="392" spans="1:9">
      <c r="A392" s="32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2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3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2"/>
      <c r="B398" s="14"/>
      <c r="C398" s="4"/>
      <c r="D398" s="4"/>
      <c r="E398" s="17"/>
      <c r="F398" s="17"/>
      <c r="G398" s="16"/>
      <c r="H398" s="4"/>
      <c r="I398" s="4"/>
    </row>
    <row r="399" spans="1:9">
      <c r="A399" s="32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2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3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2"/>
      <c r="B405" s="14"/>
      <c r="C405" s="4"/>
      <c r="D405" s="4"/>
      <c r="E405" s="17"/>
      <c r="F405" s="17"/>
      <c r="G405" s="16"/>
      <c r="H405" s="4"/>
      <c r="I405" s="4"/>
    </row>
    <row r="406" spans="1:9">
      <c r="A406" s="32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2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3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2"/>
      <c r="B412" s="14"/>
      <c r="C412" s="4"/>
      <c r="D412" s="4"/>
      <c r="E412" s="17"/>
      <c r="F412" s="17"/>
      <c r="G412" s="16"/>
      <c r="H412" s="4"/>
      <c r="I412" s="4"/>
    </row>
    <row r="413" spans="1:9">
      <c r="A413" s="32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2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3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2"/>
      <c r="B419" s="14"/>
      <c r="C419" s="4"/>
      <c r="D419" s="4"/>
      <c r="E419" s="17"/>
      <c r="F419" s="17"/>
      <c r="G419" s="16"/>
      <c r="H419" s="4"/>
      <c r="I419" s="4"/>
    </row>
    <row r="420" spans="1:9">
      <c r="A420" s="32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2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3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2"/>
      <c r="B426" s="14"/>
      <c r="C426" s="4"/>
      <c r="D426" s="4"/>
      <c r="E426" s="17"/>
      <c r="F426" s="17"/>
      <c r="G426" s="16"/>
      <c r="H426" s="4"/>
      <c r="I426" s="4"/>
    </row>
    <row r="427" spans="1:9">
      <c r="A427" s="32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2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3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2"/>
      <c r="B433" s="14"/>
      <c r="C433" s="4"/>
      <c r="D433" s="4"/>
      <c r="E433" s="17"/>
      <c r="F433" s="17"/>
      <c r="G433" s="16"/>
      <c r="H433" s="4"/>
      <c r="I433" s="4"/>
    </row>
    <row r="434" spans="1:9">
      <c r="A434" s="32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2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3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2"/>
      <c r="B440" s="14"/>
      <c r="C440" s="4"/>
      <c r="D440" s="4"/>
      <c r="E440" s="17"/>
      <c r="F440" s="17"/>
      <c r="G440" s="16"/>
      <c r="H440" s="4"/>
      <c r="I440" s="4"/>
    </row>
    <row r="441" spans="1:9">
      <c r="A441" s="32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2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3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2"/>
      <c r="B447" s="14"/>
      <c r="C447" s="4"/>
      <c r="D447" s="4"/>
      <c r="E447" s="17"/>
      <c r="F447" s="17"/>
      <c r="G447" s="16"/>
      <c r="H447" s="4"/>
      <c r="I447" s="4"/>
    </row>
    <row r="448" spans="1:9">
      <c r="A448" s="32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2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3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2"/>
      <c r="B454" s="14"/>
      <c r="C454" s="4"/>
      <c r="D454" s="4"/>
      <c r="E454" s="17"/>
      <c r="F454" s="17"/>
      <c r="G454" s="16"/>
      <c r="H454" s="4"/>
      <c r="I454" s="4"/>
    </row>
    <row r="455" spans="1:9">
      <c r="A455" s="32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2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3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2"/>
      <c r="B461" s="14"/>
      <c r="C461" s="4"/>
      <c r="D461" s="4"/>
      <c r="E461" s="17"/>
      <c r="F461" s="17"/>
      <c r="G461" s="16"/>
      <c r="H461" s="4"/>
      <c r="I461" s="4"/>
    </row>
    <row r="462" spans="1:9">
      <c r="A462" s="32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2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3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2"/>
      <c r="B468" s="14"/>
      <c r="C468" s="4"/>
      <c r="D468" s="4"/>
      <c r="E468" s="17"/>
      <c r="F468" s="17"/>
      <c r="G468" s="16"/>
      <c r="H468" s="4"/>
      <c r="I468" s="4"/>
    </row>
    <row r="469" spans="1:9">
      <c r="A469" s="32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2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3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2"/>
      <c r="B475" s="14"/>
      <c r="C475" s="4"/>
      <c r="D475" s="4"/>
      <c r="E475" s="17"/>
      <c r="F475" s="17"/>
      <c r="G475" s="16"/>
      <c r="H475" s="4"/>
      <c r="I475" s="4"/>
    </row>
    <row r="476" spans="1:9">
      <c r="A476" s="32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2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3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2"/>
      <c r="B482" s="14"/>
      <c r="C482" s="4"/>
      <c r="D482" s="4"/>
      <c r="E482" s="17"/>
      <c r="F482" s="17"/>
      <c r="G482" s="16"/>
      <c r="H482" s="4"/>
      <c r="I482" s="4"/>
    </row>
    <row r="483" spans="1:9">
      <c r="A483" s="32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2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3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2"/>
      <c r="B489" s="14"/>
      <c r="C489" s="4"/>
      <c r="D489" s="4"/>
      <c r="E489" s="17"/>
      <c r="F489" s="17"/>
      <c r="G489" s="16"/>
      <c r="H489" s="4"/>
      <c r="I489" s="4"/>
    </row>
    <row r="490" spans="1:9">
      <c r="A490" s="32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2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3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2"/>
      <c r="B496" s="14"/>
      <c r="C496" s="4"/>
      <c r="D496" s="4"/>
      <c r="E496" s="17"/>
      <c r="F496" s="17"/>
      <c r="G496" s="16"/>
      <c r="H496" s="4"/>
      <c r="I496" s="4"/>
    </row>
    <row r="497" spans="1:9">
      <c r="A497" s="32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2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3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2"/>
      <c r="B503" s="14"/>
      <c r="C503" s="4"/>
      <c r="D503" s="4"/>
      <c r="E503" s="17"/>
      <c r="F503" s="17"/>
      <c r="G503" s="16"/>
      <c r="H503" s="4"/>
      <c r="I503" s="4"/>
    </row>
    <row r="504" spans="1:9">
      <c r="A504" s="32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2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3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2"/>
      <c r="B510" s="14"/>
      <c r="C510" s="4"/>
      <c r="D510" s="4"/>
      <c r="E510" s="17"/>
      <c r="F510" s="17"/>
      <c r="G510" s="16"/>
      <c r="H510" s="4"/>
      <c r="I510" s="4"/>
    </row>
    <row r="511" spans="1:9">
      <c r="A511" s="32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2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3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2"/>
      <c r="B517" s="14"/>
      <c r="C517" s="4"/>
      <c r="D517" s="4"/>
      <c r="E517" s="17"/>
      <c r="F517" s="17"/>
      <c r="G517" s="16"/>
      <c r="H517" s="4"/>
      <c r="I517" s="4"/>
    </row>
    <row r="518" spans="1:9">
      <c r="A518" s="32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2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3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2"/>
      <c r="B524" s="14"/>
      <c r="C524" s="4"/>
      <c r="D524" s="4"/>
      <c r="E524" s="17"/>
      <c r="F524" s="17"/>
      <c r="G524" s="16"/>
      <c r="H524" s="4"/>
      <c r="I524" s="4"/>
    </row>
    <row r="525" spans="1:9">
      <c r="A525" s="32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2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3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2"/>
      <c r="B531" s="14"/>
      <c r="C531" s="4"/>
      <c r="D531" s="4"/>
      <c r="E531" s="17"/>
      <c r="F531" s="17"/>
      <c r="G531" s="16"/>
      <c r="H531" s="4"/>
      <c r="I531" s="4"/>
    </row>
    <row r="532" spans="1:9">
      <c r="A532" s="32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2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3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2"/>
      <c r="B538" s="14"/>
      <c r="C538" s="4"/>
      <c r="D538" s="4"/>
      <c r="E538" s="17"/>
      <c r="F538" s="17"/>
      <c r="G538" s="16"/>
      <c r="H538" s="4"/>
      <c r="I538" s="4"/>
    </row>
    <row r="539" spans="1:9">
      <c r="A539" s="32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2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3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2"/>
      <c r="B545" s="14"/>
      <c r="C545" s="4"/>
      <c r="D545" s="4"/>
      <c r="E545" s="17"/>
      <c r="F545" s="17"/>
      <c r="G545" s="16"/>
      <c r="H545" s="4"/>
      <c r="I545" s="4"/>
    </row>
    <row r="546" spans="1:9">
      <c r="A546" s="32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2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3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2"/>
      <c r="B552" s="14"/>
      <c r="C552" s="4"/>
      <c r="D552" s="4"/>
      <c r="E552" s="17"/>
      <c r="F552" s="17"/>
      <c r="G552" s="16"/>
      <c r="H552" s="4"/>
      <c r="I552" s="4"/>
    </row>
    <row r="553" spans="1:9">
      <c r="A553" s="32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2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3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2"/>
      <c r="B559" s="14"/>
      <c r="C559" s="4"/>
      <c r="D559" s="4"/>
      <c r="E559" s="17"/>
      <c r="F559" s="17"/>
      <c r="G559" s="16"/>
      <c r="H559" s="4"/>
      <c r="I559" s="4"/>
    </row>
    <row r="560" spans="1:9">
      <c r="A560" s="32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2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3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2"/>
      <c r="B566" s="14"/>
      <c r="C566" s="4"/>
      <c r="D566" s="4"/>
      <c r="E566" s="17"/>
      <c r="F566" s="17"/>
      <c r="G566" s="16"/>
      <c r="H566" s="4"/>
      <c r="I566" s="4"/>
    </row>
    <row r="567" spans="1:9">
      <c r="A567" s="32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2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3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2"/>
      <c r="B573" s="14"/>
      <c r="C573" s="4"/>
      <c r="D573" s="4"/>
      <c r="E573" s="17"/>
      <c r="F573" s="17"/>
      <c r="G573" s="16"/>
      <c r="H573" s="4"/>
      <c r="I573" s="4"/>
    </row>
    <row r="574" spans="1:9">
      <c r="A574" s="32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2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3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2"/>
      <c r="B580" s="14"/>
      <c r="C580" s="4"/>
      <c r="D580" s="4"/>
      <c r="E580" s="17"/>
      <c r="F580" s="17"/>
      <c r="G580" s="16"/>
      <c r="H580" s="4"/>
      <c r="I580" s="4"/>
    </row>
    <row r="581" spans="1:9">
      <c r="A581" s="32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2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3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2"/>
      <c r="B587" s="14"/>
      <c r="C587" s="4"/>
      <c r="D587" s="4"/>
      <c r="E587" s="17"/>
      <c r="F587" s="17"/>
      <c r="G587" s="16"/>
      <c r="H587" s="4"/>
      <c r="I587" s="4"/>
    </row>
    <row r="588" spans="1:9">
      <c r="A588" s="32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2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3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2"/>
      <c r="B594" s="14"/>
      <c r="C594" s="4"/>
      <c r="D594" s="4"/>
      <c r="E594" s="17"/>
      <c r="F594" s="17"/>
      <c r="G594" s="16"/>
      <c r="H594" s="4"/>
      <c r="I594" s="4"/>
    </row>
    <row r="595" spans="1:9">
      <c r="A595" s="32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2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3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2"/>
      <c r="B601" s="14"/>
      <c r="C601" s="4"/>
      <c r="D601" s="4"/>
      <c r="E601" s="17"/>
      <c r="F601" s="17"/>
      <c r="G601" s="16"/>
      <c r="H601" s="4"/>
      <c r="I601" s="4"/>
    </row>
    <row r="602" spans="1:9">
      <c r="A602" s="32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2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3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2"/>
      <c r="B608" s="14"/>
      <c r="C608" s="4"/>
      <c r="D608" s="4"/>
      <c r="E608" s="17"/>
      <c r="F608" s="17"/>
      <c r="G608" s="16"/>
      <c r="H608" s="4"/>
      <c r="I608" s="4"/>
    </row>
    <row r="609" spans="1:9">
      <c r="A609" s="32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2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3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2"/>
      <c r="B615" s="14"/>
      <c r="C615" s="4"/>
      <c r="D615" s="4"/>
      <c r="E615" s="17"/>
      <c r="F615" s="17"/>
      <c r="G615" s="16"/>
      <c r="H615" s="4"/>
      <c r="I615" s="4"/>
    </row>
    <row r="616" spans="1:9">
      <c r="A616" s="32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2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3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2"/>
      <c r="B622" s="14"/>
      <c r="C622" s="4"/>
      <c r="D622" s="4"/>
      <c r="E622" s="17"/>
      <c r="F622" s="17"/>
      <c r="G622" s="16"/>
      <c r="H622" s="4"/>
      <c r="I622" s="4"/>
    </row>
    <row r="623" spans="1:9">
      <c r="A623" s="32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2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3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2"/>
      <c r="B629" s="14"/>
      <c r="C629" s="4"/>
      <c r="D629" s="4"/>
      <c r="E629" s="17"/>
      <c r="F629" s="17"/>
      <c r="G629" s="16"/>
      <c r="H629" s="4"/>
      <c r="I629" s="4"/>
    </row>
    <row r="630" spans="1:9">
      <c r="A630" s="32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2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3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2"/>
      <c r="B636" s="14"/>
      <c r="C636" s="4"/>
      <c r="D636" s="4"/>
      <c r="E636" s="17"/>
      <c r="F636" s="17"/>
      <c r="G636" s="16"/>
      <c r="H636" s="4"/>
      <c r="I636" s="4"/>
    </row>
    <row r="637" spans="1:9">
      <c r="A637" s="32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2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3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2"/>
      <c r="B643" s="14"/>
      <c r="C643" s="4"/>
      <c r="D643" s="4"/>
      <c r="E643" s="17"/>
      <c r="F643" s="17"/>
      <c r="G643" s="16"/>
      <c r="H643" s="4"/>
      <c r="I643" s="4"/>
    </row>
    <row r="644" spans="1:9">
      <c r="A644" s="32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2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3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2"/>
      <c r="B650" s="14"/>
      <c r="C650" s="4"/>
      <c r="D650" s="4"/>
      <c r="E650" s="17"/>
      <c r="F650" s="17"/>
      <c r="G650" s="16"/>
      <c r="H650" s="4"/>
      <c r="I650" s="4"/>
    </row>
    <row r="651" spans="1:9">
      <c r="A651" s="32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2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3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2"/>
      <c r="B657" s="14"/>
      <c r="C657" s="4"/>
      <c r="D657" s="4"/>
      <c r="E657" s="17"/>
      <c r="F657" s="17"/>
      <c r="G657" s="16"/>
      <c r="H657" s="4"/>
      <c r="I657" s="4"/>
    </row>
    <row r="658" spans="1:9">
      <c r="A658" s="32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2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3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2"/>
      <c r="B664" s="14"/>
      <c r="C664" s="4"/>
      <c r="D664" s="4"/>
      <c r="E664" s="17"/>
      <c r="F664" s="17"/>
      <c r="G664" s="16"/>
      <c r="H664" s="4"/>
      <c r="I664" s="4"/>
    </row>
    <row r="665" spans="1:9">
      <c r="A665" s="32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2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3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2"/>
      <c r="B671" s="14"/>
      <c r="C671" s="4"/>
      <c r="D671" s="4"/>
      <c r="E671" s="17"/>
      <c r="F671" s="17"/>
      <c r="G671" s="16"/>
      <c r="H671" s="4"/>
      <c r="I671" s="4"/>
    </row>
    <row r="672" spans="1:9">
      <c r="A672" s="32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2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3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2"/>
      <c r="B678" s="14"/>
      <c r="C678" s="4"/>
      <c r="D678" s="4"/>
      <c r="E678" s="17"/>
      <c r="F678" s="17"/>
      <c r="G678" s="16"/>
      <c r="H678" s="4"/>
      <c r="I678" s="4"/>
    </row>
    <row r="679" spans="1:9">
      <c r="A679" s="32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2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3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2"/>
      <c r="B685" s="14"/>
      <c r="C685" s="4"/>
      <c r="D685" s="4"/>
      <c r="E685" s="17"/>
      <c r="F685" s="17"/>
      <c r="G685" s="16"/>
      <c r="H685" s="4"/>
      <c r="I685" s="4"/>
    </row>
    <row r="686" spans="1:9">
      <c r="A686" s="32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2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3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2"/>
      <c r="B692" s="14"/>
      <c r="C692" s="4"/>
      <c r="D692" s="4"/>
      <c r="E692" s="17"/>
      <c r="F692" s="17"/>
      <c r="G692" s="16"/>
      <c r="H692" s="4"/>
      <c r="I692" s="4"/>
    </row>
    <row r="693" spans="1:9">
      <c r="A693" s="32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2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3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2"/>
      <c r="B699" s="14"/>
      <c r="C699" s="4"/>
      <c r="D699" s="4"/>
      <c r="E699" s="17"/>
      <c r="F699" s="17"/>
      <c r="G699" s="16"/>
      <c r="H699" s="4"/>
      <c r="I699" s="4"/>
    </row>
    <row r="700" spans="1:9">
      <c r="A700" s="32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2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3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2"/>
      <c r="B706" s="14"/>
      <c r="C706" s="4"/>
      <c r="D706" s="4"/>
      <c r="E706" s="17"/>
      <c r="F706" s="17"/>
      <c r="G706" s="16"/>
      <c r="H706" s="4"/>
      <c r="I706" s="4"/>
    </row>
    <row r="707" spans="1:9">
      <c r="A707" s="32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2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3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2"/>
      <c r="B713" s="14"/>
      <c r="C713" s="4"/>
      <c r="D713" s="4"/>
      <c r="E713" s="17"/>
      <c r="F713" s="17"/>
      <c r="G713" s="16"/>
      <c r="H713" s="4"/>
      <c r="I713" s="4"/>
    </row>
    <row r="714" spans="1:9">
      <c r="A714" s="32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2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3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2"/>
      <c r="B720" s="14"/>
      <c r="C720" s="4"/>
      <c r="D720" s="4"/>
      <c r="E720" s="17"/>
      <c r="F720" s="17"/>
      <c r="G720" s="16"/>
      <c r="H720" s="4"/>
      <c r="I720" s="4"/>
    </row>
    <row r="721" spans="1:9">
      <c r="A721" s="32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2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3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2"/>
      <c r="B727" s="14"/>
      <c r="C727" s="4"/>
      <c r="D727" s="4"/>
      <c r="E727" s="17"/>
      <c r="F727" s="17"/>
      <c r="G727" s="16"/>
      <c r="H727" s="4"/>
      <c r="I727" s="4"/>
    </row>
    <row r="728" spans="1:9">
      <c r="A728" s="32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2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3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2"/>
      <c r="B734" s="14"/>
      <c r="C734" s="4"/>
      <c r="D734" s="4"/>
      <c r="E734" s="17"/>
      <c r="F734" s="17"/>
      <c r="G734" s="16"/>
      <c r="H734" s="4"/>
      <c r="I734" s="4"/>
    </row>
    <row r="735" spans="1:9">
      <c r="A735" s="32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2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3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2"/>
      <c r="B741" s="14"/>
      <c r="C741" s="4"/>
      <c r="D741" s="4"/>
      <c r="E741" s="17"/>
      <c r="F741" s="17"/>
      <c r="G741" s="16"/>
      <c r="H741" s="4"/>
      <c r="I741" s="4"/>
    </row>
    <row r="742" spans="1:9">
      <c r="A742" s="32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2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3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2"/>
      <c r="B748" s="14"/>
      <c r="C748" s="4"/>
      <c r="D748" s="4"/>
      <c r="E748" s="17"/>
      <c r="F748" s="17"/>
      <c r="G748" s="16"/>
      <c r="H748" s="4"/>
      <c r="I748" s="4"/>
    </row>
    <row r="749" spans="1:9">
      <c r="A749" s="32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2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3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2"/>
      <c r="B755" s="14"/>
      <c r="C755" s="4"/>
      <c r="D755" s="4"/>
      <c r="E755" s="17"/>
      <c r="F755" s="17"/>
      <c r="G755" s="16"/>
      <c r="H755" s="4"/>
      <c r="I755" s="4"/>
    </row>
    <row r="756" spans="1:9">
      <c r="A756" s="32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2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3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2"/>
      <c r="B762" s="14"/>
      <c r="C762" s="4"/>
      <c r="D762" s="4"/>
      <c r="E762" s="17"/>
      <c r="F762" s="17"/>
      <c r="G762" s="16"/>
      <c r="H762" s="4"/>
      <c r="I762" s="4"/>
    </row>
    <row r="763" spans="1:9">
      <c r="A763" s="32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2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3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2"/>
      <c r="B769" s="14"/>
      <c r="C769" s="4"/>
      <c r="D769" s="4"/>
      <c r="E769" s="17"/>
      <c r="F769" s="17"/>
      <c r="G769" s="16"/>
      <c r="H769" s="4"/>
      <c r="I769" s="4"/>
    </row>
    <row r="770" spans="1:9">
      <c r="A770" s="32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2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3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2"/>
      <c r="B776" s="14"/>
      <c r="C776" s="4"/>
      <c r="D776" s="4"/>
      <c r="E776" s="17"/>
      <c r="F776" s="17"/>
      <c r="G776" s="16"/>
      <c r="H776" s="4"/>
      <c r="I776" s="4"/>
    </row>
    <row r="777" spans="1:9">
      <c r="A777" s="32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2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3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2"/>
      <c r="B783" s="14"/>
      <c r="C783" s="4"/>
      <c r="D783" s="4"/>
      <c r="E783" s="17"/>
      <c r="F783" s="17"/>
      <c r="G783" s="16"/>
      <c r="H783" s="4"/>
      <c r="I783" s="4"/>
    </row>
    <row r="784" spans="1:9">
      <c r="A784" s="32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2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3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2"/>
      <c r="B790" s="14"/>
      <c r="C790" s="4"/>
      <c r="D790" s="4"/>
      <c r="E790" s="17"/>
      <c r="F790" s="17"/>
      <c r="G790" s="16"/>
      <c r="H790" s="4"/>
      <c r="I790" s="4"/>
    </row>
    <row r="791" spans="1:9">
      <c r="A791" s="32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2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3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2"/>
      <c r="B797" s="14"/>
      <c r="C797" s="4"/>
      <c r="D797" s="4"/>
      <c r="E797" s="17"/>
      <c r="F797" s="17"/>
      <c r="G797" s="16"/>
      <c r="H797" s="4"/>
      <c r="I797" s="4"/>
    </row>
    <row r="798" spans="1:9">
      <c r="A798" s="32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2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3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2"/>
      <c r="B804" s="14"/>
      <c r="C804" s="4"/>
      <c r="D804" s="4"/>
      <c r="E804" s="17"/>
      <c r="F804" s="17"/>
      <c r="G804" s="16"/>
      <c r="H804" s="4"/>
      <c r="I804" s="4"/>
    </row>
    <row r="805" spans="1:9">
      <c r="A805" s="32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2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3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2"/>
      <c r="B811" s="14"/>
      <c r="C811" s="4"/>
      <c r="D811" s="4"/>
      <c r="E811" s="17"/>
      <c r="F811" s="17"/>
      <c r="G811" s="16"/>
      <c r="H811" s="4"/>
      <c r="I811" s="4"/>
    </row>
    <row r="812" spans="1:9">
      <c r="A812" s="32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2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3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2"/>
      <c r="B818" s="14"/>
      <c r="C818" s="4"/>
      <c r="D818" s="4"/>
      <c r="E818" s="17"/>
      <c r="F818" s="17"/>
      <c r="G818" s="16"/>
      <c r="H818" s="4"/>
      <c r="I818" s="4"/>
    </row>
    <row r="819" spans="1:9">
      <c r="A819" s="32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2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3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2"/>
      <c r="B825" s="14"/>
      <c r="C825" s="4"/>
      <c r="D825" s="4"/>
      <c r="E825" s="17"/>
      <c r="F825" s="17"/>
      <c r="G825" s="16"/>
      <c r="H825" s="4"/>
      <c r="I825" s="4"/>
    </row>
    <row r="826" spans="1:9">
      <c r="A826" s="32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2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3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2"/>
      <c r="B832" s="14"/>
      <c r="C832" s="4"/>
      <c r="D832" s="4"/>
      <c r="E832" s="17"/>
      <c r="F832" s="17"/>
      <c r="G832" s="16"/>
      <c r="H832" s="4"/>
      <c r="I832" s="4"/>
    </row>
    <row r="833" spans="1:9">
      <c r="A833" s="32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2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3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2"/>
      <c r="B839" s="14"/>
      <c r="C839" s="4"/>
      <c r="D839" s="4"/>
      <c r="E839" s="17"/>
      <c r="F839" s="17"/>
      <c r="G839" s="16"/>
      <c r="H839" s="4"/>
      <c r="I839" s="4"/>
    </row>
    <row r="840" spans="1:9">
      <c r="A840" s="32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2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3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2"/>
      <c r="B846" s="14"/>
      <c r="C846" s="4"/>
      <c r="D846" s="4"/>
      <c r="E846" s="17"/>
      <c r="F846" s="17"/>
      <c r="G846" s="16"/>
      <c r="H846" s="4"/>
      <c r="I846" s="4"/>
    </row>
    <row r="847" spans="1:9">
      <c r="A847" s="32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2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3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2"/>
      <c r="B853" s="14"/>
      <c r="C853" s="4"/>
      <c r="D853" s="4"/>
      <c r="E853" s="17"/>
      <c r="F853" s="17"/>
      <c r="G853" s="16"/>
      <c r="H853" s="4"/>
      <c r="I853" s="4"/>
    </row>
    <row r="854" spans="1:9">
      <c r="A854" s="32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2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3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2"/>
      <c r="B860" s="14"/>
      <c r="C860" s="4"/>
      <c r="D860" s="4"/>
      <c r="E860" s="17"/>
      <c r="F860" s="17"/>
      <c r="G860" s="16"/>
      <c r="H860" s="4"/>
      <c r="I860" s="4"/>
    </row>
    <row r="861" spans="1:9">
      <c r="A861" s="32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2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3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2"/>
      <c r="B867" s="14"/>
      <c r="C867" s="4"/>
      <c r="D867" s="4"/>
      <c r="E867" s="17"/>
      <c r="F867" s="17"/>
      <c r="G867" s="16"/>
      <c r="H867" s="4"/>
      <c r="I867" s="4"/>
    </row>
    <row r="868" spans="1:9">
      <c r="A868" s="32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2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3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2"/>
      <c r="B874" s="14"/>
      <c r="C874" s="4"/>
      <c r="D874" s="4"/>
      <c r="E874" s="17"/>
      <c r="F874" s="17"/>
      <c r="G874" s="16"/>
      <c r="H874" s="4"/>
      <c r="I874" s="4"/>
    </row>
    <row r="875" spans="1:9">
      <c r="A875" s="32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2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3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2"/>
      <c r="B881" s="14"/>
      <c r="C881" s="4"/>
      <c r="D881" s="4"/>
      <c r="E881" s="17"/>
      <c r="F881" s="17"/>
      <c r="G881" s="16"/>
      <c r="H881" s="4"/>
      <c r="I881" s="4"/>
    </row>
    <row r="882" spans="1:9">
      <c r="A882" s="32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2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3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2"/>
      <c r="B888" s="14"/>
      <c r="C888" s="4"/>
      <c r="D888" s="4"/>
      <c r="E888" s="17"/>
      <c r="F888" s="17"/>
      <c r="G888" s="16"/>
      <c r="H888" s="4"/>
      <c r="I888" s="4"/>
    </row>
    <row r="889" spans="1:9">
      <c r="A889" s="32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2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3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2"/>
      <c r="B895" s="14"/>
      <c r="C895" s="4"/>
      <c r="D895" s="4"/>
      <c r="E895" s="17"/>
      <c r="F895" s="17"/>
      <c r="G895" s="16"/>
      <c r="H895" s="4"/>
      <c r="I895" s="4"/>
    </row>
    <row r="896" spans="1:9">
      <c r="A896" s="32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2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3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2"/>
      <c r="B902" s="14"/>
      <c r="C902" s="4"/>
      <c r="D902" s="4"/>
      <c r="E902" s="17"/>
      <c r="F902" s="17"/>
      <c r="G902" s="16"/>
      <c r="H902" s="4"/>
      <c r="I902" s="4"/>
    </row>
    <row r="903" spans="1:9">
      <c r="A903" s="32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2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3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2"/>
      <c r="B909" s="14"/>
      <c r="C909" s="4"/>
      <c r="D909" s="4"/>
      <c r="E909" s="17"/>
      <c r="F909" s="17"/>
      <c r="G909" s="16"/>
      <c r="H909" s="4"/>
      <c r="I909" s="4"/>
    </row>
    <row r="910" spans="1:9">
      <c r="A910" s="32"/>
      <c r="B910" s="14"/>
      <c r="C910" s="4"/>
      <c r="D910" s="4"/>
      <c r="E910" s="17"/>
      <c r="F910" s="17"/>
      <c r="G910" s="16"/>
      <c r="H910" s="4"/>
      <c r="I910" s="4"/>
    </row>
    <row r="911" spans="1:9">
      <c r="A911" s="32"/>
      <c r="B911" s="14"/>
      <c r="C911" s="4"/>
      <c r="D911" s="4"/>
      <c r="E911" s="17"/>
      <c r="F911" s="17"/>
      <c r="G911" s="16"/>
      <c r="H911" s="4"/>
      <c r="I911" s="4"/>
    </row>
    <row r="912" spans="1:9">
      <c r="A912" s="32"/>
      <c r="B912" s="14"/>
      <c r="C912" s="4"/>
      <c r="D912" s="4"/>
      <c r="E912" s="17"/>
      <c r="F912" s="17"/>
      <c r="G912" s="16"/>
      <c r="H912" s="4"/>
      <c r="I912" s="4"/>
    </row>
    <row r="913" spans="1:9">
      <c r="A913" s="32"/>
      <c r="B913" s="14"/>
      <c r="C913" s="4"/>
      <c r="D913" s="4"/>
      <c r="E913" s="17"/>
      <c r="F913" s="17"/>
      <c r="G913" s="16"/>
      <c r="H913" s="4"/>
      <c r="I913" s="4"/>
    </row>
    <row r="914" spans="1:9">
      <c r="A914" s="33"/>
      <c r="B914" s="14"/>
      <c r="C914" s="4"/>
      <c r="D914" s="4"/>
      <c r="E914" s="17"/>
      <c r="F914" s="17"/>
      <c r="G914" s="16"/>
      <c r="H914" s="4"/>
      <c r="I914" s="4"/>
    </row>
    <row r="915" spans="1:9">
      <c r="A915" s="32"/>
      <c r="B915" s="14"/>
      <c r="C915" s="4"/>
      <c r="D915" s="4"/>
      <c r="E915" s="17"/>
      <c r="F915" s="17"/>
      <c r="G915" s="16"/>
      <c r="H915" s="4"/>
      <c r="I915" s="4"/>
    </row>
    <row r="916" spans="1:9">
      <c r="A916" s="32"/>
      <c r="B916" s="14"/>
      <c r="C916" s="4"/>
      <c r="D916" s="4"/>
      <c r="E916" s="17"/>
      <c r="F916" s="17"/>
      <c r="G916" s="16"/>
      <c r="H916" s="4"/>
      <c r="I916" s="4"/>
    </row>
    <row r="917" spans="1:9">
      <c r="A917" s="32"/>
      <c r="B917" s="14"/>
      <c r="C917" s="4"/>
      <c r="D917" s="4"/>
      <c r="E917" s="17"/>
      <c r="F917" s="17"/>
      <c r="G917" s="16"/>
      <c r="H917" s="4"/>
      <c r="I917" s="4"/>
    </row>
    <row r="918" spans="1:9">
      <c r="A918" s="32"/>
      <c r="B918" s="14"/>
      <c r="C918" s="4"/>
      <c r="D918" s="4"/>
      <c r="E918" s="17"/>
      <c r="F918" s="17"/>
      <c r="G918" s="16"/>
      <c r="H918" s="4"/>
      <c r="I918" s="4"/>
    </row>
    <row r="919" spans="1:9">
      <c r="A919" s="32"/>
      <c r="B919" s="14"/>
      <c r="C919" s="4"/>
      <c r="D919" s="4"/>
      <c r="E919" s="17"/>
      <c r="F919" s="17"/>
      <c r="G919" s="16"/>
      <c r="H919" s="4"/>
      <c r="I919" s="4"/>
    </row>
    <row r="920" spans="1:9">
      <c r="A920" s="32"/>
      <c r="B920" s="14"/>
      <c r="C920" s="4"/>
      <c r="D920" s="4"/>
      <c r="E920" s="17"/>
      <c r="F920" s="17"/>
      <c r="G920" s="16"/>
      <c r="H920" s="4"/>
      <c r="I920" s="4"/>
    </row>
    <row r="921" spans="1:9">
      <c r="A921" s="33"/>
      <c r="B921" s="14"/>
      <c r="C921" s="4"/>
      <c r="D921" s="4"/>
      <c r="E921" s="17"/>
      <c r="F921" s="17"/>
      <c r="G921" s="16"/>
      <c r="H921" s="4"/>
      <c r="I921" s="4"/>
    </row>
    <row r="922" spans="1:9">
      <c r="A922" s="32"/>
      <c r="B922" s="14"/>
      <c r="C922" s="4"/>
      <c r="D922" s="4"/>
      <c r="E922" s="17"/>
      <c r="F922" s="17"/>
      <c r="G922" s="16"/>
      <c r="H922" s="4"/>
      <c r="I922" s="4"/>
    </row>
  </sheetData>
  <conditionalFormatting sqref="H2:H8">
    <cfRule type="duplicateValues" dxfId="4" priority="4"/>
  </conditionalFormatting>
  <conditionalFormatting sqref="A2:A8">
    <cfRule type="duplicateValues" dxfId="3" priority="3"/>
  </conditionalFormatting>
  <conditionalFormatting sqref="A15:A17">
    <cfRule type="duplicateValues" dxfId="2" priority="2"/>
  </conditionalFormatting>
  <conditionalFormatting sqref="A18:A21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filterMode="1"/>
  <dimension ref="A1:I910"/>
  <sheetViews>
    <sheetView topLeftCell="A3" workbookViewId="0">
      <selection activeCell="B23" sqref="B23"/>
    </sheetView>
  </sheetViews>
  <sheetFormatPr defaultColWidth="9.140625" defaultRowHeight="15"/>
  <cols>
    <col min="1" max="1" width="15.140625" style="1" customWidth="1"/>
    <col min="2" max="2" width="7.140625" style="1" customWidth="1"/>
    <col min="3" max="3" width="12.140625" style="1" bestFit="1" customWidth="1"/>
    <col min="4" max="4" width="39.28515625" style="1" customWidth="1"/>
    <col min="5" max="6" width="12.5703125" style="1" customWidth="1"/>
    <col min="7" max="7" width="19" style="1" customWidth="1"/>
    <col min="8" max="8" width="91.5703125" style="1" bestFit="1" customWidth="1"/>
    <col min="9" max="11" width="48" style="1" customWidth="1"/>
    <col min="12" max="16384" width="9.140625" style="1"/>
  </cols>
  <sheetData>
    <row r="1" spans="1:9" s="12" customFormat="1">
      <c r="A1" s="9" t="s">
        <v>20</v>
      </c>
      <c r="B1" s="9" t="s">
        <v>0</v>
      </c>
      <c r="C1" s="9" t="s">
        <v>21</v>
      </c>
      <c r="D1" s="9" t="s">
        <v>37</v>
      </c>
      <c r="E1" s="9" t="s">
        <v>32</v>
      </c>
      <c r="F1" s="12" t="s">
        <v>33</v>
      </c>
      <c r="G1" s="9" t="s">
        <v>30</v>
      </c>
      <c r="H1" s="9" t="s">
        <v>31</v>
      </c>
      <c r="I1" s="9" t="s">
        <v>101</v>
      </c>
    </row>
    <row r="2" spans="1:9">
      <c r="A2" s="217" t="s">
        <v>208</v>
      </c>
      <c r="B2" s="218"/>
      <c r="C2" s="218"/>
      <c r="D2" s="218"/>
      <c r="E2" s="218"/>
      <c r="F2" s="218"/>
      <c r="G2" s="218"/>
      <c r="H2" s="218"/>
      <c r="I2" s="219"/>
    </row>
    <row r="3" spans="1:9">
      <c r="A3" s="220"/>
      <c r="B3" s="221"/>
      <c r="C3" s="221"/>
      <c r="D3" s="221"/>
      <c r="E3" s="221"/>
      <c r="F3" s="221"/>
      <c r="G3" s="221"/>
      <c r="H3" s="221"/>
      <c r="I3" s="222"/>
    </row>
    <row r="4" spans="1:9" ht="21">
      <c r="A4" s="68" t="s">
        <v>256</v>
      </c>
      <c r="B4" s="68"/>
      <c r="C4" s="68" t="s">
        <v>257</v>
      </c>
      <c r="D4" s="68" t="s">
        <v>258</v>
      </c>
      <c r="E4" s="68"/>
      <c r="F4" s="68"/>
      <c r="G4" s="68"/>
      <c r="H4" s="68"/>
      <c r="I4" s="69"/>
    </row>
    <row r="5" spans="1:9">
      <c r="A5" s="53">
        <v>43105</v>
      </c>
      <c r="B5" s="14" t="s">
        <v>7</v>
      </c>
      <c r="C5" s="4" t="s">
        <v>89</v>
      </c>
      <c r="D5" s="4" t="s">
        <v>194</v>
      </c>
      <c r="E5" s="17">
        <v>0.84722222222222221</v>
      </c>
      <c r="F5" s="17">
        <v>0.875</v>
      </c>
      <c r="G5" s="16">
        <v>0.66666666666666663</v>
      </c>
      <c r="H5" s="54" t="s">
        <v>210</v>
      </c>
      <c r="I5" s="36"/>
    </row>
    <row r="6" spans="1:9">
      <c r="A6" s="53">
        <v>43105</v>
      </c>
      <c r="B6" s="14" t="s">
        <v>7</v>
      </c>
      <c r="C6" s="4" t="s">
        <v>192</v>
      </c>
      <c r="D6" s="4" t="s">
        <v>209</v>
      </c>
      <c r="E6" s="17">
        <v>0.86805555555555547</v>
      </c>
      <c r="F6" s="17">
        <v>0.89583333333333337</v>
      </c>
      <c r="G6" s="16">
        <v>0.66666666666666663</v>
      </c>
      <c r="H6" s="54" t="s">
        <v>211</v>
      </c>
      <c r="I6" s="36"/>
    </row>
    <row r="7" spans="1:9">
      <c r="A7" s="53">
        <v>43164</v>
      </c>
      <c r="B7" s="14" t="s">
        <v>3</v>
      </c>
      <c r="C7" s="4" t="s">
        <v>89</v>
      </c>
      <c r="D7" s="4" t="s">
        <v>119</v>
      </c>
      <c r="E7" s="17">
        <v>0.2638888888888889</v>
      </c>
      <c r="F7" s="17">
        <v>0.27777777777777779</v>
      </c>
      <c r="G7" s="16">
        <v>0.33333333333333331</v>
      </c>
      <c r="H7" s="54" t="s">
        <v>212</v>
      </c>
      <c r="I7" s="36"/>
    </row>
    <row r="8" spans="1:9">
      <c r="A8" s="53">
        <v>43136</v>
      </c>
      <c r="B8" s="14" t="s">
        <v>7</v>
      </c>
      <c r="C8" s="4" t="s">
        <v>89</v>
      </c>
      <c r="D8" s="4" t="s">
        <v>151</v>
      </c>
      <c r="E8" s="17">
        <v>0.375</v>
      </c>
      <c r="F8" s="17">
        <v>0.3923611111111111</v>
      </c>
      <c r="G8" s="16">
        <v>0.41666666666666669</v>
      </c>
      <c r="H8" s="54" t="s">
        <v>213</v>
      </c>
      <c r="I8" s="36"/>
    </row>
    <row r="9" spans="1:9">
      <c r="A9" s="217" t="s">
        <v>214</v>
      </c>
      <c r="B9" s="218"/>
      <c r="C9" s="218"/>
      <c r="D9" s="218"/>
      <c r="E9" s="218"/>
      <c r="F9" s="218"/>
      <c r="G9" s="218"/>
      <c r="H9" s="218"/>
      <c r="I9" s="219"/>
    </row>
    <row r="10" spans="1:9">
      <c r="A10" s="220"/>
      <c r="B10" s="221"/>
      <c r="C10" s="221"/>
      <c r="D10" s="221"/>
      <c r="E10" s="221"/>
      <c r="F10" s="221"/>
      <c r="G10" s="221"/>
      <c r="H10" s="221"/>
      <c r="I10" s="222"/>
    </row>
    <row r="11" spans="1:9">
      <c r="A11" s="57">
        <v>43378</v>
      </c>
      <c r="B11" s="14" t="s">
        <v>92</v>
      </c>
      <c r="C11" s="4" t="s">
        <v>89</v>
      </c>
      <c r="D11" s="4" t="s">
        <v>194</v>
      </c>
      <c r="E11" s="17">
        <v>0.22916666666666666</v>
      </c>
      <c r="F11" s="17">
        <v>0.23958333333333334</v>
      </c>
      <c r="G11" s="16">
        <v>0.25</v>
      </c>
      <c r="H11" s="54" t="s">
        <v>215</v>
      </c>
      <c r="I11" s="36"/>
    </row>
    <row r="12" spans="1:9">
      <c r="A12" s="217" t="s">
        <v>216</v>
      </c>
      <c r="B12" s="218"/>
      <c r="C12" s="218"/>
      <c r="D12" s="218"/>
      <c r="E12" s="218"/>
      <c r="F12" s="218"/>
      <c r="G12" s="218"/>
      <c r="H12" s="218"/>
      <c r="I12" s="219"/>
    </row>
    <row r="13" spans="1:9">
      <c r="A13" s="220"/>
      <c r="B13" s="221"/>
      <c r="C13" s="221"/>
      <c r="D13" s="221"/>
      <c r="E13" s="221"/>
      <c r="F13" s="221"/>
      <c r="G13" s="221"/>
      <c r="H13" s="221"/>
      <c r="I13" s="222"/>
    </row>
    <row r="14" spans="1:9" hidden="1">
      <c r="A14" s="57"/>
      <c r="B14" s="14"/>
      <c r="C14" s="4"/>
      <c r="D14" s="4"/>
      <c r="E14" s="17"/>
      <c r="F14" s="17"/>
      <c r="G14" s="16"/>
      <c r="H14" s="54"/>
      <c r="I14" s="36"/>
    </row>
    <row r="15" spans="1:9">
      <c r="A15" s="57" t="s">
        <v>217</v>
      </c>
      <c r="B15" s="14" t="s">
        <v>3</v>
      </c>
      <c r="C15" s="4" t="s">
        <v>192</v>
      </c>
      <c r="D15" s="4" t="s">
        <v>218</v>
      </c>
      <c r="E15" s="17">
        <v>0.375</v>
      </c>
      <c r="F15" s="17">
        <v>0.39930555555555558</v>
      </c>
      <c r="G15" s="16">
        <v>0.58333333333333337</v>
      </c>
      <c r="H15" s="54" t="s">
        <v>219</v>
      </c>
      <c r="I15" s="36"/>
    </row>
    <row r="16" spans="1:9">
      <c r="A16" s="53" t="s">
        <v>217</v>
      </c>
      <c r="B16" s="14" t="s">
        <v>92</v>
      </c>
      <c r="C16" s="4" t="s">
        <v>89</v>
      </c>
      <c r="D16" s="4" t="s">
        <v>194</v>
      </c>
      <c r="E16" s="17">
        <v>0.16666666666666666</v>
      </c>
      <c r="F16" s="17">
        <v>0.20833333333333334</v>
      </c>
      <c r="G16" s="16">
        <v>1</v>
      </c>
      <c r="H16" s="54" t="s">
        <v>220</v>
      </c>
      <c r="I16" s="36"/>
    </row>
    <row r="17" spans="1:9">
      <c r="A17" s="57" t="s">
        <v>221</v>
      </c>
      <c r="B17" s="14" t="s">
        <v>3</v>
      </c>
      <c r="C17" s="4" t="s">
        <v>89</v>
      </c>
      <c r="D17" s="4" t="s">
        <v>133</v>
      </c>
      <c r="E17" s="17">
        <v>0.54166666666666663</v>
      </c>
      <c r="F17" s="17">
        <v>0.56597222222222221</v>
      </c>
      <c r="G17" s="16">
        <v>0.58333333333333337</v>
      </c>
      <c r="H17" s="54" t="s">
        <v>222</v>
      </c>
      <c r="I17" s="36"/>
    </row>
    <row r="18" spans="1:9">
      <c r="A18" s="57" t="s">
        <v>223</v>
      </c>
      <c r="B18" s="14" t="s">
        <v>3</v>
      </c>
      <c r="C18" s="4" t="s">
        <v>89</v>
      </c>
      <c r="D18" s="4" t="s">
        <v>194</v>
      </c>
      <c r="E18" s="17">
        <v>0.41666666666666669</v>
      </c>
      <c r="F18" s="17">
        <v>0.43402777777777773</v>
      </c>
      <c r="G18" s="16">
        <v>0.41666666666666669</v>
      </c>
      <c r="H18" s="54" t="s">
        <v>224</v>
      </c>
      <c r="I18" s="36"/>
    </row>
    <row r="19" spans="1:9" hidden="1">
      <c r="A19" s="217" t="s">
        <v>225</v>
      </c>
      <c r="B19" s="218"/>
      <c r="C19" s="218"/>
      <c r="D19" s="218"/>
      <c r="E19" s="218"/>
      <c r="F19" s="218"/>
      <c r="G19" s="218"/>
      <c r="H19" s="218"/>
      <c r="I19" s="219"/>
    </row>
    <row r="20" spans="1:9" hidden="1">
      <c r="A20" s="220"/>
      <c r="B20" s="221"/>
      <c r="C20" s="221"/>
      <c r="D20" s="221"/>
      <c r="E20" s="221"/>
      <c r="F20" s="221"/>
      <c r="G20" s="221"/>
      <c r="H20" s="221"/>
      <c r="I20" s="222"/>
    </row>
    <row r="21" spans="1:9">
      <c r="A21" s="57" t="s">
        <v>226</v>
      </c>
      <c r="B21" s="14" t="s">
        <v>92</v>
      </c>
      <c r="C21" s="4" t="s">
        <v>121</v>
      </c>
      <c r="D21" s="4" t="s">
        <v>228</v>
      </c>
      <c r="E21" s="17">
        <v>0</v>
      </c>
      <c r="F21" s="17">
        <v>1.3888888888888888E-2</v>
      </c>
      <c r="G21" s="16">
        <v>0.33333333333333331</v>
      </c>
      <c r="H21" s="54" t="s">
        <v>227</v>
      </c>
      <c r="I21" s="36"/>
    </row>
    <row r="22" spans="1:9">
      <c r="A22" s="57" t="s">
        <v>229</v>
      </c>
      <c r="B22" s="14" t="s">
        <v>3</v>
      </c>
      <c r="C22" s="4" t="s">
        <v>231</v>
      </c>
      <c r="D22" s="4" t="s">
        <v>232</v>
      </c>
      <c r="E22" s="17">
        <v>0.28125</v>
      </c>
      <c r="F22" s="17">
        <v>0.29166666666666669</v>
      </c>
      <c r="G22" s="16">
        <v>0.25</v>
      </c>
      <c r="H22" s="54" t="s">
        <v>233</v>
      </c>
      <c r="I22" s="36"/>
    </row>
    <row r="23" spans="1:9">
      <c r="A23" s="57" t="s">
        <v>230</v>
      </c>
      <c r="B23" s="14" t="s">
        <v>3</v>
      </c>
      <c r="C23" s="4" t="s">
        <v>234</v>
      </c>
      <c r="D23" s="4" t="s">
        <v>235</v>
      </c>
      <c r="E23" s="17">
        <v>0.63541666666666663</v>
      </c>
      <c r="F23" s="17">
        <v>0.67708333333333337</v>
      </c>
      <c r="G23" s="16">
        <v>1</v>
      </c>
      <c r="H23" s="54" t="s">
        <v>236</v>
      </c>
      <c r="I23" s="36"/>
    </row>
    <row r="24" spans="1:9">
      <c r="A24" s="57" t="s">
        <v>230</v>
      </c>
      <c r="B24" s="14" t="s">
        <v>92</v>
      </c>
      <c r="C24" s="4" t="s">
        <v>237</v>
      </c>
      <c r="D24" s="4" t="s">
        <v>238</v>
      </c>
      <c r="E24" s="17">
        <v>0.125</v>
      </c>
      <c r="F24" s="17">
        <v>0.15625</v>
      </c>
      <c r="G24" s="16">
        <v>0.75</v>
      </c>
      <c r="H24" s="54" t="s">
        <v>239</v>
      </c>
      <c r="I24" s="36"/>
    </row>
    <row r="25" spans="1:9">
      <c r="A25" s="53" t="s">
        <v>240</v>
      </c>
      <c r="B25" s="14" t="s">
        <v>92</v>
      </c>
      <c r="C25" s="4" t="s">
        <v>234</v>
      </c>
      <c r="D25" s="4" t="s">
        <v>241</v>
      </c>
      <c r="E25" s="17">
        <v>9.375E-2</v>
      </c>
      <c r="F25" s="17">
        <v>0.1111111111111111</v>
      </c>
      <c r="G25" s="16">
        <v>0.41666666666666669</v>
      </c>
      <c r="H25" s="54" t="s">
        <v>242</v>
      </c>
      <c r="I25" s="36"/>
    </row>
    <row r="26" spans="1:9">
      <c r="A26" s="53" t="s">
        <v>240</v>
      </c>
      <c r="B26" s="14" t="s">
        <v>3</v>
      </c>
      <c r="C26" s="4" t="s">
        <v>234</v>
      </c>
      <c r="D26" s="4" t="s">
        <v>194</v>
      </c>
      <c r="E26" s="17">
        <v>0.41666666666666669</v>
      </c>
      <c r="F26" s="17">
        <v>0.4375</v>
      </c>
      <c r="G26" s="16">
        <v>0.5</v>
      </c>
      <c r="H26" s="54" t="s">
        <v>243</v>
      </c>
      <c r="I26" s="36"/>
    </row>
    <row r="27" spans="1:9" hidden="1">
      <c r="A27" s="217" t="s">
        <v>244</v>
      </c>
      <c r="B27" s="218"/>
      <c r="C27" s="218"/>
      <c r="D27" s="218"/>
      <c r="E27" s="218"/>
      <c r="F27" s="218"/>
      <c r="G27" s="218"/>
      <c r="H27" s="218"/>
      <c r="I27" s="219"/>
    </row>
    <row r="28" spans="1:9" hidden="1">
      <c r="A28" s="220"/>
      <c r="B28" s="221"/>
      <c r="C28" s="221"/>
      <c r="D28" s="221"/>
      <c r="E28" s="221"/>
      <c r="F28" s="221"/>
      <c r="G28" s="221"/>
      <c r="H28" s="221"/>
      <c r="I28" s="222"/>
    </row>
    <row r="29" spans="1:9">
      <c r="A29" s="57" t="s">
        <v>245</v>
      </c>
      <c r="B29" s="14" t="s">
        <v>7</v>
      </c>
      <c r="C29" s="18" t="s">
        <v>89</v>
      </c>
      <c r="D29" s="4" t="s">
        <v>194</v>
      </c>
      <c r="E29" s="17">
        <v>0.39583333333333331</v>
      </c>
      <c r="F29" s="17">
        <v>0.40972222222222227</v>
      </c>
      <c r="G29" s="16">
        <v>0.33333333333333331</v>
      </c>
      <c r="H29" s="54" t="s">
        <v>251</v>
      </c>
      <c r="I29" s="36"/>
    </row>
    <row r="30" spans="1:9">
      <c r="A30" s="57" t="s">
        <v>245</v>
      </c>
      <c r="B30" s="14" t="s">
        <v>92</v>
      </c>
      <c r="C30" s="4" t="s">
        <v>177</v>
      </c>
      <c r="D30" s="4" t="s">
        <v>248</v>
      </c>
      <c r="E30" s="17">
        <v>8.3333333333333329E-2</v>
      </c>
      <c r="F30" s="17">
        <v>0.10069444444444443</v>
      </c>
      <c r="G30" s="16">
        <v>0.41666666666666669</v>
      </c>
      <c r="H30" s="54" t="s">
        <v>252</v>
      </c>
      <c r="I30" s="36"/>
    </row>
    <row r="31" spans="1:9">
      <c r="A31" s="57" t="s">
        <v>246</v>
      </c>
      <c r="B31" s="14" t="s">
        <v>92</v>
      </c>
      <c r="C31" s="4" t="s">
        <v>171</v>
      </c>
      <c r="D31" s="4" t="s">
        <v>249</v>
      </c>
      <c r="E31" s="17">
        <v>0.125</v>
      </c>
      <c r="F31" s="17">
        <v>0.13541666666666666</v>
      </c>
      <c r="G31" s="16">
        <v>0.25</v>
      </c>
      <c r="H31" s="54" t="s">
        <v>253</v>
      </c>
      <c r="I31" s="36"/>
    </row>
    <row r="32" spans="1:9">
      <c r="A32" s="57" t="s">
        <v>247</v>
      </c>
      <c r="B32" s="14" t="s">
        <v>3</v>
      </c>
      <c r="C32" s="18" t="s">
        <v>89</v>
      </c>
      <c r="D32" s="4" t="s">
        <v>250</v>
      </c>
      <c r="E32" s="17">
        <v>0.29166666666666669</v>
      </c>
      <c r="F32" s="17">
        <v>0.30902777777777779</v>
      </c>
      <c r="G32" s="16">
        <v>0.41666666666666669</v>
      </c>
      <c r="H32" s="54" t="s">
        <v>254</v>
      </c>
      <c r="I32" s="36"/>
    </row>
    <row r="33" spans="1:9" ht="15.75" thickBot="1">
      <c r="A33" s="67">
        <v>43136</v>
      </c>
      <c r="B33" s="59" t="s">
        <v>7</v>
      </c>
      <c r="C33" s="70" t="s">
        <v>89</v>
      </c>
      <c r="D33" s="60" t="s">
        <v>194</v>
      </c>
      <c r="E33" s="61">
        <v>0.14583333333333334</v>
      </c>
      <c r="F33" s="61">
        <v>0.16666666666666666</v>
      </c>
      <c r="G33" s="62">
        <v>0.5</v>
      </c>
      <c r="H33" s="63" t="s">
        <v>255</v>
      </c>
      <c r="I33" s="36"/>
    </row>
    <row r="34" spans="1:9">
      <c r="A34" s="42"/>
      <c r="B34" s="43"/>
      <c r="C34" s="44"/>
      <c r="D34" s="44"/>
      <c r="E34" s="45"/>
      <c r="F34" s="45"/>
      <c r="G34" s="46"/>
      <c r="H34" s="44"/>
      <c r="I34" s="4"/>
    </row>
    <row r="35" spans="1:9">
      <c r="A35" s="32"/>
      <c r="B35" s="14"/>
      <c r="C35" s="4"/>
      <c r="D35" s="4"/>
      <c r="E35" s="17"/>
      <c r="F35" s="17"/>
      <c r="G35" s="16"/>
      <c r="H35" s="4"/>
      <c r="I35" s="4"/>
    </row>
    <row r="36" spans="1:9">
      <c r="A36" s="32"/>
      <c r="B36" s="14"/>
      <c r="C36" s="4"/>
      <c r="D36" s="4"/>
      <c r="E36" s="17"/>
      <c r="F36" s="17"/>
      <c r="G36" s="16"/>
      <c r="H36" s="4"/>
      <c r="I36" s="4"/>
    </row>
    <row r="37" spans="1:9">
      <c r="A37" s="32"/>
      <c r="B37" s="14"/>
      <c r="C37" s="4"/>
      <c r="D37" s="4"/>
      <c r="E37" s="17"/>
      <c r="F37" s="17"/>
      <c r="G37" s="16"/>
      <c r="H37" s="4"/>
      <c r="I37" s="4"/>
    </row>
    <row r="38" spans="1:9">
      <c r="A38" s="32"/>
      <c r="B38" s="14"/>
      <c r="C38" s="4"/>
      <c r="D38" s="4"/>
      <c r="E38" s="17"/>
      <c r="F38" s="17"/>
      <c r="G38" s="16"/>
      <c r="H38" s="4"/>
      <c r="I38" s="4"/>
    </row>
    <row r="39" spans="1:9">
      <c r="A39" s="32"/>
      <c r="B39" s="14"/>
      <c r="C39" s="4"/>
      <c r="D39" s="4"/>
      <c r="E39" s="17"/>
      <c r="F39" s="17"/>
      <c r="G39" s="16"/>
      <c r="H39" s="4"/>
      <c r="I39" s="4"/>
    </row>
    <row r="40" spans="1:9">
      <c r="A40" s="32"/>
      <c r="B40" s="14"/>
      <c r="C40" s="4"/>
      <c r="D40" s="4"/>
      <c r="E40" s="17"/>
      <c r="F40" s="17"/>
      <c r="G40" s="16"/>
      <c r="H40" s="4"/>
      <c r="I40" s="4"/>
    </row>
    <row r="41" spans="1:9">
      <c r="A41" s="33"/>
      <c r="B41" s="14"/>
      <c r="C41" s="4"/>
      <c r="D41" s="4"/>
      <c r="E41" s="17"/>
      <c r="F41" s="17"/>
      <c r="G41" s="16"/>
      <c r="H41" s="4"/>
      <c r="I41" s="4"/>
    </row>
    <row r="42" spans="1:9">
      <c r="A42" s="32"/>
      <c r="B42" s="14"/>
      <c r="C42" s="4"/>
      <c r="D42" s="4"/>
      <c r="E42" s="17"/>
      <c r="F42" s="17"/>
      <c r="G42" s="16"/>
      <c r="H42" s="4"/>
      <c r="I42" s="4"/>
    </row>
    <row r="43" spans="1:9">
      <c r="A43" s="32"/>
      <c r="B43" s="14"/>
      <c r="C43" s="4"/>
      <c r="D43" s="4"/>
      <c r="E43" s="17"/>
      <c r="F43" s="17"/>
      <c r="G43" s="16"/>
      <c r="H43" s="4"/>
      <c r="I43" s="4"/>
    </row>
    <row r="44" spans="1:9">
      <c r="A44" s="32"/>
      <c r="B44" s="14"/>
      <c r="C44" s="4"/>
      <c r="D44" s="4"/>
      <c r="E44" s="17"/>
      <c r="F44" s="17"/>
      <c r="G44" s="16"/>
      <c r="H44" s="4"/>
      <c r="I44" s="4"/>
    </row>
    <row r="45" spans="1:9">
      <c r="A45" s="32"/>
      <c r="B45" s="14"/>
      <c r="C45" s="4"/>
      <c r="D45" s="4"/>
      <c r="E45" s="17"/>
      <c r="F45" s="17"/>
      <c r="G45" s="16"/>
      <c r="H45" s="4"/>
      <c r="I45" s="4"/>
    </row>
    <row r="46" spans="1:9">
      <c r="A46" s="32"/>
      <c r="B46" s="14"/>
      <c r="C46" s="4"/>
      <c r="D46" s="4"/>
      <c r="E46" s="17"/>
      <c r="F46" s="17"/>
      <c r="G46" s="16"/>
      <c r="H46" s="4"/>
      <c r="I46" s="4"/>
    </row>
    <row r="47" spans="1:9">
      <c r="A47" s="32"/>
      <c r="B47" s="14"/>
      <c r="C47" s="4"/>
      <c r="D47" s="4"/>
      <c r="E47" s="17"/>
      <c r="F47" s="17"/>
      <c r="G47" s="16"/>
      <c r="H47" s="4"/>
      <c r="I47" s="4"/>
    </row>
    <row r="48" spans="1:9">
      <c r="A48" s="33"/>
      <c r="B48" s="14"/>
      <c r="C48" s="4"/>
      <c r="D48" s="4"/>
      <c r="E48" s="17"/>
      <c r="F48" s="17"/>
      <c r="G48" s="16"/>
      <c r="H48" s="4"/>
      <c r="I48" s="4"/>
    </row>
    <row r="49" spans="1:9">
      <c r="A49" s="32"/>
      <c r="B49" s="14"/>
      <c r="C49" s="4"/>
      <c r="D49" s="4"/>
      <c r="E49" s="17"/>
      <c r="F49" s="17"/>
      <c r="G49" s="16"/>
      <c r="H49" s="4"/>
      <c r="I49" s="4"/>
    </row>
    <row r="50" spans="1:9">
      <c r="A50" s="32" t="s">
        <v>259</v>
      </c>
      <c r="B50" s="14"/>
      <c r="C50" s="4" t="s">
        <v>260</v>
      </c>
      <c r="D50" s="4"/>
      <c r="E50" s="17"/>
      <c r="F50" s="17"/>
      <c r="G50" s="16"/>
      <c r="H50" s="4"/>
      <c r="I50" s="4"/>
    </row>
    <row r="51" spans="1:9" hidden="1">
      <c r="A51" s="53">
        <v>43105</v>
      </c>
      <c r="B51" s="14" t="s">
        <v>7</v>
      </c>
      <c r="C51" s="4" t="s">
        <v>192</v>
      </c>
      <c r="D51" s="4" t="s">
        <v>209</v>
      </c>
      <c r="E51" s="17">
        <v>0.86805555555555547</v>
      </c>
      <c r="F51" s="17">
        <v>0.89583333333333337</v>
      </c>
      <c r="G51" s="16">
        <v>0.66666666666666663</v>
      </c>
      <c r="H51" s="54" t="s">
        <v>211</v>
      </c>
      <c r="I51" s="36"/>
    </row>
    <row r="52" spans="1:9" hidden="1">
      <c r="A52" s="57" t="s">
        <v>217</v>
      </c>
      <c r="B52" s="14" t="s">
        <v>3</v>
      </c>
      <c r="C52" s="4" t="s">
        <v>192</v>
      </c>
      <c r="D52" s="4" t="s">
        <v>218</v>
      </c>
      <c r="E52" s="17">
        <v>0.375</v>
      </c>
      <c r="F52" s="17">
        <v>0.39930555555555558</v>
      </c>
      <c r="G52" s="16">
        <v>0.58333333333333337</v>
      </c>
      <c r="H52" s="54" t="s">
        <v>219</v>
      </c>
      <c r="I52" s="36"/>
    </row>
    <row r="53" spans="1:9">
      <c r="A53" s="53" t="s">
        <v>217</v>
      </c>
      <c r="B53" s="14" t="s">
        <v>92</v>
      </c>
      <c r="C53" s="4" t="s">
        <v>89</v>
      </c>
      <c r="D53" s="4" t="s">
        <v>194</v>
      </c>
      <c r="E53" s="17">
        <v>0.16666666666666666</v>
      </c>
      <c r="F53" s="17">
        <v>0.20833333333333334</v>
      </c>
      <c r="G53" s="16">
        <v>1</v>
      </c>
      <c r="H53" s="54" t="s">
        <v>220</v>
      </c>
      <c r="I53" s="36"/>
    </row>
    <row r="54" spans="1:9">
      <c r="A54" s="57" t="s">
        <v>221</v>
      </c>
      <c r="B54" s="14" t="s">
        <v>3</v>
      </c>
      <c r="C54" s="4" t="s">
        <v>89</v>
      </c>
      <c r="D54" s="4" t="s">
        <v>133</v>
      </c>
      <c r="E54" s="17">
        <v>0.54166666666666663</v>
      </c>
      <c r="F54" s="17">
        <v>0.56597222222222221</v>
      </c>
      <c r="G54" s="16">
        <v>0.58333333333333337</v>
      </c>
      <c r="H54" s="54" t="s">
        <v>222</v>
      </c>
      <c r="I54" s="36"/>
    </row>
    <row r="55" spans="1:9">
      <c r="A55" s="57" t="s">
        <v>223</v>
      </c>
      <c r="B55" s="14" t="s">
        <v>3</v>
      </c>
      <c r="C55" s="4" t="s">
        <v>89</v>
      </c>
      <c r="D55" s="4" t="s">
        <v>194</v>
      </c>
      <c r="E55" s="17">
        <v>0.41666666666666669</v>
      </c>
      <c r="F55" s="17">
        <v>0.43402777777777773</v>
      </c>
      <c r="G55" s="16">
        <v>0.41666666666666669</v>
      </c>
      <c r="H55" s="54" t="s">
        <v>224</v>
      </c>
      <c r="I55" s="36"/>
    </row>
    <row r="56" spans="1:9" hidden="1">
      <c r="A56" s="57" t="s">
        <v>226</v>
      </c>
      <c r="B56" s="14" t="s">
        <v>92</v>
      </c>
      <c r="C56" s="4" t="s">
        <v>121</v>
      </c>
      <c r="D56" s="4" t="s">
        <v>228</v>
      </c>
      <c r="E56" s="17">
        <v>0</v>
      </c>
      <c r="F56" s="17">
        <v>1.3888888888888888E-2</v>
      </c>
      <c r="G56" s="16">
        <v>0.33333333333333331</v>
      </c>
      <c r="H56" s="54" t="s">
        <v>227</v>
      </c>
      <c r="I56" s="36"/>
    </row>
    <row r="57" spans="1:9" hidden="1">
      <c r="A57" s="57" t="s">
        <v>229</v>
      </c>
      <c r="B57" s="14" t="s">
        <v>3</v>
      </c>
      <c r="C57" s="4" t="s">
        <v>231</v>
      </c>
      <c r="D57" s="4" t="s">
        <v>232</v>
      </c>
      <c r="E57" s="17">
        <v>0.28125</v>
      </c>
      <c r="F57" s="17">
        <v>0.29166666666666669</v>
      </c>
      <c r="G57" s="16">
        <v>0.25</v>
      </c>
      <c r="H57" s="54" t="s">
        <v>233</v>
      </c>
      <c r="I57" s="36"/>
    </row>
    <row r="58" spans="1:9">
      <c r="A58" s="57" t="s">
        <v>230</v>
      </c>
      <c r="B58" s="14" t="s">
        <v>3</v>
      </c>
      <c r="C58" s="4" t="s">
        <v>234</v>
      </c>
      <c r="D58" s="4" t="s">
        <v>235</v>
      </c>
      <c r="E58" s="17">
        <v>0.63541666666666663</v>
      </c>
      <c r="F58" s="17">
        <v>0.67708333333333337</v>
      </c>
      <c r="G58" s="16">
        <v>1</v>
      </c>
      <c r="H58" s="54" t="s">
        <v>236</v>
      </c>
      <c r="I58" s="36"/>
    </row>
    <row r="59" spans="1:9" hidden="1">
      <c r="A59" s="57" t="s">
        <v>230</v>
      </c>
      <c r="B59" s="14" t="s">
        <v>92</v>
      </c>
      <c r="C59" s="4" t="s">
        <v>237</v>
      </c>
      <c r="D59" s="4" t="s">
        <v>238</v>
      </c>
      <c r="E59" s="17">
        <v>0.125</v>
      </c>
      <c r="F59" s="17">
        <v>0.15625</v>
      </c>
      <c r="G59" s="16">
        <v>0.75</v>
      </c>
      <c r="H59" s="54" t="s">
        <v>239</v>
      </c>
      <c r="I59" s="36"/>
    </row>
    <row r="60" spans="1:9">
      <c r="A60" s="53" t="s">
        <v>240</v>
      </c>
      <c r="B60" s="14" t="s">
        <v>92</v>
      </c>
      <c r="C60" s="4" t="s">
        <v>234</v>
      </c>
      <c r="D60" s="4" t="s">
        <v>241</v>
      </c>
      <c r="E60" s="17">
        <v>9.375E-2</v>
      </c>
      <c r="F60" s="17">
        <v>0.1111111111111111</v>
      </c>
      <c r="G60" s="16">
        <v>0.41666666666666669</v>
      </c>
      <c r="H60" s="54" t="s">
        <v>242</v>
      </c>
      <c r="I60" s="36"/>
    </row>
    <row r="61" spans="1:9">
      <c r="A61" s="53" t="s">
        <v>240</v>
      </c>
      <c r="B61" s="14" t="s">
        <v>3</v>
      </c>
      <c r="C61" s="4" t="s">
        <v>234</v>
      </c>
      <c r="D61" s="4" t="s">
        <v>194</v>
      </c>
      <c r="E61" s="17">
        <v>0.41666666666666669</v>
      </c>
      <c r="F61" s="17">
        <v>0.4375</v>
      </c>
      <c r="G61" s="16">
        <v>0.5</v>
      </c>
      <c r="H61" s="54" t="s">
        <v>243</v>
      </c>
      <c r="I61" s="36"/>
    </row>
    <row r="62" spans="1:9">
      <c r="A62" s="57" t="s">
        <v>245</v>
      </c>
      <c r="B62" s="14" t="s">
        <v>7</v>
      </c>
      <c r="C62" s="18" t="s">
        <v>89</v>
      </c>
      <c r="D62" s="4" t="s">
        <v>194</v>
      </c>
      <c r="E62" s="17">
        <v>0.39583333333333331</v>
      </c>
      <c r="F62" s="17">
        <v>0.40972222222222227</v>
      </c>
      <c r="G62" s="16">
        <v>0.33333333333333331</v>
      </c>
      <c r="H62" s="54" t="s">
        <v>251</v>
      </c>
      <c r="I62" s="36"/>
    </row>
    <row r="63" spans="1:9" hidden="1">
      <c r="A63" s="57" t="s">
        <v>245</v>
      </c>
      <c r="B63" s="14" t="s">
        <v>92</v>
      </c>
      <c r="C63" s="4" t="s">
        <v>231</v>
      </c>
      <c r="D63" s="4" t="s">
        <v>248</v>
      </c>
      <c r="E63" s="17">
        <v>8.3333333333333329E-2</v>
      </c>
      <c r="F63" s="17">
        <v>0.10069444444444443</v>
      </c>
      <c r="G63" s="16">
        <v>0.41666666666666669</v>
      </c>
      <c r="H63" s="54" t="s">
        <v>252</v>
      </c>
      <c r="I63" s="36"/>
    </row>
    <row r="64" spans="1:9" hidden="1">
      <c r="A64" s="57" t="s">
        <v>246</v>
      </c>
      <c r="B64" s="14" t="s">
        <v>92</v>
      </c>
      <c r="C64" s="4" t="s">
        <v>171</v>
      </c>
      <c r="D64" s="4" t="s">
        <v>249</v>
      </c>
      <c r="E64" s="17">
        <v>0.125</v>
      </c>
      <c r="F64" s="17">
        <v>0.13541666666666666</v>
      </c>
      <c r="G64" s="16">
        <v>0.25</v>
      </c>
      <c r="H64" s="54" t="s">
        <v>253</v>
      </c>
      <c r="I64" s="36"/>
    </row>
    <row r="65" spans="1:9">
      <c r="A65" s="57" t="s">
        <v>247</v>
      </c>
      <c r="B65" s="14" t="s">
        <v>3</v>
      </c>
      <c r="C65" s="18" t="s">
        <v>89</v>
      </c>
      <c r="D65" s="4" t="s">
        <v>250</v>
      </c>
      <c r="E65" s="17">
        <v>0.29166666666666669</v>
      </c>
      <c r="F65" s="17">
        <v>0.30902777777777779</v>
      </c>
      <c r="G65" s="16">
        <v>0.41666666666666669</v>
      </c>
      <c r="H65" s="54" t="s">
        <v>254</v>
      </c>
      <c r="I65" s="36"/>
    </row>
    <row r="66" spans="1:9" ht="15.75" thickBot="1">
      <c r="A66" s="67">
        <v>43136</v>
      </c>
      <c r="B66" s="59" t="s">
        <v>7</v>
      </c>
      <c r="C66" s="70" t="s">
        <v>89</v>
      </c>
      <c r="D66" s="60" t="s">
        <v>194</v>
      </c>
      <c r="E66" s="61">
        <v>0.14583333333333334</v>
      </c>
      <c r="F66" s="61">
        <v>0.16666666666666666</v>
      </c>
      <c r="G66" s="62">
        <v>0.5</v>
      </c>
      <c r="H66" s="63" t="s">
        <v>255</v>
      </c>
      <c r="I66" s="36"/>
    </row>
    <row r="67" spans="1:9">
      <c r="A67" s="32"/>
      <c r="B67" s="14"/>
      <c r="C67" s="4"/>
      <c r="D67" s="4"/>
      <c r="E67" s="17"/>
      <c r="F67" s="17"/>
      <c r="G67" s="16"/>
      <c r="H67" s="4"/>
      <c r="I67" s="4"/>
    </row>
    <row r="68" spans="1:9">
      <c r="A68" s="32"/>
      <c r="B68" s="14"/>
      <c r="C68" s="4"/>
      <c r="D68" s="4"/>
      <c r="E68" s="17"/>
      <c r="F68" s="17"/>
      <c r="G68" s="16"/>
      <c r="H68" s="4"/>
      <c r="I68" s="4"/>
    </row>
    <row r="69" spans="1:9">
      <c r="A69" s="33"/>
      <c r="B69" s="14"/>
      <c r="C69" s="4"/>
      <c r="D69" s="4"/>
      <c r="E69" s="17"/>
      <c r="F69" s="17"/>
      <c r="G69" s="16"/>
      <c r="H69" s="4"/>
      <c r="I69" s="4"/>
    </row>
    <row r="70" spans="1:9">
      <c r="A70" s="32"/>
      <c r="B70" s="14"/>
      <c r="C70" s="4"/>
      <c r="D70" s="4"/>
      <c r="E70" s="17"/>
      <c r="F70" s="17"/>
      <c r="G70" s="16"/>
      <c r="H70" s="4"/>
      <c r="I70" s="4"/>
    </row>
    <row r="71" spans="1:9">
      <c r="A71" s="32"/>
      <c r="B71" s="14"/>
      <c r="C71" s="4"/>
      <c r="D71" s="4"/>
      <c r="E71" s="17"/>
      <c r="F71" s="17"/>
      <c r="G71" s="16"/>
      <c r="H71" s="4"/>
      <c r="I71" s="4"/>
    </row>
    <row r="72" spans="1:9">
      <c r="A72" s="32"/>
      <c r="B72" s="14"/>
      <c r="C72" s="4"/>
      <c r="D72" s="4"/>
      <c r="E72" s="17"/>
      <c r="F72" s="17"/>
      <c r="G72" s="16"/>
      <c r="H72" s="4"/>
      <c r="I72" s="4"/>
    </row>
    <row r="73" spans="1:9">
      <c r="A73" s="32"/>
      <c r="B73" s="14"/>
      <c r="C73" s="4"/>
      <c r="D73" s="4"/>
      <c r="E73" s="17"/>
      <c r="F73" s="17"/>
      <c r="G73" s="16"/>
      <c r="H73" s="4"/>
      <c r="I73" s="4"/>
    </row>
    <row r="74" spans="1:9">
      <c r="A74" s="32"/>
      <c r="B74" s="14"/>
      <c r="C74" s="4"/>
      <c r="D74" s="4"/>
      <c r="E74" s="17"/>
      <c r="F74" s="17"/>
      <c r="G74" s="16"/>
      <c r="H74" s="4"/>
      <c r="I74" s="4"/>
    </row>
    <row r="75" spans="1:9">
      <c r="A75" s="32"/>
      <c r="B75" s="14"/>
      <c r="C75" s="4"/>
      <c r="D75" s="4"/>
      <c r="E75" s="17"/>
      <c r="F75" s="17"/>
      <c r="G75" s="16"/>
      <c r="H75" s="4"/>
      <c r="I75" s="4"/>
    </row>
    <row r="76" spans="1:9">
      <c r="A76" s="33"/>
      <c r="B76" s="14"/>
      <c r="C76" s="4"/>
      <c r="D76" s="4"/>
      <c r="E76" s="17"/>
      <c r="F76" s="17"/>
      <c r="G76" s="16"/>
      <c r="H76" s="4"/>
      <c r="I76" s="4"/>
    </row>
    <row r="77" spans="1:9">
      <c r="A77" s="32"/>
      <c r="B77" s="14"/>
      <c r="C77" s="4"/>
      <c r="D77" s="4"/>
      <c r="E77" s="17"/>
      <c r="F77" s="17"/>
      <c r="G77" s="16"/>
      <c r="H77" s="4"/>
      <c r="I77" s="4"/>
    </row>
    <row r="78" spans="1:9">
      <c r="A78" s="32"/>
      <c r="B78" s="14"/>
      <c r="C78" s="4"/>
      <c r="D78" s="4"/>
      <c r="E78" s="17"/>
      <c r="F78" s="17"/>
      <c r="G78" s="16"/>
      <c r="H78" s="4"/>
      <c r="I78" s="4"/>
    </row>
    <row r="79" spans="1:9">
      <c r="A79" s="32"/>
      <c r="B79" s="14"/>
      <c r="C79" s="4"/>
      <c r="D79" s="4"/>
      <c r="E79" s="17"/>
      <c r="F79" s="17"/>
      <c r="G79" s="16"/>
      <c r="H79" s="4"/>
      <c r="I79" s="4"/>
    </row>
    <row r="80" spans="1:9">
      <c r="A80" s="32"/>
      <c r="B80" s="14"/>
      <c r="C80" s="4"/>
      <c r="D80" s="4"/>
      <c r="E80" s="17"/>
      <c r="F80" s="17"/>
      <c r="G80" s="16"/>
      <c r="H80" s="4"/>
      <c r="I80" s="4"/>
    </row>
    <row r="81" spans="1:9">
      <c r="A81" s="32"/>
      <c r="B81" s="14"/>
      <c r="C81" s="4"/>
      <c r="D81" s="4"/>
      <c r="E81" s="17"/>
      <c r="F81" s="17"/>
      <c r="G81" s="16"/>
      <c r="H81" s="4"/>
      <c r="I81" s="4"/>
    </row>
    <row r="82" spans="1:9">
      <c r="A82" s="32"/>
      <c r="B82" s="14"/>
      <c r="C82" s="4"/>
      <c r="D82" s="4"/>
      <c r="E82" s="17"/>
      <c r="F82" s="17"/>
      <c r="G82" s="16"/>
      <c r="H82" s="4"/>
      <c r="I82" s="4"/>
    </row>
    <row r="83" spans="1:9">
      <c r="A83" s="33"/>
      <c r="B83" s="14"/>
      <c r="C83" s="4"/>
      <c r="D83" s="4"/>
      <c r="E83" s="17"/>
      <c r="F83" s="17"/>
      <c r="G83" s="16"/>
      <c r="H83" s="4"/>
      <c r="I83" s="4"/>
    </row>
    <row r="84" spans="1:9">
      <c r="A84" s="32"/>
      <c r="B84" s="14"/>
      <c r="C84" s="4"/>
      <c r="D84" s="4"/>
      <c r="E84" s="17"/>
      <c r="F84" s="17"/>
      <c r="G84" s="16"/>
      <c r="H84" s="4"/>
      <c r="I84" s="4"/>
    </row>
    <row r="85" spans="1:9">
      <c r="A85" s="32"/>
      <c r="B85" s="14"/>
      <c r="C85" s="4"/>
      <c r="D85" s="4"/>
      <c r="E85" s="17"/>
      <c r="F85" s="17"/>
      <c r="G85" s="16"/>
      <c r="H85" s="4"/>
      <c r="I85" s="4"/>
    </row>
    <row r="86" spans="1:9">
      <c r="A86" s="32"/>
      <c r="B86" s="14"/>
      <c r="C86" s="4"/>
      <c r="D86" s="4"/>
      <c r="E86" s="17"/>
      <c r="F86" s="17"/>
      <c r="G86" s="16"/>
      <c r="H86" s="4"/>
      <c r="I86" s="4"/>
    </row>
    <row r="87" spans="1:9">
      <c r="A87" s="32"/>
      <c r="B87" s="14"/>
      <c r="C87" s="4"/>
      <c r="D87" s="4"/>
      <c r="E87" s="17"/>
      <c r="F87" s="17"/>
      <c r="G87" s="16"/>
      <c r="H87" s="4"/>
      <c r="I87" s="4"/>
    </row>
    <row r="88" spans="1:9">
      <c r="A88" s="32"/>
      <c r="B88" s="14"/>
      <c r="C88" s="4"/>
      <c r="D88" s="4"/>
      <c r="E88" s="17"/>
      <c r="F88" s="17"/>
      <c r="G88" s="16"/>
      <c r="H88" s="4"/>
      <c r="I88" s="4"/>
    </row>
    <row r="89" spans="1:9">
      <c r="A89" s="32"/>
      <c r="B89" s="14"/>
      <c r="C89" s="4"/>
      <c r="D89" s="4"/>
      <c r="E89" s="17"/>
      <c r="F89" s="17"/>
      <c r="G89" s="16"/>
      <c r="H89" s="4"/>
      <c r="I89" s="4"/>
    </row>
    <row r="90" spans="1:9">
      <c r="A90" s="33"/>
      <c r="B90" s="14"/>
      <c r="C90" s="4"/>
      <c r="D90" s="4"/>
      <c r="E90" s="17"/>
      <c r="F90" s="17"/>
      <c r="G90" s="16"/>
      <c r="H90" s="4"/>
      <c r="I90" s="4"/>
    </row>
    <row r="91" spans="1:9">
      <c r="A91" s="32"/>
      <c r="B91" s="14"/>
      <c r="C91" s="4"/>
      <c r="D91" s="4"/>
      <c r="E91" s="17"/>
      <c r="F91" s="17"/>
      <c r="G91" s="16"/>
      <c r="H91" s="4"/>
      <c r="I91" s="4"/>
    </row>
    <row r="92" spans="1:9">
      <c r="A92" s="32"/>
      <c r="B92" s="14"/>
      <c r="C92" s="4"/>
      <c r="D92" s="4"/>
      <c r="E92" s="17"/>
      <c r="F92" s="17"/>
      <c r="G92" s="16"/>
      <c r="H92" s="4"/>
      <c r="I92" s="4"/>
    </row>
    <row r="93" spans="1:9">
      <c r="A93" s="32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2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3"/>
      <c r="B97" s="14"/>
      <c r="C97" s="4"/>
      <c r="D97" s="4"/>
      <c r="E97" s="17"/>
      <c r="F97" s="17"/>
      <c r="G97" s="16"/>
      <c r="H97" s="4"/>
      <c r="I97" s="4"/>
    </row>
    <row r="98" spans="1:9">
      <c r="A98" s="32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2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2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3"/>
      <c r="B104" s="14"/>
      <c r="C104" s="4"/>
      <c r="D104" s="4"/>
      <c r="E104" s="17"/>
      <c r="F104" s="17"/>
      <c r="G104" s="16"/>
      <c r="H104" s="4"/>
      <c r="I104" s="4"/>
    </row>
    <row r="105" spans="1:9">
      <c r="A105" s="32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2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2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3"/>
      <c r="B111" s="14"/>
      <c r="C111" s="4"/>
      <c r="D111" s="4"/>
      <c r="E111" s="17"/>
      <c r="F111" s="17"/>
      <c r="G111" s="16"/>
      <c r="H111" s="4"/>
      <c r="I111" s="4"/>
    </row>
    <row r="112" spans="1:9">
      <c r="A112" s="32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2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2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3"/>
      <c r="B118" s="14"/>
      <c r="C118" s="4"/>
      <c r="D118" s="4"/>
      <c r="E118" s="17"/>
      <c r="F118" s="17"/>
      <c r="G118" s="16"/>
      <c r="H118" s="4"/>
      <c r="I118" s="4"/>
    </row>
    <row r="119" spans="1:9">
      <c r="A119" s="32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2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2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3"/>
      <c r="B125" s="14"/>
      <c r="C125" s="4"/>
      <c r="D125" s="4"/>
      <c r="E125" s="17"/>
      <c r="F125" s="17"/>
      <c r="G125" s="16"/>
      <c r="H125" s="4"/>
      <c r="I125" s="4"/>
    </row>
    <row r="126" spans="1:9">
      <c r="A126" s="32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2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2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3"/>
      <c r="B132" s="14"/>
      <c r="C132" s="4"/>
      <c r="D132" s="4"/>
      <c r="E132" s="17"/>
      <c r="F132" s="17"/>
      <c r="G132" s="16"/>
      <c r="H132" s="4"/>
      <c r="I132" s="4"/>
    </row>
    <row r="133" spans="1:9">
      <c r="A133" s="32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2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2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3"/>
      <c r="B139" s="14"/>
      <c r="C139" s="4"/>
      <c r="D139" s="4"/>
      <c r="E139" s="17"/>
      <c r="F139" s="17"/>
      <c r="G139" s="16"/>
      <c r="H139" s="4"/>
      <c r="I139" s="4"/>
    </row>
    <row r="140" spans="1:9">
      <c r="A140" s="32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2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2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3"/>
      <c r="B146" s="14"/>
      <c r="C146" s="4"/>
      <c r="D146" s="4"/>
      <c r="E146" s="17"/>
      <c r="F146" s="17"/>
      <c r="G146" s="16"/>
      <c r="H146" s="4"/>
      <c r="I146" s="4"/>
    </row>
    <row r="147" spans="1:9">
      <c r="A147" s="32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2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2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3"/>
      <c r="B153" s="14"/>
      <c r="C153" s="4"/>
      <c r="D153" s="4"/>
      <c r="E153" s="17"/>
      <c r="F153" s="17"/>
      <c r="G153" s="16"/>
      <c r="H153" s="4"/>
      <c r="I153" s="4"/>
    </row>
    <row r="154" spans="1:9">
      <c r="A154" s="32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2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2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3"/>
      <c r="B160" s="14"/>
      <c r="C160" s="4"/>
      <c r="D160" s="4"/>
      <c r="E160" s="17"/>
      <c r="F160" s="17"/>
      <c r="G160" s="16"/>
      <c r="H160" s="4"/>
      <c r="I160" s="4"/>
    </row>
    <row r="161" spans="1:9">
      <c r="A161" s="32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2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2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3"/>
      <c r="B167" s="14"/>
      <c r="C167" s="4"/>
      <c r="D167" s="4"/>
      <c r="E167" s="17"/>
      <c r="F167" s="17"/>
      <c r="G167" s="16"/>
      <c r="H167" s="4"/>
      <c r="I167" s="4"/>
    </row>
    <row r="168" spans="1:9">
      <c r="A168" s="32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2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2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3"/>
      <c r="B174" s="14"/>
      <c r="C174" s="4"/>
      <c r="D174" s="4"/>
      <c r="E174" s="17"/>
      <c r="F174" s="17"/>
      <c r="G174" s="16"/>
      <c r="H174" s="4"/>
      <c r="I174" s="4"/>
    </row>
    <row r="175" spans="1:9">
      <c r="A175" s="32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2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2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3"/>
      <c r="B181" s="14"/>
      <c r="C181" s="4"/>
      <c r="D181" s="4"/>
      <c r="E181" s="17"/>
      <c r="F181" s="17"/>
      <c r="G181" s="16"/>
      <c r="H181" s="4"/>
      <c r="I181" s="4"/>
    </row>
    <row r="182" spans="1:9">
      <c r="A182" s="32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2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2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3"/>
      <c r="B188" s="14"/>
      <c r="C188" s="4"/>
      <c r="D188" s="4"/>
      <c r="E188" s="17"/>
      <c r="F188" s="17"/>
      <c r="G188" s="16"/>
      <c r="H188" s="4"/>
      <c r="I188" s="4"/>
    </row>
    <row r="189" spans="1:9">
      <c r="A189" s="32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2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2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3"/>
      <c r="B195" s="14"/>
      <c r="C195" s="4"/>
      <c r="D195" s="4"/>
      <c r="E195" s="17"/>
      <c r="F195" s="17"/>
      <c r="G195" s="16"/>
      <c r="H195" s="4"/>
      <c r="I195" s="4"/>
    </row>
    <row r="196" spans="1:9">
      <c r="A196" s="32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2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2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3"/>
      <c r="B202" s="14"/>
      <c r="C202" s="4"/>
      <c r="D202" s="4"/>
      <c r="E202" s="17"/>
      <c r="F202" s="17"/>
      <c r="G202" s="16"/>
      <c r="H202" s="4"/>
      <c r="I202" s="4"/>
    </row>
    <row r="203" spans="1:9">
      <c r="A203" s="32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2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2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3"/>
      <c r="B209" s="14"/>
      <c r="C209" s="4"/>
      <c r="D209" s="4"/>
      <c r="E209" s="17"/>
      <c r="F209" s="17"/>
      <c r="G209" s="16"/>
      <c r="H209" s="4"/>
      <c r="I209" s="4"/>
    </row>
    <row r="210" spans="1:9">
      <c r="A210" s="32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2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2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3"/>
      <c r="B216" s="14"/>
      <c r="C216" s="4"/>
      <c r="D216" s="4"/>
      <c r="E216" s="17"/>
      <c r="F216" s="17"/>
      <c r="G216" s="16"/>
      <c r="H216" s="4"/>
      <c r="I216" s="4"/>
    </row>
    <row r="217" spans="1:9">
      <c r="A217" s="32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2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2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3"/>
      <c r="B223" s="14"/>
      <c r="C223" s="4"/>
      <c r="D223" s="4"/>
      <c r="E223" s="17"/>
      <c r="F223" s="17"/>
      <c r="G223" s="16"/>
      <c r="H223" s="4"/>
      <c r="I223" s="4"/>
    </row>
    <row r="224" spans="1:9">
      <c r="A224" s="32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2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2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3"/>
      <c r="B230" s="14"/>
      <c r="C230" s="4"/>
      <c r="D230" s="4"/>
      <c r="E230" s="17"/>
      <c r="F230" s="17"/>
      <c r="G230" s="16"/>
      <c r="H230" s="4"/>
      <c r="I230" s="4"/>
    </row>
    <row r="231" spans="1:9">
      <c r="A231" s="32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2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2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3"/>
      <c r="B237" s="14"/>
      <c r="C237" s="4"/>
      <c r="D237" s="4"/>
      <c r="E237" s="17"/>
      <c r="F237" s="17"/>
      <c r="G237" s="16"/>
      <c r="H237" s="4"/>
      <c r="I237" s="4"/>
    </row>
    <row r="238" spans="1:9">
      <c r="A238" s="32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2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2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3"/>
      <c r="B244" s="14"/>
      <c r="C244" s="4"/>
      <c r="D244" s="4"/>
      <c r="E244" s="17"/>
      <c r="F244" s="17"/>
      <c r="G244" s="16"/>
      <c r="H244" s="4"/>
      <c r="I244" s="4"/>
    </row>
    <row r="245" spans="1:9">
      <c r="A245" s="32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2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2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3"/>
      <c r="B251" s="14"/>
      <c r="C251" s="4"/>
      <c r="D251" s="4"/>
      <c r="E251" s="17"/>
      <c r="F251" s="17"/>
      <c r="G251" s="16"/>
      <c r="H251" s="4"/>
      <c r="I251" s="4"/>
    </row>
    <row r="252" spans="1:9">
      <c r="A252" s="32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2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2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3"/>
      <c r="B258" s="14"/>
      <c r="C258" s="4"/>
      <c r="D258" s="4"/>
      <c r="E258" s="17"/>
      <c r="F258" s="17"/>
      <c r="G258" s="16"/>
      <c r="H258" s="4"/>
      <c r="I258" s="4"/>
    </row>
    <row r="259" spans="1:9">
      <c r="A259" s="32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2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2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3"/>
      <c r="B265" s="14"/>
      <c r="C265" s="4"/>
      <c r="D265" s="4"/>
      <c r="E265" s="17"/>
      <c r="F265" s="17"/>
      <c r="G265" s="16"/>
      <c r="H265" s="4"/>
      <c r="I265" s="4"/>
    </row>
    <row r="266" spans="1:9">
      <c r="A266" s="32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2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2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3"/>
      <c r="B272" s="14"/>
      <c r="C272" s="4"/>
      <c r="D272" s="4"/>
      <c r="E272" s="17"/>
      <c r="F272" s="17"/>
      <c r="G272" s="16"/>
      <c r="H272" s="4"/>
      <c r="I272" s="4"/>
    </row>
    <row r="273" spans="1:9">
      <c r="A273" s="32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2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2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3"/>
      <c r="B279" s="14"/>
      <c r="C279" s="4"/>
      <c r="D279" s="4"/>
      <c r="E279" s="17"/>
      <c r="F279" s="17"/>
      <c r="G279" s="16"/>
      <c r="H279" s="4"/>
      <c r="I279" s="4"/>
    </row>
    <row r="280" spans="1:9">
      <c r="A280" s="32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2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2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3"/>
      <c r="B286" s="14"/>
      <c r="C286" s="4"/>
      <c r="D286" s="4"/>
      <c r="E286" s="17"/>
      <c r="F286" s="17"/>
      <c r="G286" s="16"/>
      <c r="H286" s="4"/>
      <c r="I286" s="4"/>
    </row>
    <row r="287" spans="1:9">
      <c r="A287" s="32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2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2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3"/>
      <c r="B293" s="14"/>
      <c r="C293" s="4"/>
      <c r="D293" s="4"/>
      <c r="E293" s="17"/>
      <c r="F293" s="17"/>
      <c r="G293" s="16"/>
      <c r="H293" s="4"/>
      <c r="I293" s="4"/>
    </row>
    <row r="294" spans="1:9">
      <c r="A294" s="32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2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2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3"/>
      <c r="B300" s="14"/>
      <c r="C300" s="4"/>
      <c r="D300" s="4"/>
      <c r="E300" s="17"/>
      <c r="F300" s="17"/>
      <c r="G300" s="16"/>
      <c r="H300" s="4"/>
      <c r="I300" s="4"/>
    </row>
    <row r="301" spans="1:9">
      <c r="A301" s="32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2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2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3"/>
      <c r="B307" s="14"/>
      <c r="C307" s="4"/>
      <c r="D307" s="4"/>
      <c r="E307" s="17"/>
      <c r="F307" s="17"/>
      <c r="G307" s="16"/>
      <c r="H307" s="4"/>
      <c r="I307" s="4"/>
    </row>
    <row r="308" spans="1:9">
      <c r="A308" s="32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2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2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3"/>
      <c r="B314" s="14"/>
      <c r="C314" s="4"/>
      <c r="D314" s="4"/>
      <c r="E314" s="17"/>
      <c r="F314" s="17"/>
      <c r="G314" s="16"/>
      <c r="H314" s="4"/>
      <c r="I314" s="4"/>
    </row>
    <row r="315" spans="1:9">
      <c r="A315" s="32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2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2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3"/>
      <c r="B321" s="14"/>
      <c r="C321" s="4"/>
      <c r="D321" s="4"/>
      <c r="E321" s="17"/>
      <c r="F321" s="17"/>
      <c r="G321" s="16"/>
      <c r="H321" s="4"/>
      <c r="I321" s="4"/>
    </row>
    <row r="322" spans="1:9">
      <c r="A322" s="32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2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2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3"/>
      <c r="B328" s="14"/>
      <c r="C328" s="4"/>
      <c r="D328" s="4"/>
      <c r="E328" s="17"/>
      <c r="F328" s="17"/>
      <c r="G328" s="16"/>
      <c r="H328" s="4"/>
      <c r="I328" s="4"/>
    </row>
    <row r="329" spans="1:9">
      <c r="A329" s="32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2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2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3"/>
      <c r="B335" s="14"/>
      <c r="C335" s="4"/>
      <c r="D335" s="4"/>
      <c r="E335" s="17"/>
      <c r="F335" s="17"/>
      <c r="G335" s="16"/>
      <c r="H335" s="4"/>
      <c r="I335" s="4"/>
    </row>
    <row r="336" spans="1:9">
      <c r="A336" s="32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2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2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3"/>
      <c r="B342" s="14"/>
      <c r="C342" s="4"/>
      <c r="D342" s="4"/>
      <c r="E342" s="17"/>
      <c r="F342" s="17"/>
      <c r="G342" s="16"/>
      <c r="H342" s="4"/>
      <c r="I342" s="4"/>
    </row>
    <row r="343" spans="1:9">
      <c r="A343" s="32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2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2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3"/>
      <c r="B349" s="14"/>
      <c r="C349" s="4"/>
      <c r="D349" s="4"/>
      <c r="E349" s="17"/>
      <c r="F349" s="17"/>
      <c r="G349" s="16"/>
      <c r="H349" s="4"/>
      <c r="I349" s="4"/>
    </row>
    <row r="350" spans="1:9">
      <c r="A350" s="32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2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2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3"/>
      <c r="B356" s="14"/>
      <c r="C356" s="4"/>
      <c r="D356" s="4"/>
      <c r="E356" s="17"/>
      <c r="F356" s="17"/>
      <c r="G356" s="16"/>
      <c r="H356" s="4"/>
      <c r="I356" s="4"/>
    </row>
    <row r="357" spans="1:9">
      <c r="A357" s="32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2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2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3"/>
      <c r="B363" s="14"/>
      <c r="C363" s="4"/>
      <c r="D363" s="4"/>
      <c r="E363" s="17"/>
      <c r="F363" s="17"/>
      <c r="G363" s="16"/>
      <c r="H363" s="4"/>
      <c r="I363" s="4"/>
    </row>
    <row r="364" spans="1:9">
      <c r="A364" s="32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2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2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3"/>
      <c r="B370" s="14"/>
      <c r="C370" s="4"/>
      <c r="D370" s="4"/>
      <c r="E370" s="17"/>
      <c r="F370" s="17"/>
      <c r="G370" s="16"/>
      <c r="H370" s="4"/>
      <c r="I370" s="4"/>
    </row>
    <row r="371" spans="1:9">
      <c r="A371" s="32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2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2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3"/>
      <c r="B377" s="14"/>
      <c r="C377" s="4"/>
      <c r="D377" s="4"/>
      <c r="E377" s="17"/>
      <c r="F377" s="17"/>
      <c r="G377" s="16"/>
      <c r="H377" s="4"/>
      <c r="I377" s="4"/>
    </row>
    <row r="378" spans="1:9">
      <c r="A378" s="32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2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2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3"/>
      <c r="B384" s="14"/>
      <c r="C384" s="4"/>
      <c r="D384" s="4"/>
      <c r="E384" s="17"/>
      <c r="F384" s="17"/>
      <c r="G384" s="16"/>
      <c r="H384" s="4"/>
      <c r="I384" s="4"/>
    </row>
    <row r="385" spans="1:9">
      <c r="A385" s="32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2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2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3"/>
      <c r="B391" s="14"/>
      <c r="C391" s="4"/>
      <c r="D391" s="4"/>
      <c r="E391" s="17"/>
      <c r="F391" s="17"/>
      <c r="G391" s="16"/>
      <c r="H391" s="4"/>
      <c r="I391" s="4"/>
    </row>
    <row r="392" spans="1:9">
      <c r="A392" s="32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2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2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3"/>
      <c r="B398" s="14"/>
      <c r="C398" s="4"/>
      <c r="D398" s="4"/>
      <c r="E398" s="17"/>
      <c r="F398" s="17"/>
      <c r="G398" s="16"/>
      <c r="H398" s="4"/>
      <c r="I398" s="4"/>
    </row>
    <row r="399" spans="1:9">
      <c r="A399" s="32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2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2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3"/>
      <c r="B405" s="14"/>
      <c r="C405" s="4"/>
      <c r="D405" s="4"/>
      <c r="E405" s="17"/>
      <c r="F405" s="17"/>
      <c r="G405" s="16"/>
      <c r="H405" s="4"/>
      <c r="I405" s="4"/>
    </row>
    <row r="406" spans="1:9">
      <c r="A406" s="32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2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2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3"/>
      <c r="B412" s="14"/>
      <c r="C412" s="4"/>
      <c r="D412" s="4"/>
      <c r="E412" s="17"/>
      <c r="F412" s="17"/>
      <c r="G412" s="16"/>
      <c r="H412" s="4"/>
      <c r="I412" s="4"/>
    </row>
    <row r="413" spans="1:9">
      <c r="A413" s="32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2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2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3"/>
      <c r="B419" s="14"/>
      <c r="C419" s="4"/>
      <c r="D419" s="4"/>
      <c r="E419" s="17"/>
      <c r="F419" s="17"/>
      <c r="G419" s="16"/>
      <c r="H419" s="4"/>
      <c r="I419" s="4"/>
    </row>
    <row r="420" spans="1:9">
      <c r="A420" s="32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2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2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3"/>
      <c r="B426" s="14"/>
      <c r="C426" s="4"/>
      <c r="D426" s="4"/>
      <c r="E426" s="17"/>
      <c r="F426" s="17"/>
      <c r="G426" s="16"/>
      <c r="H426" s="4"/>
      <c r="I426" s="4"/>
    </row>
    <row r="427" spans="1:9">
      <c r="A427" s="32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2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2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3"/>
      <c r="B433" s="14"/>
      <c r="C433" s="4"/>
      <c r="D433" s="4"/>
      <c r="E433" s="17"/>
      <c r="F433" s="17"/>
      <c r="G433" s="16"/>
      <c r="H433" s="4"/>
      <c r="I433" s="4"/>
    </row>
    <row r="434" spans="1:9">
      <c r="A434" s="32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2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2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3"/>
      <c r="B440" s="14"/>
      <c r="C440" s="4"/>
      <c r="D440" s="4"/>
      <c r="E440" s="17"/>
      <c r="F440" s="17"/>
      <c r="G440" s="16"/>
      <c r="H440" s="4"/>
      <c r="I440" s="4"/>
    </row>
    <row r="441" spans="1:9">
      <c r="A441" s="32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2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2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3"/>
      <c r="B447" s="14"/>
      <c r="C447" s="4"/>
      <c r="D447" s="4"/>
      <c r="E447" s="17"/>
      <c r="F447" s="17"/>
      <c r="G447" s="16"/>
      <c r="H447" s="4"/>
      <c r="I447" s="4"/>
    </row>
    <row r="448" spans="1:9">
      <c r="A448" s="32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2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2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3"/>
      <c r="B454" s="14"/>
      <c r="C454" s="4"/>
      <c r="D454" s="4"/>
      <c r="E454" s="17"/>
      <c r="F454" s="17"/>
      <c r="G454" s="16"/>
      <c r="H454" s="4"/>
      <c r="I454" s="4"/>
    </row>
    <row r="455" spans="1:9">
      <c r="A455" s="32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2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2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3"/>
      <c r="B461" s="14"/>
      <c r="C461" s="4"/>
      <c r="D461" s="4"/>
      <c r="E461" s="17"/>
      <c r="F461" s="17"/>
      <c r="G461" s="16"/>
      <c r="H461" s="4"/>
      <c r="I461" s="4"/>
    </row>
    <row r="462" spans="1:9">
      <c r="A462" s="32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2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2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3"/>
      <c r="B468" s="14"/>
      <c r="C468" s="4"/>
      <c r="D468" s="4"/>
      <c r="E468" s="17"/>
      <c r="F468" s="17"/>
      <c r="G468" s="16"/>
      <c r="H468" s="4"/>
      <c r="I468" s="4"/>
    </row>
    <row r="469" spans="1:9">
      <c r="A469" s="32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2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2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3"/>
      <c r="B475" s="14"/>
      <c r="C475" s="4"/>
      <c r="D475" s="4"/>
      <c r="E475" s="17"/>
      <c r="F475" s="17"/>
      <c r="G475" s="16"/>
      <c r="H475" s="4"/>
      <c r="I475" s="4"/>
    </row>
    <row r="476" spans="1:9">
      <c r="A476" s="32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2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2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3"/>
      <c r="B482" s="14"/>
      <c r="C482" s="4"/>
      <c r="D482" s="4"/>
      <c r="E482" s="17"/>
      <c r="F482" s="17"/>
      <c r="G482" s="16"/>
      <c r="H482" s="4"/>
      <c r="I482" s="4"/>
    </row>
    <row r="483" spans="1:9">
      <c r="A483" s="32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2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2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3"/>
      <c r="B489" s="14"/>
      <c r="C489" s="4"/>
      <c r="D489" s="4"/>
      <c r="E489" s="17"/>
      <c r="F489" s="17"/>
      <c r="G489" s="16"/>
      <c r="H489" s="4"/>
      <c r="I489" s="4"/>
    </row>
    <row r="490" spans="1:9">
      <c r="A490" s="32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2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2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3"/>
      <c r="B496" s="14"/>
      <c r="C496" s="4"/>
      <c r="D496" s="4"/>
      <c r="E496" s="17"/>
      <c r="F496" s="17"/>
      <c r="G496" s="16"/>
      <c r="H496" s="4"/>
      <c r="I496" s="4"/>
    </row>
    <row r="497" spans="1:9">
      <c r="A497" s="32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2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2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3"/>
      <c r="B503" s="14"/>
      <c r="C503" s="4"/>
      <c r="D503" s="4"/>
      <c r="E503" s="17"/>
      <c r="F503" s="17"/>
      <c r="G503" s="16"/>
      <c r="H503" s="4"/>
      <c r="I503" s="4"/>
    </row>
    <row r="504" spans="1:9">
      <c r="A504" s="32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2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2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3"/>
      <c r="B510" s="14"/>
      <c r="C510" s="4"/>
      <c r="D510" s="4"/>
      <c r="E510" s="17"/>
      <c r="F510" s="17"/>
      <c r="G510" s="16"/>
      <c r="H510" s="4"/>
      <c r="I510" s="4"/>
    </row>
    <row r="511" spans="1:9">
      <c r="A511" s="32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2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2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3"/>
      <c r="B517" s="14"/>
      <c r="C517" s="4"/>
      <c r="D517" s="4"/>
      <c r="E517" s="17"/>
      <c r="F517" s="17"/>
      <c r="G517" s="16"/>
      <c r="H517" s="4"/>
      <c r="I517" s="4"/>
    </row>
    <row r="518" spans="1:9">
      <c r="A518" s="32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2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2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3"/>
      <c r="B524" s="14"/>
      <c r="C524" s="4"/>
      <c r="D524" s="4"/>
      <c r="E524" s="17"/>
      <c r="F524" s="17"/>
      <c r="G524" s="16"/>
      <c r="H524" s="4"/>
      <c r="I524" s="4"/>
    </row>
    <row r="525" spans="1:9">
      <c r="A525" s="32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2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2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3"/>
      <c r="B531" s="14"/>
      <c r="C531" s="4"/>
      <c r="D531" s="4"/>
      <c r="E531" s="17"/>
      <c r="F531" s="17"/>
      <c r="G531" s="16"/>
      <c r="H531" s="4"/>
      <c r="I531" s="4"/>
    </row>
    <row r="532" spans="1:9">
      <c r="A532" s="32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2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2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3"/>
      <c r="B538" s="14"/>
      <c r="C538" s="4"/>
      <c r="D538" s="4"/>
      <c r="E538" s="17"/>
      <c r="F538" s="17"/>
      <c r="G538" s="16"/>
      <c r="H538" s="4"/>
      <c r="I538" s="4"/>
    </row>
    <row r="539" spans="1:9">
      <c r="A539" s="32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2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2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3"/>
      <c r="B545" s="14"/>
      <c r="C545" s="4"/>
      <c r="D545" s="4"/>
      <c r="E545" s="17"/>
      <c r="F545" s="17"/>
      <c r="G545" s="16"/>
      <c r="H545" s="4"/>
      <c r="I545" s="4"/>
    </row>
    <row r="546" spans="1:9">
      <c r="A546" s="32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2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2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3"/>
      <c r="B552" s="14"/>
      <c r="C552" s="4"/>
      <c r="D552" s="4"/>
      <c r="E552" s="17"/>
      <c r="F552" s="17"/>
      <c r="G552" s="16"/>
      <c r="H552" s="4"/>
      <c r="I552" s="4"/>
    </row>
    <row r="553" spans="1:9">
      <c r="A553" s="32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2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2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3"/>
      <c r="B559" s="14"/>
      <c r="C559" s="4"/>
      <c r="D559" s="4"/>
      <c r="E559" s="17"/>
      <c r="F559" s="17"/>
      <c r="G559" s="16"/>
      <c r="H559" s="4"/>
      <c r="I559" s="4"/>
    </row>
    <row r="560" spans="1:9">
      <c r="A560" s="32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2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2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3"/>
      <c r="B566" s="14"/>
      <c r="C566" s="4"/>
      <c r="D566" s="4"/>
      <c r="E566" s="17"/>
      <c r="F566" s="17"/>
      <c r="G566" s="16"/>
      <c r="H566" s="4"/>
      <c r="I566" s="4"/>
    </row>
    <row r="567" spans="1:9">
      <c r="A567" s="32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2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2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3"/>
      <c r="B573" s="14"/>
      <c r="C573" s="4"/>
      <c r="D573" s="4"/>
      <c r="E573" s="17"/>
      <c r="F573" s="17"/>
      <c r="G573" s="16"/>
      <c r="H573" s="4"/>
      <c r="I573" s="4"/>
    </row>
    <row r="574" spans="1:9">
      <c r="A574" s="32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2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2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3"/>
      <c r="B580" s="14"/>
      <c r="C580" s="4"/>
      <c r="D580" s="4"/>
      <c r="E580" s="17"/>
      <c r="F580" s="17"/>
      <c r="G580" s="16"/>
      <c r="H580" s="4"/>
      <c r="I580" s="4"/>
    </row>
    <row r="581" spans="1:9">
      <c r="A581" s="32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2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2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3"/>
      <c r="B587" s="14"/>
      <c r="C587" s="4"/>
      <c r="D587" s="4"/>
      <c r="E587" s="17"/>
      <c r="F587" s="17"/>
      <c r="G587" s="16"/>
      <c r="H587" s="4"/>
      <c r="I587" s="4"/>
    </row>
    <row r="588" spans="1:9">
      <c r="A588" s="32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2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2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3"/>
      <c r="B594" s="14"/>
      <c r="C594" s="4"/>
      <c r="D594" s="4"/>
      <c r="E594" s="17"/>
      <c r="F594" s="17"/>
      <c r="G594" s="16"/>
      <c r="H594" s="4"/>
      <c r="I594" s="4"/>
    </row>
    <row r="595" spans="1:9">
      <c r="A595" s="32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2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2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3"/>
      <c r="B601" s="14"/>
      <c r="C601" s="4"/>
      <c r="D601" s="4"/>
      <c r="E601" s="17"/>
      <c r="F601" s="17"/>
      <c r="G601" s="16"/>
      <c r="H601" s="4"/>
      <c r="I601" s="4"/>
    </row>
    <row r="602" spans="1:9">
      <c r="A602" s="32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2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2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3"/>
      <c r="B608" s="14"/>
      <c r="C608" s="4"/>
      <c r="D608" s="4"/>
      <c r="E608" s="17"/>
      <c r="F608" s="17"/>
      <c r="G608" s="16"/>
      <c r="H608" s="4"/>
      <c r="I608" s="4"/>
    </row>
    <row r="609" spans="1:9">
      <c r="A609" s="32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2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2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3"/>
      <c r="B615" s="14"/>
      <c r="C615" s="4"/>
      <c r="D615" s="4"/>
      <c r="E615" s="17"/>
      <c r="F615" s="17"/>
      <c r="G615" s="16"/>
      <c r="H615" s="4"/>
      <c r="I615" s="4"/>
    </row>
    <row r="616" spans="1:9">
      <c r="A616" s="32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2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2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3"/>
      <c r="B622" s="14"/>
      <c r="C622" s="4"/>
      <c r="D622" s="4"/>
      <c r="E622" s="17"/>
      <c r="F622" s="17"/>
      <c r="G622" s="16"/>
      <c r="H622" s="4"/>
      <c r="I622" s="4"/>
    </row>
    <row r="623" spans="1:9">
      <c r="A623" s="32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2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2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3"/>
      <c r="B629" s="14"/>
      <c r="C629" s="4"/>
      <c r="D629" s="4"/>
      <c r="E629" s="17"/>
      <c r="F629" s="17"/>
      <c r="G629" s="16"/>
      <c r="H629" s="4"/>
      <c r="I629" s="4"/>
    </row>
    <row r="630" spans="1:9">
      <c r="A630" s="32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2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2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3"/>
      <c r="B636" s="14"/>
      <c r="C636" s="4"/>
      <c r="D636" s="4"/>
      <c r="E636" s="17"/>
      <c r="F636" s="17"/>
      <c r="G636" s="16"/>
      <c r="H636" s="4"/>
      <c r="I636" s="4"/>
    </row>
    <row r="637" spans="1:9">
      <c r="A637" s="32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2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2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3"/>
      <c r="B643" s="14"/>
      <c r="C643" s="4"/>
      <c r="D643" s="4"/>
      <c r="E643" s="17"/>
      <c r="F643" s="17"/>
      <c r="G643" s="16"/>
      <c r="H643" s="4"/>
      <c r="I643" s="4"/>
    </row>
    <row r="644" spans="1:9">
      <c r="A644" s="32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2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2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3"/>
      <c r="B650" s="14"/>
      <c r="C650" s="4"/>
      <c r="D650" s="4"/>
      <c r="E650" s="17"/>
      <c r="F650" s="17"/>
      <c r="G650" s="16"/>
      <c r="H650" s="4"/>
      <c r="I650" s="4"/>
    </row>
    <row r="651" spans="1:9">
      <c r="A651" s="32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2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2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3"/>
      <c r="B657" s="14"/>
      <c r="C657" s="4"/>
      <c r="D657" s="4"/>
      <c r="E657" s="17"/>
      <c r="F657" s="17"/>
      <c r="G657" s="16"/>
      <c r="H657" s="4"/>
      <c r="I657" s="4"/>
    </row>
    <row r="658" spans="1:9">
      <c r="A658" s="32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2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2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3"/>
      <c r="B664" s="14"/>
      <c r="C664" s="4"/>
      <c r="D664" s="4"/>
      <c r="E664" s="17"/>
      <c r="F664" s="17"/>
      <c r="G664" s="16"/>
      <c r="H664" s="4"/>
      <c r="I664" s="4"/>
    </row>
    <row r="665" spans="1:9">
      <c r="A665" s="32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2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2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3"/>
      <c r="B671" s="14"/>
      <c r="C671" s="4"/>
      <c r="D671" s="4"/>
      <c r="E671" s="17"/>
      <c r="F671" s="17"/>
      <c r="G671" s="16"/>
      <c r="H671" s="4"/>
      <c r="I671" s="4"/>
    </row>
    <row r="672" spans="1:9">
      <c r="A672" s="32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2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2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3"/>
      <c r="B678" s="14"/>
      <c r="C678" s="4"/>
      <c r="D678" s="4"/>
      <c r="E678" s="17"/>
      <c r="F678" s="17"/>
      <c r="G678" s="16"/>
      <c r="H678" s="4"/>
      <c r="I678" s="4"/>
    </row>
    <row r="679" spans="1:9">
      <c r="A679" s="32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2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2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3"/>
      <c r="B685" s="14"/>
      <c r="C685" s="4"/>
      <c r="D685" s="4"/>
      <c r="E685" s="17"/>
      <c r="F685" s="17"/>
      <c r="G685" s="16"/>
      <c r="H685" s="4"/>
      <c r="I685" s="4"/>
    </row>
    <row r="686" spans="1:9">
      <c r="A686" s="32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2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2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3"/>
      <c r="B692" s="14"/>
      <c r="C692" s="4"/>
      <c r="D692" s="4"/>
      <c r="E692" s="17"/>
      <c r="F692" s="17"/>
      <c r="G692" s="16"/>
      <c r="H692" s="4"/>
      <c r="I692" s="4"/>
    </row>
    <row r="693" spans="1:9">
      <c r="A693" s="32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2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2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3"/>
      <c r="B699" s="14"/>
      <c r="C699" s="4"/>
      <c r="D699" s="4"/>
      <c r="E699" s="17"/>
      <c r="F699" s="17"/>
      <c r="G699" s="16"/>
      <c r="H699" s="4"/>
      <c r="I699" s="4"/>
    </row>
    <row r="700" spans="1:9">
      <c r="A700" s="32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2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2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3"/>
      <c r="B706" s="14"/>
      <c r="C706" s="4"/>
      <c r="D706" s="4"/>
      <c r="E706" s="17"/>
      <c r="F706" s="17"/>
      <c r="G706" s="16"/>
      <c r="H706" s="4"/>
      <c r="I706" s="4"/>
    </row>
    <row r="707" spans="1:9">
      <c r="A707" s="32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2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2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3"/>
      <c r="B713" s="14"/>
      <c r="C713" s="4"/>
      <c r="D713" s="4"/>
      <c r="E713" s="17"/>
      <c r="F713" s="17"/>
      <c r="G713" s="16"/>
      <c r="H713" s="4"/>
      <c r="I713" s="4"/>
    </row>
    <row r="714" spans="1:9">
      <c r="A714" s="32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2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2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3"/>
      <c r="B720" s="14"/>
      <c r="C720" s="4"/>
      <c r="D720" s="4"/>
      <c r="E720" s="17"/>
      <c r="F720" s="17"/>
      <c r="G720" s="16"/>
      <c r="H720" s="4"/>
      <c r="I720" s="4"/>
    </row>
    <row r="721" spans="1:9">
      <c r="A721" s="32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2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2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3"/>
      <c r="B727" s="14"/>
      <c r="C727" s="4"/>
      <c r="D727" s="4"/>
      <c r="E727" s="17"/>
      <c r="F727" s="17"/>
      <c r="G727" s="16"/>
      <c r="H727" s="4"/>
      <c r="I727" s="4"/>
    </row>
    <row r="728" spans="1:9">
      <c r="A728" s="32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2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2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3"/>
      <c r="B734" s="14"/>
      <c r="C734" s="4"/>
      <c r="D734" s="4"/>
      <c r="E734" s="17"/>
      <c r="F734" s="17"/>
      <c r="G734" s="16"/>
      <c r="H734" s="4"/>
      <c r="I734" s="4"/>
    </row>
    <row r="735" spans="1:9">
      <c r="A735" s="32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2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2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3"/>
      <c r="B741" s="14"/>
      <c r="C741" s="4"/>
      <c r="D741" s="4"/>
      <c r="E741" s="17"/>
      <c r="F741" s="17"/>
      <c r="G741" s="16"/>
      <c r="H741" s="4"/>
      <c r="I741" s="4"/>
    </row>
    <row r="742" spans="1:9">
      <c r="A742" s="32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2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2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3"/>
      <c r="B748" s="14"/>
      <c r="C748" s="4"/>
      <c r="D748" s="4"/>
      <c r="E748" s="17"/>
      <c r="F748" s="17"/>
      <c r="G748" s="16"/>
      <c r="H748" s="4"/>
      <c r="I748" s="4"/>
    </row>
    <row r="749" spans="1:9">
      <c r="A749" s="32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2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2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3"/>
      <c r="B755" s="14"/>
      <c r="C755" s="4"/>
      <c r="D755" s="4"/>
      <c r="E755" s="17"/>
      <c r="F755" s="17"/>
      <c r="G755" s="16"/>
      <c r="H755" s="4"/>
      <c r="I755" s="4"/>
    </row>
    <row r="756" spans="1:9">
      <c r="A756" s="32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2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2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3"/>
      <c r="B762" s="14"/>
      <c r="C762" s="4"/>
      <c r="D762" s="4"/>
      <c r="E762" s="17"/>
      <c r="F762" s="17"/>
      <c r="G762" s="16"/>
      <c r="H762" s="4"/>
      <c r="I762" s="4"/>
    </row>
    <row r="763" spans="1:9">
      <c r="A763" s="32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2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2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3"/>
      <c r="B769" s="14"/>
      <c r="C769" s="4"/>
      <c r="D769" s="4"/>
      <c r="E769" s="17"/>
      <c r="F769" s="17"/>
      <c r="G769" s="16"/>
      <c r="H769" s="4"/>
      <c r="I769" s="4"/>
    </row>
    <row r="770" spans="1:9">
      <c r="A770" s="32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2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2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3"/>
      <c r="B776" s="14"/>
      <c r="C776" s="4"/>
      <c r="D776" s="4"/>
      <c r="E776" s="17"/>
      <c r="F776" s="17"/>
      <c r="G776" s="16"/>
      <c r="H776" s="4"/>
      <c r="I776" s="4"/>
    </row>
    <row r="777" spans="1:9">
      <c r="A777" s="32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2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2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3"/>
      <c r="B783" s="14"/>
      <c r="C783" s="4"/>
      <c r="D783" s="4"/>
      <c r="E783" s="17"/>
      <c r="F783" s="17"/>
      <c r="G783" s="16"/>
      <c r="H783" s="4"/>
      <c r="I783" s="4"/>
    </row>
    <row r="784" spans="1:9">
      <c r="A784" s="32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2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2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3"/>
      <c r="B790" s="14"/>
      <c r="C790" s="4"/>
      <c r="D790" s="4"/>
      <c r="E790" s="17"/>
      <c r="F790" s="17"/>
      <c r="G790" s="16"/>
      <c r="H790" s="4"/>
      <c r="I790" s="4"/>
    </row>
    <row r="791" spans="1:9">
      <c r="A791" s="32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2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2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3"/>
      <c r="B797" s="14"/>
      <c r="C797" s="4"/>
      <c r="D797" s="4"/>
      <c r="E797" s="17"/>
      <c r="F797" s="17"/>
      <c r="G797" s="16"/>
      <c r="H797" s="4"/>
      <c r="I797" s="4"/>
    </row>
    <row r="798" spans="1:9">
      <c r="A798" s="32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2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2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3"/>
      <c r="B804" s="14"/>
      <c r="C804" s="4"/>
      <c r="D804" s="4"/>
      <c r="E804" s="17"/>
      <c r="F804" s="17"/>
      <c r="G804" s="16"/>
      <c r="H804" s="4"/>
      <c r="I804" s="4"/>
    </row>
    <row r="805" spans="1:9">
      <c r="A805" s="32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2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2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3"/>
      <c r="B811" s="14"/>
      <c r="C811" s="4"/>
      <c r="D811" s="4"/>
      <c r="E811" s="17"/>
      <c r="F811" s="17"/>
      <c r="G811" s="16"/>
      <c r="H811" s="4"/>
      <c r="I811" s="4"/>
    </row>
    <row r="812" spans="1:9">
      <c r="A812" s="32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2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2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3"/>
      <c r="B818" s="14"/>
      <c r="C818" s="4"/>
      <c r="D818" s="4"/>
      <c r="E818" s="17"/>
      <c r="F818" s="17"/>
      <c r="G818" s="16"/>
      <c r="H818" s="4"/>
      <c r="I818" s="4"/>
    </row>
    <row r="819" spans="1:9">
      <c r="A819" s="32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2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2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3"/>
      <c r="B825" s="14"/>
      <c r="C825" s="4"/>
      <c r="D825" s="4"/>
      <c r="E825" s="17"/>
      <c r="F825" s="17"/>
      <c r="G825" s="16"/>
      <c r="H825" s="4"/>
      <c r="I825" s="4"/>
    </row>
    <row r="826" spans="1:9">
      <c r="A826" s="32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2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2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3"/>
      <c r="B832" s="14"/>
      <c r="C832" s="4"/>
      <c r="D832" s="4"/>
      <c r="E832" s="17"/>
      <c r="F832" s="17"/>
      <c r="G832" s="16"/>
      <c r="H832" s="4"/>
      <c r="I832" s="4"/>
    </row>
    <row r="833" spans="1:9">
      <c r="A833" s="32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2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2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3"/>
      <c r="B839" s="14"/>
      <c r="C839" s="4"/>
      <c r="D839" s="4"/>
      <c r="E839" s="17"/>
      <c r="F839" s="17"/>
      <c r="G839" s="16"/>
      <c r="H839" s="4"/>
      <c r="I839" s="4"/>
    </row>
    <row r="840" spans="1:9">
      <c r="A840" s="32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2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2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3"/>
      <c r="B846" s="14"/>
      <c r="C846" s="4"/>
      <c r="D846" s="4"/>
      <c r="E846" s="17"/>
      <c r="F846" s="17"/>
      <c r="G846" s="16"/>
      <c r="H846" s="4"/>
      <c r="I846" s="4"/>
    </row>
    <row r="847" spans="1:9">
      <c r="A847" s="32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2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2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3"/>
      <c r="B853" s="14"/>
      <c r="C853" s="4"/>
      <c r="D853" s="4"/>
      <c r="E853" s="17"/>
      <c r="F853" s="17"/>
      <c r="G853" s="16"/>
      <c r="H853" s="4"/>
      <c r="I853" s="4"/>
    </row>
    <row r="854" spans="1:9">
      <c r="A854" s="32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2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2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3"/>
      <c r="B860" s="14"/>
      <c r="C860" s="4"/>
      <c r="D860" s="4"/>
      <c r="E860" s="17"/>
      <c r="F860" s="17"/>
      <c r="G860" s="16"/>
      <c r="H860" s="4"/>
      <c r="I860" s="4"/>
    </row>
    <row r="861" spans="1:9">
      <c r="A861" s="32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2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2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3"/>
      <c r="B867" s="14"/>
      <c r="C867" s="4"/>
      <c r="D867" s="4"/>
      <c r="E867" s="17"/>
      <c r="F867" s="17"/>
      <c r="G867" s="16"/>
      <c r="H867" s="4"/>
      <c r="I867" s="4"/>
    </row>
    <row r="868" spans="1:9">
      <c r="A868" s="32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2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2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3"/>
      <c r="B874" s="14"/>
      <c r="C874" s="4"/>
      <c r="D874" s="4"/>
      <c r="E874" s="17"/>
      <c r="F874" s="17"/>
      <c r="G874" s="16"/>
      <c r="H874" s="4"/>
      <c r="I874" s="4"/>
    </row>
    <row r="875" spans="1:9">
      <c r="A875" s="32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2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2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3"/>
      <c r="B881" s="14"/>
      <c r="C881" s="4"/>
      <c r="D881" s="4"/>
      <c r="E881" s="17"/>
      <c r="F881" s="17"/>
      <c r="G881" s="16"/>
      <c r="H881" s="4"/>
      <c r="I881" s="4"/>
    </row>
    <row r="882" spans="1:9">
      <c r="A882" s="32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2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2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3"/>
      <c r="B888" s="14"/>
      <c r="C888" s="4"/>
      <c r="D888" s="4"/>
      <c r="E888" s="17"/>
      <c r="F888" s="17"/>
      <c r="G888" s="16"/>
      <c r="H888" s="4"/>
      <c r="I888" s="4"/>
    </row>
    <row r="889" spans="1:9">
      <c r="A889" s="32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2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2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3"/>
      <c r="B895" s="14"/>
      <c r="C895" s="4"/>
      <c r="D895" s="4"/>
      <c r="E895" s="17"/>
      <c r="F895" s="17"/>
      <c r="G895" s="16"/>
      <c r="H895" s="4"/>
      <c r="I895" s="4"/>
    </row>
    <row r="896" spans="1:9">
      <c r="A896" s="32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2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2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3"/>
      <c r="B902" s="14"/>
      <c r="C902" s="4"/>
      <c r="D902" s="4"/>
      <c r="E902" s="17"/>
      <c r="F902" s="17"/>
      <c r="G902" s="16"/>
      <c r="H902" s="4"/>
      <c r="I902" s="4"/>
    </row>
    <row r="903" spans="1:9">
      <c r="A903" s="32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2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2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3"/>
      <c r="B909" s="14"/>
      <c r="C909" s="4"/>
      <c r="D909" s="4"/>
      <c r="E909" s="17"/>
      <c r="F909" s="17"/>
      <c r="G909" s="16"/>
      <c r="H909" s="4"/>
      <c r="I909" s="4"/>
    </row>
    <row r="910" spans="1:9">
      <c r="A910" s="32"/>
      <c r="B910" s="14"/>
      <c r="C910" s="4"/>
      <c r="D910" s="4"/>
      <c r="E910" s="17"/>
      <c r="F910" s="17"/>
      <c r="G910" s="16"/>
      <c r="H910" s="4"/>
      <c r="I910" s="4"/>
    </row>
  </sheetData>
  <autoFilter ref="A50:K66">
    <filterColumn colId="2">
      <filters>
        <filter val="LINE 4"/>
      </filters>
    </filterColumn>
  </autoFilter>
  <mergeCells count="5">
    <mergeCell ref="A2:I3"/>
    <mergeCell ref="A9:I10"/>
    <mergeCell ref="A12:I13"/>
    <mergeCell ref="A19:I20"/>
    <mergeCell ref="A27:I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/>
  <dimension ref="A1:I911"/>
  <sheetViews>
    <sheetView topLeftCell="A44" zoomScale="90" zoomScaleNormal="90" workbookViewId="0">
      <selection activeCell="A12" sqref="A12"/>
    </sheetView>
  </sheetViews>
  <sheetFormatPr defaultColWidth="9.140625" defaultRowHeight="15"/>
  <cols>
    <col min="1" max="1" width="15.140625" style="1" customWidth="1"/>
    <col min="2" max="2" width="7.5703125" style="1" customWidth="1"/>
    <col min="3" max="3" width="17.7109375" style="1" bestFit="1" customWidth="1"/>
    <col min="4" max="4" width="45" style="1" bestFit="1" customWidth="1"/>
    <col min="5" max="5" width="13" style="1" bestFit="1" customWidth="1"/>
    <col min="6" max="6" width="12.5703125" style="1" customWidth="1"/>
    <col min="7" max="7" width="21.85546875" style="1" bestFit="1" customWidth="1"/>
    <col min="8" max="8" width="62.7109375" style="1" bestFit="1" customWidth="1"/>
    <col min="9" max="11" width="48" style="1" customWidth="1"/>
    <col min="12" max="16384" width="9.140625" style="1"/>
  </cols>
  <sheetData>
    <row r="1" spans="1:9" s="12" customFormat="1" ht="31.5" customHeight="1">
      <c r="A1" s="77" t="s">
        <v>20</v>
      </c>
      <c r="B1" s="77" t="s">
        <v>0</v>
      </c>
      <c r="C1" s="77" t="s">
        <v>21</v>
      </c>
      <c r="D1" s="77" t="s">
        <v>37</v>
      </c>
      <c r="E1" s="77" t="s">
        <v>32</v>
      </c>
      <c r="F1" s="78" t="s">
        <v>33</v>
      </c>
      <c r="G1" s="77" t="s">
        <v>30</v>
      </c>
      <c r="H1" s="77" t="s">
        <v>31</v>
      </c>
      <c r="I1" s="9" t="s">
        <v>101</v>
      </c>
    </row>
    <row r="2" spans="1:9" s="12" customFormat="1" ht="31.5" customHeight="1">
      <c r="A2" s="223" t="s">
        <v>322</v>
      </c>
      <c r="B2" s="223"/>
      <c r="C2" s="223"/>
      <c r="D2" s="223"/>
      <c r="E2" s="223"/>
      <c r="F2" s="223"/>
      <c r="G2" s="223"/>
      <c r="H2" s="223"/>
      <c r="I2" s="79"/>
    </row>
    <row r="3" spans="1:9">
      <c r="A3" s="53" t="s">
        <v>323</v>
      </c>
      <c r="B3" s="14" t="s">
        <v>7</v>
      </c>
      <c r="C3" s="4" t="s">
        <v>324</v>
      </c>
      <c r="D3" s="4" t="s">
        <v>325</v>
      </c>
      <c r="E3" s="17">
        <v>0.67013888888888884</v>
      </c>
      <c r="F3" s="17">
        <v>0.69791666666666663</v>
      </c>
      <c r="G3" s="16">
        <v>40</v>
      </c>
      <c r="H3" s="54" t="s">
        <v>326</v>
      </c>
      <c r="I3" s="36"/>
    </row>
    <row r="4" spans="1:9">
      <c r="A4" s="53" t="s">
        <v>191</v>
      </c>
      <c r="B4" s="14" t="s">
        <v>3</v>
      </c>
      <c r="C4" s="4" t="s">
        <v>327</v>
      </c>
      <c r="D4" s="4" t="s">
        <v>328</v>
      </c>
      <c r="E4" s="17">
        <v>0.28125</v>
      </c>
      <c r="F4" s="17">
        <v>0.30555555555555552</v>
      </c>
      <c r="G4" s="16">
        <v>35</v>
      </c>
      <c r="H4" s="54" t="s">
        <v>329</v>
      </c>
      <c r="I4" s="36"/>
    </row>
    <row r="5" spans="1:9">
      <c r="A5" s="53" t="s">
        <v>190</v>
      </c>
      <c r="B5" s="14" t="s">
        <v>3</v>
      </c>
      <c r="C5" s="4" t="s">
        <v>330</v>
      </c>
      <c r="D5" s="4" t="s">
        <v>331</v>
      </c>
      <c r="E5" s="17">
        <v>0.28125</v>
      </c>
      <c r="F5" s="17">
        <v>0.29166666666666669</v>
      </c>
      <c r="G5" s="16">
        <v>15</v>
      </c>
      <c r="H5" s="54" t="s">
        <v>332</v>
      </c>
      <c r="I5" s="36"/>
    </row>
    <row r="6" spans="1:9">
      <c r="A6" s="53" t="s">
        <v>323</v>
      </c>
      <c r="B6" s="14" t="s">
        <v>7</v>
      </c>
      <c r="C6" s="4" t="s">
        <v>330</v>
      </c>
      <c r="D6" s="4" t="s">
        <v>333</v>
      </c>
      <c r="E6" s="17">
        <v>0.66666666666666663</v>
      </c>
      <c r="F6" s="17">
        <v>0.67361111111111116</v>
      </c>
      <c r="G6" s="16">
        <v>10</v>
      </c>
      <c r="H6" s="54" t="s">
        <v>336</v>
      </c>
      <c r="I6" s="36"/>
    </row>
    <row r="7" spans="1:9">
      <c r="A7" s="57" t="s">
        <v>334</v>
      </c>
      <c r="B7" s="14" t="s">
        <v>7</v>
      </c>
      <c r="C7" s="4" t="s">
        <v>335</v>
      </c>
      <c r="D7" s="4" t="s">
        <v>333</v>
      </c>
      <c r="E7" s="17">
        <v>0.96527777777777779</v>
      </c>
      <c r="F7" s="17">
        <v>0.97222222222222221</v>
      </c>
      <c r="G7" s="16">
        <v>10</v>
      </c>
      <c r="H7" s="54" t="s">
        <v>337</v>
      </c>
      <c r="I7" s="36"/>
    </row>
    <row r="8" spans="1:9" hidden="1">
      <c r="A8" s="57"/>
      <c r="B8" s="14"/>
      <c r="C8" s="4"/>
      <c r="D8" s="4"/>
      <c r="E8" s="17"/>
      <c r="F8" s="17"/>
      <c r="G8" s="16"/>
      <c r="H8" s="54"/>
      <c r="I8" s="36"/>
    </row>
    <row r="9" spans="1:9">
      <c r="A9" s="57" t="s">
        <v>202</v>
      </c>
      <c r="B9" s="14" t="s">
        <v>92</v>
      </c>
      <c r="C9" s="4" t="s">
        <v>338</v>
      </c>
      <c r="D9" s="4" t="s">
        <v>347</v>
      </c>
      <c r="E9" s="17">
        <v>0.50347222222222221</v>
      </c>
      <c r="F9" s="17">
        <v>0.52777777777777779</v>
      </c>
      <c r="G9" s="16">
        <v>35</v>
      </c>
      <c r="H9" s="54" t="s">
        <v>348</v>
      </c>
      <c r="I9" s="36"/>
    </row>
    <row r="10" spans="1:9">
      <c r="A10" s="57" t="s">
        <v>201</v>
      </c>
      <c r="B10" s="14" t="s">
        <v>92</v>
      </c>
      <c r="C10" s="4" t="s">
        <v>335</v>
      </c>
      <c r="D10" s="4" t="s">
        <v>349</v>
      </c>
      <c r="E10" s="17">
        <v>4.1666666666666664E-2</v>
      </c>
      <c r="F10" s="17">
        <v>9.7222222222222224E-2</v>
      </c>
      <c r="G10" s="16">
        <v>80</v>
      </c>
      <c r="H10" s="54" t="s">
        <v>352</v>
      </c>
      <c r="I10" s="36"/>
    </row>
    <row r="11" spans="1:9">
      <c r="A11" s="57" t="s">
        <v>350</v>
      </c>
      <c r="B11" s="14" t="s">
        <v>3</v>
      </c>
      <c r="C11" s="4" t="s">
        <v>351</v>
      </c>
      <c r="D11" s="4" t="s">
        <v>349</v>
      </c>
      <c r="E11" s="17">
        <v>0.25</v>
      </c>
      <c r="F11" s="17">
        <v>0.30555555555555552</v>
      </c>
      <c r="G11" s="16">
        <v>80</v>
      </c>
      <c r="H11" s="54"/>
      <c r="I11" s="36"/>
    </row>
    <row r="12" spans="1:9">
      <c r="A12" s="57"/>
      <c r="B12" s="14"/>
      <c r="C12" s="4"/>
      <c r="D12" s="4"/>
      <c r="E12" s="17"/>
      <c r="F12" s="17"/>
      <c r="G12" s="16"/>
      <c r="H12" s="54"/>
      <c r="I12" s="36"/>
    </row>
    <row r="13" spans="1:9">
      <c r="A13" s="53"/>
      <c r="B13" s="14"/>
      <c r="C13" s="4"/>
      <c r="D13" s="4"/>
      <c r="E13" s="17"/>
      <c r="F13" s="17"/>
      <c r="G13" s="16"/>
      <c r="H13" s="54"/>
      <c r="I13" s="36"/>
    </row>
    <row r="14" spans="1:9">
      <c r="A14" s="57"/>
      <c r="B14" s="14"/>
      <c r="C14" s="4"/>
      <c r="D14" s="4"/>
      <c r="E14" s="17"/>
      <c r="F14" s="17"/>
      <c r="G14" s="16"/>
      <c r="H14" s="54"/>
      <c r="I14" s="36"/>
    </row>
    <row r="15" spans="1:9">
      <c r="A15" s="57"/>
      <c r="B15" s="14"/>
      <c r="C15" s="4"/>
      <c r="D15" s="4"/>
      <c r="E15" s="17"/>
      <c r="F15" s="17"/>
      <c r="G15" s="16"/>
      <c r="H15" s="54"/>
      <c r="I15" s="36"/>
    </row>
    <row r="16" spans="1:9">
      <c r="A16" s="53"/>
      <c r="B16" s="14"/>
      <c r="C16" s="4"/>
      <c r="D16" s="4"/>
      <c r="E16" s="17"/>
      <c r="F16" s="17"/>
      <c r="G16" s="16"/>
      <c r="H16" s="54"/>
      <c r="I16" s="36"/>
    </row>
    <row r="17" spans="1:9">
      <c r="A17" s="57"/>
      <c r="B17" s="14"/>
      <c r="C17" s="4"/>
      <c r="D17" s="4"/>
      <c r="E17" s="17"/>
      <c r="F17" s="17"/>
      <c r="G17" s="16"/>
      <c r="H17" s="54"/>
      <c r="I17" s="36"/>
    </row>
    <row r="18" spans="1:9">
      <c r="A18" s="57"/>
      <c r="B18" s="14"/>
      <c r="C18" s="4"/>
      <c r="D18" s="4"/>
      <c r="E18" s="17"/>
      <c r="F18" s="17"/>
      <c r="G18" s="16"/>
      <c r="H18" s="54"/>
      <c r="I18" s="36"/>
    </row>
    <row r="19" spans="1:9" hidden="1">
      <c r="A19" s="217" t="s">
        <v>225</v>
      </c>
      <c r="B19" s="218"/>
      <c r="C19" s="218"/>
      <c r="D19" s="218"/>
      <c r="E19" s="218"/>
      <c r="F19" s="218"/>
      <c r="G19" s="218"/>
      <c r="H19" s="218"/>
      <c r="I19" s="219"/>
    </row>
    <row r="20" spans="1:9" hidden="1">
      <c r="A20" s="220"/>
      <c r="B20" s="221"/>
      <c r="C20" s="221"/>
      <c r="D20" s="221"/>
      <c r="E20" s="221"/>
      <c r="F20" s="221"/>
      <c r="G20" s="221"/>
      <c r="H20" s="221"/>
      <c r="I20" s="222"/>
    </row>
    <row r="21" spans="1:9" s="12" customFormat="1" ht="31.5" customHeight="1">
      <c r="A21" s="224" t="s">
        <v>339</v>
      </c>
      <c r="B21" s="224"/>
      <c r="C21" s="224"/>
      <c r="D21" s="224"/>
      <c r="E21" s="224"/>
      <c r="F21" s="224"/>
      <c r="G21" s="224"/>
      <c r="H21" s="224"/>
      <c r="I21" s="79"/>
    </row>
    <row r="22" spans="1:9">
      <c r="A22" s="57">
        <v>43164</v>
      </c>
      <c r="B22" s="14" t="s">
        <v>3</v>
      </c>
      <c r="C22" s="4" t="s">
        <v>335</v>
      </c>
      <c r="D22" s="4" t="s">
        <v>340</v>
      </c>
      <c r="E22" s="17">
        <v>0.27777777777777779</v>
      </c>
      <c r="F22" s="17">
        <v>0.29166666666666669</v>
      </c>
      <c r="G22" s="16">
        <v>20</v>
      </c>
      <c r="H22" s="54" t="s">
        <v>341</v>
      </c>
      <c r="I22" s="36"/>
    </row>
    <row r="23" spans="1:9">
      <c r="A23" s="57">
        <v>43286</v>
      </c>
      <c r="B23" s="14" t="s">
        <v>7</v>
      </c>
      <c r="C23" s="4" t="s">
        <v>335</v>
      </c>
      <c r="D23" s="4" t="s">
        <v>342</v>
      </c>
      <c r="E23" s="17">
        <v>0.61805555555555558</v>
      </c>
      <c r="F23" s="17">
        <v>0.65972222222222221</v>
      </c>
      <c r="G23" s="16">
        <v>60</v>
      </c>
      <c r="H23" s="54" t="s">
        <v>343</v>
      </c>
      <c r="I23" s="36"/>
    </row>
    <row r="24" spans="1:9">
      <c r="A24" s="57" t="s">
        <v>344</v>
      </c>
      <c r="B24" s="80" t="s">
        <v>7</v>
      </c>
      <c r="C24" s="4" t="s">
        <v>335</v>
      </c>
      <c r="D24" s="4" t="s">
        <v>48</v>
      </c>
      <c r="E24" s="17" t="s">
        <v>345</v>
      </c>
      <c r="F24" s="17">
        <v>0.58333333333333337</v>
      </c>
      <c r="G24" s="16">
        <v>35</v>
      </c>
      <c r="H24" s="54" t="s">
        <v>346</v>
      </c>
      <c r="I24" s="36"/>
    </row>
    <row r="25" spans="1:9">
      <c r="A25" s="53"/>
      <c r="B25" s="14"/>
      <c r="C25" s="4"/>
      <c r="D25" s="4"/>
      <c r="E25" s="17"/>
      <c r="F25" s="17"/>
      <c r="G25" s="16"/>
      <c r="H25" s="54"/>
      <c r="I25" s="36"/>
    </row>
    <row r="26" spans="1:9">
      <c r="A26" s="53"/>
      <c r="B26" s="14"/>
      <c r="C26" s="4"/>
      <c r="D26" s="4"/>
      <c r="E26" s="17"/>
      <c r="F26" s="17"/>
      <c r="G26" s="16"/>
      <c r="H26" s="54"/>
      <c r="I26" s="36"/>
    </row>
    <row r="27" spans="1:9" hidden="1">
      <c r="A27" s="217" t="s">
        <v>244</v>
      </c>
      <c r="B27" s="218"/>
      <c r="C27" s="218"/>
      <c r="D27" s="218"/>
      <c r="E27" s="218"/>
      <c r="F27" s="218"/>
      <c r="G27" s="218"/>
      <c r="H27" s="218"/>
      <c r="I27" s="219"/>
    </row>
    <row r="28" spans="1:9" hidden="1">
      <c r="A28" s="220"/>
      <c r="B28" s="221"/>
      <c r="C28" s="221"/>
      <c r="D28" s="221"/>
      <c r="E28" s="221"/>
      <c r="F28" s="221"/>
      <c r="G28" s="221"/>
      <c r="H28" s="221"/>
      <c r="I28" s="222"/>
    </row>
    <row r="29" spans="1:9" ht="21">
      <c r="A29" s="75"/>
      <c r="B29" s="75"/>
      <c r="C29" s="75"/>
      <c r="D29" s="75"/>
      <c r="E29" s="75"/>
      <c r="F29" s="75"/>
      <c r="G29" s="75"/>
      <c r="H29" s="75"/>
      <c r="I29" s="76"/>
    </row>
    <row r="30" spans="1:9">
      <c r="A30" s="57"/>
      <c r="B30" s="14"/>
      <c r="C30" s="18"/>
      <c r="D30" s="4"/>
      <c r="E30" s="17"/>
      <c r="F30" s="17"/>
      <c r="G30" s="16"/>
      <c r="H30" s="54"/>
      <c r="I30" s="36"/>
    </row>
    <row r="31" spans="1:9">
      <c r="A31" s="57" t="s">
        <v>245</v>
      </c>
      <c r="B31" s="14" t="s">
        <v>92</v>
      </c>
      <c r="C31" s="4" t="s">
        <v>177</v>
      </c>
      <c r="D31" s="4" t="s">
        <v>248</v>
      </c>
      <c r="E31" s="17">
        <v>8.3333333333333329E-2</v>
      </c>
      <c r="F31" s="17">
        <v>0.10069444444444443</v>
      </c>
      <c r="G31" s="16">
        <v>0.41666666666666669</v>
      </c>
      <c r="H31" s="54" t="s">
        <v>252</v>
      </c>
      <c r="I31" s="36"/>
    </row>
    <row r="32" spans="1:9">
      <c r="A32" s="57" t="s">
        <v>246</v>
      </c>
      <c r="B32" s="14" t="s">
        <v>92</v>
      </c>
      <c r="C32" s="4" t="s">
        <v>171</v>
      </c>
      <c r="D32" s="4" t="s">
        <v>249</v>
      </c>
      <c r="E32" s="17">
        <v>0.125</v>
      </c>
      <c r="F32" s="17">
        <v>0.13541666666666666</v>
      </c>
      <c r="G32" s="16">
        <v>0.25</v>
      </c>
      <c r="H32" s="54" t="s">
        <v>253</v>
      </c>
      <c r="I32" s="36"/>
    </row>
    <row r="33" spans="1:9">
      <c r="A33" s="57" t="s">
        <v>247</v>
      </c>
      <c r="B33" s="14" t="s">
        <v>3</v>
      </c>
      <c r="C33" s="18" t="s">
        <v>89</v>
      </c>
      <c r="D33" s="4" t="s">
        <v>250</v>
      </c>
      <c r="E33" s="17">
        <v>0.29166666666666669</v>
      </c>
      <c r="F33" s="17">
        <v>0.30902777777777779</v>
      </c>
      <c r="G33" s="16">
        <v>0.41666666666666669</v>
      </c>
      <c r="H33" s="54" t="s">
        <v>254</v>
      </c>
      <c r="I33" s="36"/>
    </row>
    <row r="34" spans="1:9" ht="15.75" thickBot="1">
      <c r="A34" s="67">
        <v>43136</v>
      </c>
      <c r="B34" s="59" t="s">
        <v>7</v>
      </c>
      <c r="C34" s="70" t="s">
        <v>89</v>
      </c>
      <c r="D34" s="60" t="s">
        <v>194</v>
      </c>
      <c r="E34" s="61">
        <v>0.14583333333333334</v>
      </c>
      <c r="F34" s="61">
        <v>0.16666666666666666</v>
      </c>
      <c r="G34" s="62">
        <v>0.5</v>
      </c>
      <c r="H34" s="63" t="s">
        <v>255</v>
      </c>
      <c r="I34" s="36"/>
    </row>
    <row r="35" spans="1:9">
      <c r="A35" s="42"/>
      <c r="B35" s="43"/>
      <c r="C35" s="44"/>
      <c r="D35" s="44"/>
      <c r="E35" s="45"/>
      <c r="F35" s="45"/>
      <c r="G35" s="46"/>
      <c r="H35" s="44"/>
      <c r="I35" s="4"/>
    </row>
    <row r="36" spans="1:9">
      <c r="A36" s="32"/>
      <c r="B36" s="14"/>
      <c r="C36" s="4"/>
      <c r="D36" s="4"/>
      <c r="E36" s="17"/>
      <c r="F36" s="17"/>
      <c r="G36" s="16"/>
      <c r="H36" s="4"/>
      <c r="I36" s="4"/>
    </row>
    <row r="37" spans="1:9">
      <c r="A37" s="32"/>
      <c r="B37" s="14"/>
      <c r="C37" s="4"/>
      <c r="D37" s="4"/>
      <c r="E37" s="17"/>
      <c r="F37" s="17"/>
      <c r="G37" s="16"/>
      <c r="H37" s="4"/>
      <c r="I37" s="4"/>
    </row>
    <row r="38" spans="1:9">
      <c r="A38" s="32"/>
      <c r="B38" s="14"/>
      <c r="C38" s="4"/>
      <c r="D38" s="4"/>
      <c r="E38" s="17"/>
      <c r="F38" s="17"/>
      <c r="G38" s="16"/>
      <c r="H38" s="4"/>
      <c r="I38" s="4"/>
    </row>
    <row r="39" spans="1:9">
      <c r="A39" s="32"/>
      <c r="B39" s="14"/>
      <c r="C39" s="4"/>
      <c r="D39" s="4"/>
      <c r="E39" s="17"/>
      <c r="F39" s="17"/>
      <c r="G39" s="16"/>
      <c r="H39" s="4"/>
      <c r="I39" s="4"/>
    </row>
    <row r="40" spans="1:9">
      <c r="A40" s="32"/>
      <c r="B40" s="14"/>
      <c r="C40" s="4"/>
      <c r="D40" s="4"/>
      <c r="E40" s="17"/>
      <c r="F40" s="17"/>
      <c r="G40" s="16"/>
      <c r="H40" s="4"/>
      <c r="I40" s="4"/>
    </row>
    <row r="41" spans="1:9">
      <c r="A41" s="32"/>
      <c r="B41" s="14"/>
      <c r="C41" s="4"/>
      <c r="D41" s="4"/>
      <c r="E41" s="17"/>
      <c r="F41" s="17"/>
      <c r="G41" s="16"/>
      <c r="H41" s="4"/>
      <c r="I41" s="4"/>
    </row>
    <row r="42" spans="1:9">
      <c r="A42" s="33"/>
      <c r="B42" s="14"/>
      <c r="C42" s="4"/>
      <c r="D42" s="4"/>
      <c r="E42" s="17"/>
      <c r="F42" s="17"/>
      <c r="G42" s="16"/>
      <c r="H42" s="4"/>
      <c r="I42" s="4"/>
    </row>
    <row r="43" spans="1:9">
      <c r="A43" s="32"/>
      <c r="B43" s="14"/>
      <c r="C43" s="4"/>
      <c r="D43" s="4"/>
      <c r="E43" s="17"/>
      <c r="F43" s="17"/>
      <c r="G43" s="16"/>
      <c r="H43" s="4"/>
      <c r="I43" s="4"/>
    </row>
    <row r="44" spans="1:9">
      <c r="A44" s="32"/>
      <c r="B44" s="14"/>
      <c r="C44" s="4"/>
      <c r="D44" s="4"/>
      <c r="E44" s="17"/>
      <c r="F44" s="17"/>
      <c r="G44" s="16"/>
      <c r="H44" s="4"/>
      <c r="I44" s="4"/>
    </row>
    <row r="45" spans="1:9">
      <c r="A45" s="32"/>
      <c r="B45" s="14"/>
      <c r="C45" s="4"/>
      <c r="D45" s="4"/>
      <c r="E45" s="17"/>
      <c r="F45" s="17"/>
      <c r="G45" s="16"/>
      <c r="H45" s="4"/>
      <c r="I45" s="4"/>
    </row>
    <row r="46" spans="1:9">
      <c r="A46" s="32"/>
      <c r="B46" s="14"/>
      <c r="C46" s="4"/>
      <c r="D46" s="4"/>
      <c r="E46" s="17"/>
      <c r="F46" s="17"/>
      <c r="G46" s="16"/>
      <c r="H46" s="4"/>
      <c r="I46" s="4"/>
    </row>
    <row r="47" spans="1:9">
      <c r="A47" s="32"/>
      <c r="B47" s="14"/>
      <c r="C47" s="4"/>
      <c r="D47" s="4"/>
      <c r="E47" s="17"/>
      <c r="F47" s="17"/>
      <c r="G47" s="16"/>
      <c r="H47" s="4"/>
      <c r="I47" s="4"/>
    </row>
    <row r="48" spans="1:9">
      <c r="A48" s="32"/>
      <c r="B48" s="14"/>
      <c r="C48" s="4"/>
      <c r="D48" s="4"/>
      <c r="E48" s="17"/>
      <c r="F48" s="17"/>
      <c r="G48" s="16"/>
      <c r="H48" s="4"/>
      <c r="I48" s="4"/>
    </row>
    <row r="49" spans="1:9">
      <c r="A49" s="33"/>
      <c r="B49" s="14"/>
      <c r="C49" s="4"/>
      <c r="D49" s="4"/>
      <c r="E49" s="17"/>
      <c r="F49" s="17"/>
      <c r="G49" s="16"/>
      <c r="H49" s="4"/>
      <c r="I49" s="4"/>
    </row>
    <row r="50" spans="1:9">
      <c r="A50" s="32"/>
      <c r="B50" s="14"/>
      <c r="C50" s="4"/>
      <c r="D50" s="4"/>
      <c r="E50" s="17"/>
      <c r="F50" s="17"/>
      <c r="G50" s="16"/>
      <c r="H50" s="4"/>
      <c r="I50" s="4"/>
    </row>
    <row r="51" spans="1:9">
      <c r="A51" s="32" t="s">
        <v>259</v>
      </c>
      <c r="B51" s="14"/>
      <c r="C51" s="4" t="s">
        <v>260</v>
      </c>
      <c r="D51" s="4"/>
      <c r="E51" s="17"/>
      <c r="F51" s="17"/>
      <c r="G51" s="16"/>
      <c r="H51" s="4"/>
      <c r="I51" s="4"/>
    </row>
    <row r="52" spans="1:9" hidden="1">
      <c r="A52" s="53">
        <v>43105</v>
      </c>
      <c r="B52" s="14" t="s">
        <v>7</v>
      </c>
      <c r="C52" s="4" t="s">
        <v>192</v>
      </c>
      <c r="D52" s="4" t="s">
        <v>209</v>
      </c>
      <c r="E52" s="17">
        <v>0.86805555555555547</v>
      </c>
      <c r="F52" s="17">
        <v>0.89583333333333337</v>
      </c>
      <c r="G52" s="16">
        <v>0.66666666666666663</v>
      </c>
      <c r="H52" s="54" t="s">
        <v>211</v>
      </c>
      <c r="I52" s="36"/>
    </row>
    <row r="53" spans="1:9" hidden="1">
      <c r="A53" s="57" t="s">
        <v>217</v>
      </c>
      <c r="B53" s="14" t="s">
        <v>3</v>
      </c>
      <c r="C53" s="4" t="s">
        <v>192</v>
      </c>
      <c r="D53" s="4" t="s">
        <v>218</v>
      </c>
      <c r="E53" s="17">
        <v>0.375</v>
      </c>
      <c r="F53" s="17">
        <v>0.39930555555555558</v>
      </c>
      <c r="G53" s="16">
        <v>0.58333333333333337</v>
      </c>
      <c r="H53" s="54" t="s">
        <v>219</v>
      </c>
      <c r="I53" s="36"/>
    </row>
    <row r="54" spans="1:9">
      <c r="A54" s="53" t="s">
        <v>217</v>
      </c>
      <c r="B54" s="14" t="s">
        <v>92</v>
      </c>
      <c r="C54" s="4" t="s">
        <v>89</v>
      </c>
      <c r="D54" s="4" t="s">
        <v>194</v>
      </c>
      <c r="E54" s="17">
        <v>0.16666666666666666</v>
      </c>
      <c r="F54" s="17">
        <v>0.20833333333333334</v>
      </c>
      <c r="G54" s="16">
        <v>1</v>
      </c>
      <c r="H54" s="54" t="s">
        <v>220</v>
      </c>
      <c r="I54" s="36"/>
    </row>
    <row r="55" spans="1:9">
      <c r="A55" s="57" t="s">
        <v>221</v>
      </c>
      <c r="B55" s="14" t="s">
        <v>3</v>
      </c>
      <c r="C55" s="4" t="s">
        <v>89</v>
      </c>
      <c r="D55" s="4" t="s">
        <v>133</v>
      </c>
      <c r="E55" s="17">
        <v>0.54166666666666663</v>
      </c>
      <c r="F55" s="17">
        <v>0.56597222222222221</v>
      </c>
      <c r="G55" s="16">
        <v>0.58333333333333337</v>
      </c>
      <c r="H55" s="54" t="s">
        <v>222</v>
      </c>
      <c r="I55" s="36"/>
    </row>
    <row r="56" spans="1:9">
      <c r="A56" s="57" t="s">
        <v>223</v>
      </c>
      <c r="B56" s="14" t="s">
        <v>3</v>
      </c>
      <c r="C56" s="4" t="s">
        <v>89</v>
      </c>
      <c r="D56" s="4" t="s">
        <v>194</v>
      </c>
      <c r="E56" s="17">
        <v>0.41666666666666669</v>
      </c>
      <c r="F56" s="17">
        <v>0.43402777777777773</v>
      </c>
      <c r="G56" s="16">
        <v>0.41666666666666669</v>
      </c>
      <c r="H56" s="54" t="s">
        <v>224</v>
      </c>
      <c r="I56" s="36"/>
    </row>
    <row r="57" spans="1:9" hidden="1">
      <c r="A57" s="57" t="s">
        <v>226</v>
      </c>
      <c r="B57" s="14" t="s">
        <v>92</v>
      </c>
      <c r="C57" s="4" t="s">
        <v>121</v>
      </c>
      <c r="D57" s="4" t="s">
        <v>228</v>
      </c>
      <c r="E57" s="17">
        <v>0</v>
      </c>
      <c r="F57" s="17">
        <v>1.3888888888888888E-2</v>
      </c>
      <c r="G57" s="16">
        <v>0.33333333333333331</v>
      </c>
      <c r="H57" s="54" t="s">
        <v>227</v>
      </c>
      <c r="I57" s="36"/>
    </row>
    <row r="58" spans="1:9" hidden="1">
      <c r="A58" s="57" t="s">
        <v>229</v>
      </c>
      <c r="B58" s="14" t="s">
        <v>3</v>
      </c>
      <c r="C58" s="4" t="s">
        <v>231</v>
      </c>
      <c r="D58" s="4" t="s">
        <v>232</v>
      </c>
      <c r="E58" s="17">
        <v>0.28125</v>
      </c>
      <c r="F58" s="17">
        <v>0.29166666666666669</v>
      </c>
      <c r="G58" s="16">
        <v>0.25</v>
      </c>
      <c r="H58" s="54" t="s">
        <v>233</v>
      </c>
      <c r="I58" s="36"/>
    </row>
    <row r="59" spans="1:9">
      <c r="A59" s="57" t="s">
        <v>230</v>
      </c>
      <c r="B59" s="14" t="s">
        <v>3</v>
      </c>
      <c r="C59" s="4" t="s">
        <v>234</v>
      </c>
      <c r="D59" s="4" t="s">
        <v>235</v>
      </c>
      <c r="E59" s="17">
        <v>0.63541666666666663</v>
      </c>
      <c r="F59" s="17">
        <v>0.67708333333333337</v>
      </c>
      <c r="G59" s="16">
        <v>1</v>
      </c>
      <c r="H59" s="54" t="s">
        <v>236</v>
      </c>
      <c r="I59" s="36"/>
    </row>
    <row r="60" spans="1:9" hidden="1">
      <c r="A60" s="57" t="s">
        <v>230</v>
      </c>
      <c r="B60" s="14" t="s">
        <v>92</v>
      </c>
      <c r="C60" s="4" t="s">
        <v>237</v>
      </c>
      <c r="D60" s="4" t="s">
        <v>238</v>
      </c>
      <c r="E60" s="17">
        <v>0.125</v>
      </c>
      <c r="F60" s="17">
        <v>0.15625</v>
      </c>
      <c r="G60" s="16">
        <v>0.75</v>
      </c>
      <c r="H60" s="54" t="s">
        <v>239</v>
      </c>
      <c r="I60" s="36"/>
    </row>
    <row r="61" spans="1:9">
      <c r="A61" s="53" t="s">
        <v>240</v>
      </c>
      <c r="B61" s="14" t="s">
        <v>92</v>
      </c>
      <c r="C61" s="4" t="s">
        <v>234</v>
      </c>
      <c r="D61" s="4" t="s">
        <v>241</v>
      </c>
      <c r="E61" s="17">
        <v>9.375E-2</v>
      </c>
      <c r="F61" s="17">
        <v>0.1111111111111111</v>
      </c>
      <c r="G61" s="16">
        <v>0.41666666666666669</v>
      </c>
      <c r="H61" s="54" t="s">
        <v>242</v>
      </c>
      <c r="I61" s="36"/>
    </row>
    <row r="62" spans="1:9">
      <c r="A62" s="53" t="s">
        <v>240</v>
      </c>
      <c r="B62" s="14" t="s">
        <v>3</v>
      </c>
      <c r="C62" s="4" t="s">
        <v>234</v>
      </c>
      <c r="D62" s="4" t="s">
        <v>194</v>
      </c>
      <c r="E62" s="17">
        <v>0.41666666666666669</v>
      </c>
      <c r="F62" s="17">
        <v>0.4375</v>
      </c>
      <c r="G62" s="16">
        <v>0.5</v>
      </c>
      <c r="H62" s="54" t="s">
        <v>243</v>
      </c>
      <c r="I62" s="36"/>
    </row>
    <row r="63" spans="1:9">
      <c r="A63" s="57" t="s">
        <v>245</v>
      </c>
      <c r="B63" s="14" t="s">
        <v>7</v>
      </c>
      <c r="C63" s="18" t="s">
        <v>89</v>
      </c>
      <c r="D63" s="4" t="s">
        <v>194</v>
      </c>
      <c r="E63" s="17">
        <v>0.39583333333333331</v>
      </c>
      <c r="F63" s="17">
        <v>0.40972222222222227</v>
      </c>
      <c r="G63" s="16">
        <v>0.33333333333333331</v>
      </c>
      <c r="H63" s="54" t="s">
        <v>251</v>
      </c>
      <c r="I63" s="36"/>
    </row>
    <row r="64" spans="1:9" hidden="1">
      <c r="A64" s="57" t="s">
        <v>245</v>
      </c>
      <c r="B64" s="14" t="s">
        <v>92</v>
      </c>
      <c r="C64" s="4" t="s">
        <v>231</v>
      </c>
      <c r="D64" s="4" t="s">
        <v>248</v>
      </c>
      <c r="E64" s="17">
        <v>8.3333333333333329E-2</v>
      </c>
      <c r="F64" s="17">
        <v>0.10069444444444443</v>
      </c>
      <c r="G64" s="16">
        <v>0.41666666666666669</v>
      </c>
      <c r="H64" s="54" t="s">
        <v>252</v>
      </c>
      <c r="I64" s="36"/>
    </row>
    <row r="65" spans="1:9" hidden="1">
      <c r="A65" s="57" t="s">
        <v>246</v>
      </c>
      <c r="B65" s="14" t="s">
        <v>92</v>
      </c>
      <c r="C65" s="4" t="s">
        <v>171</v>
      </c>
      <c r="D65" s="4" t="s">
        <v>249</v>
      </c>
      <c r="E65" s="17">
        <v>0.125</v>
      </c>
      <c r="F65" s="17">
        <v>0.13541666666666666</v>
      </c>
      <c r="G65" s="16">
        <v>0.25</v>
      </c>
      <c r="H65" s="54" t="s">
        <v>253</v>
      </c>
      <c r="I65" s="36"/>
    </row>
    <row r="66" spans="1:9">
      <c r="A66" s="57" t="s">
        <v>247</v>
      </c>
      <c r="B66" s="14" t="s">
        <v>3</v>
      </c>
      <c r="C66" s="18" t="s">
        <v>89</v>
      </c>
      <c r="D66" s="4" t="s">
        <v>250</v>
      </c>
      <c r="E66" s="17">
        <v>0.29166666666666669</v>
      </c>
      <c r="F66" s="17">
        <v>0.30902777777777779</v>
      </c>
      <c r="G66" s="16">
        <v>0.41666666666666669</v>
      </c>
      <c r="H66" s="54" t="s">
        <v>254</v>
      </c>
      <c r="I66" s="36"/>
    </row>
    <row r="67" spans="1:9" ht="15.75" thickBot="1">
      <c r="A67" s="67">
        <v>43136</v>
      </c>
      <c r="B67" s="59" t="s">
        <v>7</v>
      </c>
      <c r="C67" s="70" t="s">
        <v>89</v>
      </c>
      <c r="D67" s="60" t="s">
        <v>194</v>
      </c>
      <c r="E67" s="61">
        <v>0.14583333333333334</v>
      </c>
      <c r="F67" s="61">
        <v>0.16666666666666666</v>
      </c>
      <c r="G67" s="62">
        <v>0.5</v>
      </c>
      <c r="H67" s="63" t="s">
        <v>255</v>
      </c>
      <c r="I67" s="36"/>
    </row>
    <row r="68" spans="1:9">
      <c r="A68" s="32"/>
      <c r="B68" s="14"/>
      <c r="C68" s="4"/>
      <c r="D68" s="4"/>
      <c r="E68" s="17"/>
      <c r="F68" s="17"/>
      <c r="G68" s="16"/>
      <c r="H68" s="4"/>
      <c r="I68" s="4"/>
    </row>
    <row r="69" spans="1:9">
      <c r="A69" s="32"/>
      <c r="B69" s="14"/>
      <c r="C69" s="4"/>
      <c r="D69" s="4"/>
      <c r="E69" s="17"/>
      <c r="F69" s="17"/>
      <c r="G69" s="16"/>
      <c r="H69" s="4"/>
      <c r="I69" s="4"/>
    </row>
    <row r="70" spans="1:9">
      <c r="A70" s="33"/>
      <c r="B70" s="14"/>
      <c r="C70" s="4"/>
      <c r="D70" s="4"/>
      <c r="E70" s="17"/>
      <c r="F70" s="17"/>
      <c r="G70" s="16"/>
      <c r="H70" s="4"/>
      <c r="I70" s="4"/>
    </row>
    <row r="71" spans="1:9">
      <c r="A71" s="32"/>
      <c r="B71" s="14"/>
      <c r="C71" s="4"/>
      <c r="D71" s="4"/>
      <c r="E71" s="17"/>
      <c r="F71" s="17"/>
      <c r="G71" s="16"/>
      <c r="H71" s="4"/>
      <c r="I71" s="4"/>
    </row>
    <row r="72" spans="1:9">
      <c r="A72" s="32"/>
      <c r="B72" s="14"/>
      <c r="C72" s="4"/>
      <c r="D72" s="4"/>
      <c r="E72" s="17"/>
      <c r="F72" s="17"/>
      <c r="G72" s="16"/>
      <c r="H72" s="4"/>
      <c r="I72" s="4"/>
    </row>
    <row r="73" spans="1:9">
      <c r="A73" s="32"/>
      <c r="B73" s="14"/>
      <c r="C73" s="4"/>
      <c r="D73" s="4"/>
      <c r="E73" s="17"/>
      <c r="F73" s="17"/>
      <c r="G73" s="16"/>
      <c r="H73" s="4"/>
      <c r="I73" s="4"/>
    </row>
    <row r="74" spans="1:9">
      <c r="A74" s="32"/>
      <c r="B74" s="14"/>
      <c r="C74" s="4"/>
      <c r="D74" s="4"/>
      <c r="E74" s="17"/>
      <c r="F74" s="17"/>
      <c r="G74" s="16"/>
      <c r="H74" s="4"/>
      <c r="I74" s="4"/>
    </row>
    <row r="75" spans="1:9">
      <c r="A75" s="32"/>
      <c r="B75" s="14"/>
      <c r="C75" s="4"/>
      <c r="D75" s="4"/>
      <c r="E75" s="17"/>
      <c r="F75" s="17"/>
      <c r="G75" s="16"/>
      <c r="H75" s="4"/>
      <c r="I75" s="4"/>
    </row>
    <row r="76" spans="1:9">
      <c r="A76" s="32"/>
      <c r="B76" s="14"/>
      <c r="C76" s="4"/>
      <c r="D76" s="4"/>
      <c r="E76" s="17"/>
      <c r="F76" s="17"/>
      <c r="G76" s="16"/>
      <c r="H76" s="4"/>
      <c r="I76" s="4"/>
    </row>
    <row r="77" spans="1:9">
      <c r="A77" s="33"/>
      <c r="B77" s="14"/>
      <c r="C77" s="4"/>
      <c r="D77" s="4"/>
      <c r="E77" s="17"/>
      <c r="F77" s="17"/>
      <c r="G77" s="16"/>
      <c r="H77" s="4"/>
      <c r="I77" s="4"/>
    </row>
    <row r="78" spans="1:9">
      <c r="A78" s="32"/>
      <c r="B78" s="14"/>
      <c r="C78" s="4"/>
      <c r="D78" s="4"/>
      <c r="E78" s="17"/>
      <c r="F78" s="17"/>
      <c r="G78" s="16"/>
      <c r="H78" s="4"/>
      <c r="I78" s="4"/>
    </row>
    <row r="79" spans="1:9">
      <c r="A79" s="32"/>
      <c r="B79" s="14"/>
      <c r="C79" s="4"/>
      <c r="D79" s="4"/>
      <c r="E79" s="17"/>
      <c r="F79" s="17"/>
      <c r="G79" s="16"/>
      <c r="H79" s="4"/>
      <c r="I79" s="4"/>
    </row>
    <row r="80" spans="1:9">
      <c r="A80" s="32"/>
      <c r="B80" s="14"/>
      <c r="C80" s="4"/>
      <c r="D80" s="4"/>
      <c r="E80" s="17"/>
      <c r="F80" s="17"/>
      <c r="G80" s="16"/>
      <c r="H80" s="4"/>
      <c r="I80" s="4"/>
    </row>
    <row r="81" spans="1:9">
      <c r="A81" s="32"/>
      <c r="B81" s="14"/>
      <c r="C81" s="4"/>
      <c r="D81" s="4"/>
      <c r="E81" s="17"/>
      <c r="F81" s="17"/>
      <c r="G81" s="16"/>
      <c r="H81" s="4"/>
      <c r="I81" s="4"/>
    </row>
    <row r="82" spans="1:9">
      <c r="A82" s="32"/>
      <c r="B82" s="14"/>
      <c r="C82" s="4"/>
      <c r="D82" s="4"/>
      <c r="E82" s="17"/>
      <c r="F82" s="17"/>
      <c r="G82" s="16"/>
      <c r="H82" s="4"/>
      <c r="I82" s="4"/>
    </row>
    <row r="83" spans="1:9">
      <c r="A83" s="32"/>
      <c r="B83" s="14"/>
      <c r="C83" s="4"/>
      <c r="D83" s="4"/>
      <c r="E83" s="17"/>
      <c r="F83" s="17"/>
      <c r="G83" s="16"/>
      <c r="H83" s="4"/>
      <c r="I83" s="4"/>
    </row>
    <row r="84" spans="1:9">
      <c r="A84" s="33"/>
      <c r="B84" s="14"/>
      <c r="C84" s="4"/>
      <c r="D84" s="4"/>
      <c r="E84" s="17"/>
      <c r="F84" s="17"/>
      <c r="G84" s="16"/>
      <c r="H84" s="4"/>
      <c r="I84" s="4"/>
    </row>
    <row r="85" spans="1:9">
      <c r="A85" s="32"/>
      <c r="B85" s="14"/>
      <c r="C85" s="4"/>
      <c r="D85" s="4"/>
      <c r="E85" s="17"/>
      <c r="F85" s="17"/>
      <c r="G85" s="16"/>
      <c r="H85" s="4"/>
      <c r="I85" s="4"/>
    </row>
    <row r="86" spans="1:9">
      <c r="A86" s="32"/>
      <c r="B86" s="14"/>
      <c r="C86" s="4"/>
      <c r="D86" s="4"/>
      <c r="E86" s="17"/>
      <c r="F86" s="17"/>
      <c r="G86" s="16"/>
      <c r="H86" s="4"/>
      <c r="I86" s="4"/>
    </row>
    <row r="87" spans="1:9">
      <c r="A87" s="32"/>
      <c r="B87" s="14"/>
      <c r="C87" s="4"/>
      <c r="D87" s="4"/>
      <c r="E87" s="17"/>
      <c r="F87" s="17"/>
      <c r="G87" s="16"/>
      <c r="H87" s="4"/>
      <c r="I87" s="4"/>
    </row>
    <row r="88" spans="1:9">
      <c r="A88" s="32"/>
      <c r="B88" s="14"/>
      <c r="C88" s="4"/>
      <c r="D88" s="4"/>
      <c r="E88" s="17"/>
      <c r="F88" s="17"/>
      <c r="G88" s="16"/>
      <c r="H88" s="4"/>
      <c r="I88" s="4"/>
    </row>
    <row r="89" spans="1:9">
      <c r="A89" s="32"/>
      <c r="B89" s="14"/>
      <c r="C89" s="4"/>
      <c r="D89" s="4"/>
      <c r="E89" s="17"/>
      <c r="F89" s="17"/>
      <c r="G89" s="16"/>
      <c r="H89" s="4"/>
      <c r="I89" s="4"/>
    </row>
    <row r="90" spans="1:9">
      <c r="A90" s="32"/>
      <c r="B90" s="14"/>
      <c r="C90" s="4"/>
      <c r="D90" s="4"/>
      <c r="E90" s="17"/>
      <c r="F90" s="17"/>
      <c r="G90" s="16"/>
      <c r="H90" s="4"/>
      <c r="I90" s="4"/>
    </row>
    <row r="91" spans="1:9">
      <c r="A91" s="33"/>
      <c r="B91" s="14"/>
      <c r="C91" s="4"/>
      <c r="D91" s="4"/>
      <c r="E91" s="17"/>
      <c r="F91" s="17"/>
      <c r="G91" s="16"/>
      <c r="H91" s="4"/>
      <c r="I91" s="4"/>
    </row>
    <row r="92" spans="1:9">
      <c r="A92" s="32"/>
      <c r="B92" s="14"/>
      <c r="C92" s="4"/>
      <c r="D92" s="4"/>
      <c r="E92" s="17"/>
      <c r="F92" s="17"/>
      <c r="G92" s="16"/>
      <c r="H92" s="4"/>
      <c r="I92" s="4"/>
    </row>
    <row r="93" spans="1:9">
      <c r="A93" s="32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2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2"/>
      <c r="B97" s="14"/>
      <c r="C97" s="4"/>
      <c r="D97" s="4"/>
      <c r="E97" s="17"/>
      <c r="F97" s="17"/>
      <c r="G97" s="16"/>
      <c r="H97" s="4"/>
      <c r="I97" s="4"/>
    </row>
    <row r="98" spans="1:9">
      <c r="A98" s="33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2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2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2"/>
      <c r="B104" s="14"/>
      <c r="C104" s="4"/>
      <c r="D104" s="4"/>
      <c r="E104" s="17"/>
      <c r="F104" s="17"/>
      <c r="G104" s="16"/>
      <c r="H104" s="4"/>
      <c r="I104" s="4"/>
    </row>
    <row r="105" spans="1:9">
      <c r="A105" s="33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2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2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2"/>
      <c r="B111" s="14"/>
      <c r="C111" s="4"/>
      <c r="D111" s="4"/>
      <c r="E111" s="17"/>
      <c r="F111" s="17"/>
      <c r="G111" s="16"/>
      <c r="H111" s="4"/>
      <c r="I111" s="4"/>
    </row>
    <row r="112" spans="1:9">
      <c r="A112" s="33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2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2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2"/>
      <c r="B118" s="14"/>
      <c r="C118" s="4"/>
      <c r="D118" s="4"/>
      <c r="E118" s="17"/>
      <c r="F118" s="17"/>
      <c r="G118" s="16"/>
      <c r="H118" s="4"/>
      <c r="I118" s="4"/>
    </row>
    <row r="119" spans="1:9">
      <c r="A119" s="33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2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2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2"/>
      <c r="B125" s="14"/>
      <c r="C125" s="4"/>
      <c r="D125" s="4"/>
      <c r="E125" s="17"/>
      <c r="F125" s="17"/>
      <c r="G125" s="16"/>
      <c r="H125" s="4"/>
      <c r="I125" s="4"/>
    </row>
    <row r="126" spans="1:9">
      <c r="A126" s="33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2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2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2"/>
      <c r="B132" s="14"/>
      <c r="C132" s="4"/>
      <c r="D132" s="4"/>
      <c r="E132" s="17"/>
      <c r="F132" s="17"/>
      <c r="G132" s="16"/>
      <c r="H132" s="4"/>
      <c r="I132" s="4"/>
    </row>
    <row r="133" spans="1:9">
      <c r="A133" s="33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2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2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2"/>
      <c r="B139" s="14"/>
      <c r="C139" s="4"/>
      <c r="D139" s="4"/>
      <c r="E139" s="17"/>
      <c r="F139" s="17"/>
      <c r="G139" s="16"/>
      <c r="H139" s="4"/>
      <c r="I139" s="4"/>
    </row>
    <row r="140" spans="1:9">
      <c r="A140" s="33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2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2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2"/>
      <c r="B146" s="14"/>
      <c r="C146" s="4"/>
      <c r="D146" s="4"/>
      <c r="E146" s="17"/>
      <c r="F146" s="17"/>
      <c r="G146" s="16"/>
      <c r="H146" s="4"/>
      <c r="I146" s="4"/>
    </row>
    <row r="147" spans="1:9">
      <c r="A147" s="33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2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2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2"/>
      <c r="B153" s="14"/>
      <c r="C153" s="4"/>
      <c r="D153" s="4"/>
      <c r="E153" s="17"/>
      <c r="F153" s="17"/>
      <c r="G153" s="16"/>
      <c r="H153" s="4"/>
      <c r="I153" s="4"/>
    </row>
    <row r="154" spans="1:9">
      <c r="A154" s="33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2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2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2"/>
      <c r="B160" s="14"/>
      <c r="C160" s="4"/>
      <c r="D160" s="4"/>
      <c r="E160" s="17"/>
      <c r="F160" s="17"/>
      <c r="G160" s="16"/>
      <c r="H160" s="4"/>
      <c r="I160" s="4"/>
    </row>
    <row r="161" spans="1:9">
      <c r="A161" s="33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2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2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2"/>
      <c r="B167" s="14"/>
      <c r="C167" s="4"/>
      <c r="D167" s="4"/>
      <c r="E167" s="17"/>
      <c r="F167" s="17"/>
      <c r="G167" s="16"/>
      <c r="H167" s="4"/>
      <c r="I167" s="4"/>
    </row>
    <row r="168" spans="1:9">
      <c r="A168" s="33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2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2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2"/>
      <c r="B174" s="14"/>
      <c r="C174" s="4"/>
      <c r="D174" s="4"/>
      <c r="E174" s="17"/>
      <c r="F174" s="17"/>
      <c r="G174" s="16"/>
      <c r="H174" s="4"/>
      <c r="I174" s="4"/>
    </row>
    <row r="175" spans="1:9">
      <c r="A175" s="33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2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2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2"/>
      <c r="B181" s="14"/>
      <c r="C181" s="4"/>
      <c r="D181" s="4"/>
      <c r="E181" s="17"/>
      <c r="F181" s="17"/>
      <c r="G181" s="16"/>
      <c r="H181" s="4"/>
      <c r="I181" s="4"/>
    </row>
    <row r="182" spans="1:9">
      <c r="A182" s="33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2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2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2"/>
      <c r="B188" s="14"/>
      <c r="C188" s="4"/>
      <c r="D188" s="4"/>
      <c r="E188" s="17"/>
      <c r="F188" s="17"/>
      <c r="G188" s="16"/>
      <c r="H188" s="4"/>
      <c r="I188" s="4"/>
    </row>
    <row r="189" spans="1:9">
      <c r="A189" s="33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2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2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2"/>
      <c r="B195" s="14"/>
      <c r="C195" s="4"/>
      <c r="D195" s="4"/>
      <c r="E195" s="17"/>
      <c r="F195" s="17"/>
      <c r="G195" s="16"/>
      <c r="H195" s="4"/>
      <c r="I195" s="4"/>
    </row>
    <row r="196" spans="1:9">
      <c r="A196" s="33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2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2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2"/>
      <c r="B202" s="14"/>
      <c r="C202" s="4"/>
      <c r="D202" s="4"/>
      <c r="E202" s="17"/>
      <c r="F202" s="17"/>
      <c r="G202" s="16"/>
      <c r="H202" s="4"/>
      <c r="I202" s="4"/>
    </row>
    <row r="203" spans="1:9">
      <c r="A203" s="33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2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2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2"/>
      <c r="B209" s="14"/>
      <c r="C209" s="4"/>
      <c r="D209" s="4"/>
      <c r="E209" s="17"/>
      <c r="F209" s="17"/>
      <c r="G209" s="16"/>
      <c r="H209" s="4"/>
      <c r="I209" s="4"/>
    </row>
    <row r="210" spans="1:9">
      <c r="A210" s="33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2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2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2"/>
      <c r="B216" s="14"/>
      <c r="C216" s="4"/>
      <c r="D216" s="4"/>
      <c r="E216" s="17"/>
      <c r="F216" s="17"/>
      <c r="G216" s="16"/>
      <c r="H216" s="4"/>
      <c r="I216" s="4"/>
    </row>
    <row r="217" spans="1:9">
      <c r="A217" s="33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2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2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2"/>
      <c r="B223" s="14"/>
      <c r="C223" s="4"/>
      <c r="D223" s="4"/>
      <c r="E223" s="17"/>
      <c r="F223" s="17"/>
      <c r="G223" s="16"/>
      <c r="H223" s="4"/>
      <c r="I223" s="4"/>
    </row>
    <row r="224" spans="1:9">
      <c r="A224" s="33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2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2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2"/>
      <c r="B230" s="14"/>
      <c r="C230" s="4"/>
      <c r="D230" s="4"/>
      <c r="E230" s="17"/>
      <c r="F230" s="17"/>
      <c r="G230" s="16"/>
      <c r="H230" s="4"/>
      <c r="I230" s="4"/>
    </row>
    <row r="231" spans="1:9">
      <c r="A231" s="33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2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2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2"/>
      <c r="B237" s="14"/>
      <c r="C237" s="4"/>
      <c r="D237" s="4"/>
      <c r="E237" s="17"/>
      <c r="F237" s="17"/>
      <c r="G237" s="16"/>
      <c r="H237" s="4"/>
      <c r="I237" s="4"/>
    </row>
    <row r="238" spans="1:9">
      <c r="A238" s="33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2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2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2"/>
      <c r="B244" s="14"/>
      <c r="C244" s="4"/>
      <c r="D244" s="4"/>
      <c r="E244" s="17"/>
      <c r="F244" s="17"/>
      <c r="G244" s="16"/>
      <c r="H244" s="4"/>
      <c r="I244" s="4"/>
    </row>
    <row r="245" spans="1:9">
      <c r="A245" s="33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2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2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2"/>
      <c r="B251" s="14"/>
      <c r="C251" s="4"/>
      <c r="D251" s="4"/>
      <c r="E251" s="17"/>
      <c r="F251" s="17"/>
      <c r="G251" s="16"/>
      <c r="H251" s="4"/>
      <c r="I251" s="4"/>
    </row>
    <row r="252" spans="1:9">
      <c r="A252" s="33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2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2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2"/>
      <c r="B258" s="14"/>
      <c r="C258" s="4"/>
      <c r="D258" s="4"/>
      <c r="E258" s="17"/>
      <c r="F258" s="17"/>
      <c r="G258" s="16"/>
      <c r="H258" s="4"/>
      <c r="I258" s="4"/>
    </row>
    <row r="259" spans="1:9">
      <c r="A259" s="33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2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2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2"/>
      <c r="B265" s="14"/>
      <c r="C265" s="4"/>
      <c r="D265" s="4"/>
      <c r="E265" s="17"/>
      <c r="F265" s="17"/>
      <c r="G265" s="16"/>
      <c r="H265" s="4"/>
      <c r="I265" s="4"/>
    </row>
    <row r="266" spans="1:9">
      <c r="A266" s="33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2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2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2"/>
      <c r="B272" s="14"/>
      <c r="C272" s="4"/>
      <c r="D272" s="4"/>
      <c r="E272" s="17"/>
      <c r="F272" s="17"/>
      <c r="G272" s="16"/>
      <c r="H272" s="4"/>
      <c r="I272" s="4"/>
    </row>
    <row r="273" spans="1:9">
      <c r="A273" s="33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2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2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2"/>
      <c r="B279" s="14"/>
      <c r="C279" s="4"/>
      <c r="D279" s="4"/>
      <c r="E279" s="17"/>
      <c r="F279" s="17"/>
      <c r="G279" s="16"/>
      <c r="H279" s="4"/>
      <c r="I279" s="4"/>
    </row>
    <row r="280" spans="1:9">
      <c r="A280" s="33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2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2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2"/>
      <c r="B286" s="14"/>
      <c r="C286" s="4"/>
      <c r="D286" s="4"/>
      <c r="E286" s="17"/>
      <c r="F286" s="17"/>
      <c r="G286" s="16"/>
      <c r="H286" s="4"/>
      <c r="I286" s="4"/>
    </row>
    <row r="287" spans="1:9">
      <c r="A287" s="33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2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2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2"/>
      <c r="B293" s="14"/>
      <c r="C293" s="4"/>
      <c r="D293" s="4"/>
      <c r="E293" s="17"/>
      <c r="F293" s="17"/>
      <c r="G293" s="16"/>
      <c r="H293" s="4"/>
      <c r="I293" s="4"/>
    </row>
    <row r="294" spans="1:9">
      <c r="A294" s="33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2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2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2"/>
      <c r="B300" s="14"/>
      <c r="C300" s="4"/>
      <c r="D300" s="4"/>
      <c r="E300" s="17"/>
      <c r="F300" s="17"/>
      <c r="G300" s="16"/>
      <c r="H300" s="4"/>
      <c r="I300" s="4"/>
    </row>
    <row r="301" spans="1:9">
      <c r="A301" s="33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2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2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2"/>
      <c r="B307" s="14"/>
      <c r="C307" s="4"/>
      <c r="D307" s="4"/>
      <c r="E307" s="17"/>
      <c r="F307" s="17"/>
      <c r="G307" s="16"/>
      <c r="H307" s="4"/>
      <c r="I307" s="4"/>
    </row>
    <row r="308" spans="1:9">
      <c r="A308" s="33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2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2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2"/>
      <c r="B314" s="14"/>
      <c r="C314" s="4"/>
      <c r="D314" s="4"/>
      <c r="E314" s="17"/>
      <c r="F314" s="17"/>
      <c r="G314" s="16"/>
      <c r="H314" s="4"/>
      <c r="I314" s="4"/>
    </row>
    <row r="315" spans="1:9">
      <c r="A315" s="33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2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2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2"/>
      <c r="B321" s="14"/>
      <c r="C321" s="4"/>
      <c r="D321" s="4"/>
      <c r="E321" s="17"/>
      <c r="F321" s="17"/>
      <c r="G321" s="16"/>
      <c r="H321" s="4"/>
      <c r="I321" s="4"/>
    </row>
    <row r="322" spans="1:9">
      <c r="A322" s="33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2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2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2"/>
      <c r="B328" s="14"/>
      <c r="C328" s="4"/>
      <c r="D328" s="4"/>
      <c r="E328" s="17"/>
      <c r="F328" s="17"/>
      <c r="G328" s="16"/>
      <c r="H328" s="4"/>
      <c r="I328" s="4"/>
    </row>
    <row r="329" spans="1:9">
      <c r="A329" s="33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2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2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2"/>
      <c r="B335" s="14"/>
      <c r="C335" s="4"/>
      <c r="D335" s="4"/>
      <c r="E335" s="17"/>
      <c r="F335" s="17"/>
      <c r="G335" s="16"/>
      <c r="H335" s="4"/>
      <c r="I335" s="4"/>
    </row>
    <row r="336" spans="1:9">
      <c r="A336" s="33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2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2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2"/>
      <c r="B342" s="14"/>
      <c r="C342" s="4"/>
      <c r="D342" s="4"/>
      <c r="E342" s="17"/>
      <c r="F342" s="17"/>
      <c r="G342" s="16"/>
      <c r="H342" s="4"/>
      <c r="I342" s="4"/>
    </row>
    <row r="343" spans="1:9">
      <c r="A343" s="33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2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2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2"/>
      <c r="B349" s="14"/>
      <c r="C349" s="4"/>
      <c r="D349" s="4"/>
      <c r="E349" s="17"/>
      <c r="F349" s="17"/>
      <c r="G349" s="16"/>
      <c r="H349" s="4"/>
      <c r="I349" s="4"/>
    </row>
    <row r="350" spans="1:9">
      <c r="A350" s="33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2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2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2"/>
      <c r="B356" s="14"/>
      <c r="C356" s="4"/>
      <c r="D356" s="4"/>
      <c r="E356" s="17"/>
      <c r="F356" s="17"/>
      <c r="G356" s="16"/>
      <c r="H356" s="4"/>
      <c r="I356" s="4"/>
    </row>
    <row r="357" spans="1:9">
      <c r="A357" s="33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2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2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2"/>
      <c r="B363" s="14"/>
      <c r="C363" s="4"/>
      <c r="D363" s="4"/>
      <c r="E363" s="17"/>
      <c r="F363" s="17"/>
      <c r="G363" s="16"/>
      <c r="H363" s="4"/>
      <c r="I363" s="4"/>
    </row>
    <row r="364" spans="1:9">
      <c r="A364" s="33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2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2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2"/>
      <c r="B370" s="14"/>
      <c r="C370" s="4"/>
      <c r="D370" s="4"/>
      <c r="E370" s="17"/>
      <c r="F370" s="17"/>
      <c r="G370" s="16"/>
      <c r="H370" s="4"/>
      <c r="I370" s="4"/>
    </row>
    <row r="371" spans="1:9">
      <c r="A371" s="33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2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2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2"/>
      <c r="B377" s="14"/>
      <c r="C377" s="4"/>
      <c r="D377" s="4"/>
      <c r="E377" s="17"/>
      <c r="F377" s="17"/>
      <c r="G377" s="16"/>
      <c r="H377" s="4"/>
      <c r="I377" s="4"/>
    </row>
    <row r="378" spans="1:9">
      <c r="A378" s="33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2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2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2"/>
      <c r="B384" s="14"/>
      <c r="C384" s="4"/>
      <c r="D384" s="4"/>
      <c r="E384" s="17"/>
      <c r="F384" s="17"/>
      <c r="G384" s="16"/>
      <c r="H384" s="4"/>
      <c r="I384" s="4"/>
    </row>
    <row r="385" spans="1:9">
      <c r="A385" s="33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2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2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2"/>
      <c r="B391" s="14"/>
      <c r="C391" s="4"/>
      <c r="D391" s="4"/>
      <c r="E391" s="17"/>
      <c r="F391" s="17"/>
      <c r="G391" s="16"/>
      <c r="H391" s="4"/>
      <c r="I391" s="4"/>
    </row>
    <row r="392" spans="1:9">
      <c r="A392" s="33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2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2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2"/>
      <c r="B398" s="14"/>
      <c r="C398" s="4"/>
      <c r="D398" s="4"/>
      <c r="E398" s="17"/>
      <c r="F398" s="17"/>
      <c r="G398" s="16"/>
      <c r="H398" s="4"/>
      <c r="I398" s="4"/>
    </row>
    <row r="399" spans="1:9">
      <c r="A399" s="33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2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2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2"/>
      <c r="B405" s="14"/>
      <c r="C405" s="4"/>
      <c r="D405" s="4"/>
      <c r="E405" s="17"/>
      <c r="F405" s="17"/>
      <c r="G405" s="16"/>
      <c r="H405" s="4"/>
      <c r="I405" s="4"/>
    </row>
    <row r="406" spans="1:9">
      <c r="A406" s="33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2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2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2"/>
      <c r="B412" s="14"/>
      <c r="C412" s="4"/>
      <c r="D412" s="4"/>
      <c r="E412" s="17"/>
      <c r="F412" s="17"/>
      <c r="G412" s="16"/>
      <c r="H412" s="4"/>
      <c r="I412" s="4"/>
    </row>
    <row r="413" spans="1:9">
      <c r="A413" s="33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2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2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2"/>
      <c r="B419" s="14"/>
      <c r="C419" s="4"/>
      <c r="D419" s="4"/>
      <c r="E419" s="17"/>
      <c r="F419" s="17"/>
      <c r="G419" s="16"/>
      <c r="H419" s="4"/>
      <c r="I419" s="4"/>
    </row>
    <row r="420" spans="1:9">
      <c r="A420" s="33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2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2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2"/>
      <c r="B426" s="14"/>
      <c r="C426" s="4"/>
      <c r="D426" s="4"/>
      <c r="E426" s="17"/>
      <c r="F426" s="17"/>
      <c r="G426" s="16"/>
      <c r="H426" s="4"/>
      <c r="I426" s="4"/>
    </row>
    <row r="427" spans="1:9">
      <c r="A427" s="33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2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2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2"/>
      <c r="B433" s="14"/>
      <c r="C433" s="4"/>
      <c r="D433" s="4"/>
      <c r="E433" s="17"/>
      <c r="F433" s="17"/>
      <c r="G433" s="16"/>
      <c r="H433" s="4"/>
      <c r="I433" s="4"/>
    </row>
    <row r="434" spans="1:9">
      <c r="A434" s="33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2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2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2"/>
      <c r="B440" s="14"/>
      <c r="C440" s="4"/>
      <c r="D440" s="4"/>
      <c r="E440" s="17"/>
      <c r="F440" s="17"/>
      <c r="G440" s="16"/>
      <c r="H440" s="4"/>
      <c r="I440" s="4"/>
    </row>
    <row r="441" spans="1:9">
      <c r="A441" s="33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2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2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2"/>
      <c r="B447" s="14"/>
      <c r="C447" s="4"/>
      <c r="D447" s="4"/>
      <c r="E447" s="17"/>
      <c r="F447" s="17"/>
      <c r="G447" s="16"/>
      <c r="H447" s="4"/>
      <c r="I447" s="4"/>
    </row>
    <row r="448" spans="1:9">
      <c r="A448" s="33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2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2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2"/>
      <c r="B454" s="14"/>
      <c r="C454" s="4"/>
      <c r="D454" s="4"/>
      <c r="E454" s="17"/>
      <c r="F454" s="17"/>
      <c r="G454" s="16"/>
      <c r="H454" s="4"/>
      <c r="I454" s="4"/>
    </row>
    <row r="455" spans="1:9">
      <c r="A455" s="33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2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2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2"/>
      <c r="B461" s="14"/>
      <c r="C461" s="4"/>
      <c r="D461" s="4"/>
      <c r="E461" s="17"/>
      <c r="F461" s="17"/>
      <c r="G461" s="16"/>
      <c r="H461" s="4"/>
      <c r="I461" s="4"/>
    </row>
    <row r="462" spans="1:9">
      <c r="A462" s="33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2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2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2"/>
      <c r="B468" s="14"/>
      <c r="C468" s="4"/>
      <c r="D468" s="4"/>
      <c r="E468" s="17"/>
      <c r="F468" s="17"/>
      <c r="G468" s="16"/>
      <c r="H468" s="4"/>
      <c r="I468" s="4"/>
    </row>
    <row r="469" spans="1:9">
      <c r="A469" s="33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2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2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2"/>
      <c r="B475" s="14"/>
      <c r="C475" s="4"/>
      <c r="D475" s="4"/>
      <c r="E475" s="17"/>
      <c r="F475" s="17"/>
      <c r="G475" s="16"/>
      <c r="H475" s="4"/>
      <c r="I475" s="4"/>
    </row>
    <row r="476" spans="1:9">
      <c r="A476" s="33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2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2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2"/>
      <c r="B482" s="14"/>
      <c r="C482" s="4"/>
      <c r="D482" s="4"/>
      <c r="E482" s="17"/>
      <c r="F482" s="17"/>
      <c r="G482" s="16"/>
      <c r="H482" s="4"/>
      <c r="I482" s="4"/>
    </row>
    <row r="483" spans="1:9">
      <c r="A483" s="33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2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2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2"/>
      <c r="B489" s="14"/>
      <c r="C489" s="4"/>
      <c r="D489" s="4"/>
      <c r="E489" s="17"/>
      <c r="F489" s="17"/>
      <c r="G489" s="16"/>
      <c r="H489" s="4"/>
      <c r="I489" s="4"/>
    </row>
    <row r="490" spans="1:9">
      <c r="A490" s="33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2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2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2"/>
      <c r="B496" s="14"/>
      <c r="C496" s="4"/>
      <c r="D496" s="4"/>
      <c r="E496" s="17"/>
      <c r="F496" s="17"/>
      <c r="G496" s="16"/>
      <c r="H496" s="4"/>
      <c r="I496" s="4"/>
    </row>
    <row r="497" spans="1:9">
      <c r="A497" s="33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2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2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2"/>
      <c r="B503" s="14"/>
      <c r="C503" s="4"/>
      <c r="D503" s="4"/>
      <c r="E503" s="17"/>
      <c r="F503" s="17"/>
      <c r="G503" s="16"/>
      <c r="H503" s="4"/>
      <c r="I503" s="4"/>
    </row>
    <row r="504" spans="1:9">
      <c r="A504" s="33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2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2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2"/>
      <c r="B510" s="14"/>
      <c r="C510" s="4"/>
      <c r="D510" s="4"/>
      <c r="E510" s="17"/>
      <c r="F510" s="17"/>
      <c r="G510" s="16"/>
      <c r="H510" s="4"/>
      <c r="I510" s="4"/>
    </row>
    <row r="511" spans="1:9">
      <c r="A511" s="33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2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2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2"/>
      <c r="B517" s="14"/>
      <c r="C517" s="4"/>
      <c r="D517" s="4"/>
      <c r="E517" s="17"/>
      <c r="F517" s="17"/>
      <c r="G517" s="16"/>
      <c r="H517" s="4"/>
      <c r="I517" s="4"/>
    </row>
    <row r="518" spans="1:9">
      <c r="A518" s="33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2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2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2"/>
      <c r="B524" s="14"/>
      <c r="C524" s="4"/>
      <c r="D524" s="4"/>
      <c r="E524" s="17"/>
      <c r="F524" s="17"/>
      <c r="G524" s="16"/>
      <c r="H524" s="4"/>
      <c r="I524" s="4"/>
    </row>
    <row r="525" spans="1:9">
      <c r="A525" s="33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2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2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2"/>
      <c r="B531" s="14"/>
      <c r="C531" s="4"/>
      <c r="D531" s="4"/>
      <c r="E531" s="17"/>
      <c r="F531" s="17"/>
      <c r="G531" s="16"/>
      <c r="H531" s="4"/>
      <c r="I531" s="4"/>
    </row>
    <row r="532" spans="1:9">
      <c r="A532" s="33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2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2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2"/>
      <c r="B538" s="14"/>
      <c r="C538" s="4"/>
      <c r="D538" s="4"/>
      <c r="E538" s="17"/>
      <c r="F538" s="17"/>
      <c r="G538" s="16"/>
      <c r="H538" s="4"/>
      <c r="I538" s="4"/>
    </row>
    <row r="539" spans="1:9">
      <c r="A539" s="33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2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2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2"/>
      <c r="B545" s="14"/>
      <c r="C545" s="4"/>
      <c r="D545" s="4"/>
      <c r="E545" s="17"/>
      <c r="F545" s="17"/>
      <c r="G545" s="16"/>
      <c r="H545" s="4"/>
      <c r="I545" s="4"/>
    </row>
    <row r="546" spans="1:9">
      <c r="A546" s="33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2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2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2"/>
      <c r="B552" s="14"/>
      <c r="C552" s="4"/>
      <c r="D552" s="4"/>
      <c r="E552" s="17"/>
      <c r="F552" s="17"/>
      <c r="G552" s="16"/>
      <c r="H552" s="4"/>
      <c r="I552" s="4"/>
    </row>
    <row r="553" spans="1:9">
      <c r="A553" s="33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2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2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2"/>
      <c r="B559" s="14"/>
      <c r="C559" s="4"/>
      <c r="D559" s="4"/>
      <c r="E559" s="17"/>
      <c r="F559" s="17"/>
      <c r="G559" s="16"/>
      <c r="H559" s="4"/>
      <c r="I559" s="4"/>
    </row>
    <row r="560" spans="1:9">
      <c r="A560" s="33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2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2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2"/>
      <c r="B566" s="14"/>
      <c r="C566" s="4"/>
      <c r="D566" s="4"/>
      <c r="E566" s="17"/>
      <c r="F566" s="17"/>
      <c r="G566" s="16"/>
      <c r="H566" s="4"/>
      <c r="I566" s="4"/>
    </row>
    <row r="567" spans="1:9">
      <c r="A567" s="33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2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2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2"/>
      <c r="B573" s="14"/>
      <c r="C573" s="4"/>
      <c r="D573" s="4"/>
      <c r="E573" s="17"/>
      <c r="F573" s="17"/>
      <c r="G573" s="16"/>
      <c r="H573" s="4"/>
      <c r="I573" s="4"/>
    </row>
    <row r="574" spans="1:9">
      <c r="A574" s="33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2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2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2"/>
      <c r="B580" s="14"/>
      <c r="C580" s="4"/>
      <c r="D580" s="4"/>
      <c r="E580" s="17"/>
      <c r="F580" s="17"/>
      <c r="G580" s="16"/>
      <c r="H580" s="4"/>
      <c r="I580" s="4"/>
    </row>
    <row r="581" spans="1:9">
      <c r="A581" s="33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2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2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2"/>
      <c r="B587" s="14"/>
      <c r="C587" s="4"/>
      <c r="D587" s="4"/>
      <c r="E587" s="17"/>
      <c r="F587" s="17"/>
      <c r="G587" s="16"/>
      <c r="H587" s="4"/>
      <c r="I587" s="4"/>
    </row>
    <row r="588" spans="1:9">
      <c r="A588" s="33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2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2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2"/>
      <c r="B594" s="14"/>
      <c r="C594" s="4"/>
      <c r="D594" s="4"/>
      <c r="E594" s="17"/>
      <c r="F594" s="17"/>
      <c r="G594" s="16"/>
      <c r="H594" s="4"/>
      <c r="I594" s="4"/>
    </row>
    <row r="595" spans="1:9">
      <c r="A595" s="33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2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2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2"/>
      <c r="B601" s="14"/>
      <c r="C601" s="4"/>
      <c r="D601" s="4"/>
      <c r="E601" s="17"/>
      <c r="F601" s="17"/>
      <c r="G601" s="16"/>
      <c r="H601" s="4"/>
      <c r="I601" s="4"/>
    </row>
    <row r="602" spans="1:9">
      <c r="A602" s="33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2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2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2"/>
      <c r="B608" s="14"/>
      <c r="C608" s="4"/>
      <c r="D608" s="4"/>
      <c r="E608" s="17"/>
      <c r="F608" s="17"/>
      <c r="G608" s="16"/>
      <c r="H608" s="4"/>
      <c r="I608" s="4"/>
    </row>
    <row r="609" spans="1:9">
      <c r="A609" s="33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2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2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2"/>
      <c r="B615" s="14"/>
      <c r="C615" s="4"/>
      <c r="D615" s="4"/>
      <c r="E615" s="17"/>
      <c r="F615" s="17"/>
      <c r="G615" s="16"/>
      <c r="H615" s="4"/>
      <c r="I615" s="4"/>
    </row>
    <row r="616" spans="1:9">
      <c r="A616" s="33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2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2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2"/>
      <c r="B622" s="14"/>
      <c r="C622" s="4"/>
      <c r="D622" s="4"/>
      <c r="E622" s="17"/>
      <c r="F622" s="17"/>
      <c r="G622" s="16"/>
      <c r="H622" s="4"/>
      <c r="I622" s="4"/>
    </row>
    <row r="623" spans="1:9">
      <c r="A623" s="33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2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2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2"/>
      <c r="B629" s="14"/>
      <c r="C629" s="4"/>
      <c r="D629" s="4"/>
      <c r="E629" s="17"/>
      <c r="F629" s="17"/>
      <c r="G629" s="16"/>
      <c r="H629" s="4"/>
      <c r="I629" s="4"/>
    </row>
    <row r="630" spans="1:9">
      <c r="A630" s="33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2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2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2"/>
      <c r="B636" s="14"/>
      <c r="C636" s="4"/>
      <c r="D636" s="4"/>
      <c r="E636" s="17"/>
      <c r="F636" s="17"/>
      <c r="G636" s="16"/>
      <c r="H636" s="4"/>
      <c r="I636" s="4"/>
    </row>
    <row r="637" spans="1:9">
      <c r="A637" s="33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2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2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2"/>
      <c r="B643" s="14"/>
      <c r="C643" s="4"/>
      <c r="D643" s="4"/>
      <c r="E643" s="17"/>
      <c r="F643" s="17"/>
      <c r="G643" s="16"/>
      <c r="H643" s="4"/>
      <c r="I643" s="4"/>
    </row>
    <row r="644" spans="1:9">
      <c r="A644" s="33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2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2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2"/>
      <c r="B650" s="14"/>
      <c r="C650" s="4"/>
      <c r="D650" s="4"/>
      <c r="E650" s="17"/>
      <c r="F650" s="17"/>
      <c r="G650" s="16"/>
      <c r="H650" s="4"/>
      <c r="I650" s="4"/>
    </row>
    <row r="651" spans="1:9">
      <c r="A651" s="33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2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2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2"/>
      <c r="B657" s="14"/>
      <c r="C657" s="4"/>
      <c r="D657" s="4"/>
      <c r="E657" s="17"/>
      <c r="F657" s="17"/>
      <c r="G657" s="16"/>
      <c r="H657" s="4"/>
      <c r="I657" s="4"/>
    </row>
    <row r="658" spans="1:9">
      <c r="A658" s="33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2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2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2"/>
      <c r="B664" s="14"/>
      <c r="C664" s="4"/>
      <c r="D664" s="4"/>
      <c r="E664" s="17"/>
      <c r="F664" s="17"/>
      <c r="G664" s="16"/>
      <c r="H664" s="4"/>
      <c r="I664" s="4"/>
    </row>
    <row r="665" spans="1:9">
      <c r="A665" s="33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2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2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2"/>
      <c r="B671" s="14"/>
      <c r="C671" s="4"/>
      <c r="D671" s="4"/>
      <c r="E671" s="17"/>
      <c r="F671" s="17"/>
      <c r="G671" s="16"/>
      <c r="H671" s="4"/>
      <c r="I671" s="4"/>
    </row>
    <row r="672" spans="1:9">
      <c r="A672" s="33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2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2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2"/>
      <c r="B678" s="14"/>
      <c r="C678" s="4"/>
      <c r="D678" s="4"/>
      <c r="E678" s="17"/>
      <c r="F678" s="17"/>
      <c r="G678" s="16"/>
      <c r="H678" s="4"/>
      <c r="I678" s="4"/>
    </row>
    <row r="679" spans="1:9">
      <c r="A679" s="33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2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2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2"/>
      <c r="B685" s="14"/>
      <c r="C685" s="4"/>
      <c r="D685" s="4"/>
      <c r="E685" s="17"/>
      <c r="F685" s="17"/>
      <c r="G685" s="16"/>
      <c r="H685" s="4"/>
      <c r="I685" s="4"/>
    </row>
    <row r="686" spans="1:9">
      <c r="A686" s="33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2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2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2"/>
      <c r="B692" s="14"/>
      <c r="C692" s="4"/>
      <c r="D692" s="4"/>
      <c r="E692" s="17"/>
      <c r="F692" s="17"/>
      <c r="G692" s="16"/>
      <c r="H692" s="4"/>
      <c r="I692" s="4"/>
    </row>
    <row r="693" spans="1:9">
      <c r="A693" s="33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2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2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2"/>
      <c r="B699" s="14"/>
      <c r="C699" s="4"/>
      <c r="D699" s="4"/>
      <c r="E699" s="17"/>
      <c r="F699" s="17"/>
      <c r="G699" s="16"/>
      <c r="H699" s="4"/>
      <c r="I699" s="4"/>
    </row>
    <row r="700" spans="1:9">
      <c r="A700" s="33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2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2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2"/>
      <c r="B706" s="14"/>
      <c r="C706" s="4"/>
      <c r="D706" s="4"/>
      <c r="E706" s="17"/>
      <c r="F706" s="17"/>
      <c r="G706" s="16"/>
      <c r="H706" s="4"/>
      <c r="I706" s="4"/>
    </row>
    <row r="707" spans="1:9">
      <c r="A707" s="33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2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2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2"/>
      <c r="B713" s="14"/>
      <c r="C713" s="4"/>
      <c r="D713" s="4"/>
      <c r="E713" s="17"/>
      <c r="F713" s="17"/>
      <c r="G713" s="16"/>
      <c r="H713" s="4"/>
      <c r="I713" s="4"/>
    </row>
    <row r="714" spans="1:9">
      <c r="A714" s="33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2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2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2"/>
      <c r="B720" s="14"/>
      <c r="C720" s="4"/>
      <c r="D720" s="4"/>
      <c r="E720" s="17"/>
      <c r="F720" s="17"/>
      <c r="G720" s="16"/>
      <c r="H720" s="4"/>
      <c r="I720" s="4"/>
    </row>
    <row r="721" spans="1:9">
      <c r="A721" s="33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2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2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2"/>
      <c r="B727" s="14"/>
      <c r="C727" s="4"/>
      <c r="D727" s="4"/>
      <c r="E727" s="17"/>
      <c r="F727" s="17"/>
      <c r="G727" s="16"/>
      <c r="H727" s="4"/>
      <c r="I727" s="4"/>
    </row>
    <row r="728" spans="1:9">
      <c r="A728" s="33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2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2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2"/>
      <c r="B734" s="14"/>
      <c r="C734" s="4"/>
      <c r="D734" s="4"/>
      <c r="E734" s="17"/>
      <c r="F734" s="17"/>
      <c r="G734" s="16"/>
      <c r="H734" s="4"/>
      <c r="I734" s="4"/>
    </row>
    <row r="735" spans="1:9">
      <c r="A735" s="33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2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2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2"/>
      <c r="B741" s="14"/>
      <c r="C741" s="4"/>
      <c r="D741" s="4"/>
      <c r="E741" s="17"/>
      <c r="F741" s="17"/>
      <c r="G741" s="16"/>
      <c r="H741" s="4"/>
      <c r="I741" s="4"/>
    </row>
    <row r="742" spans="1:9">
      <c r="A742" s="33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2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2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2"/>
      <c r="B748" s="14"/>
      <c r="C748" s="4"/>
      <c r="D748" s="4"/>
      <c r="E748" s="17"/>
      <c r="F748" s="17"/>
      <c r="G748" s="16"/>
      <c r="H748" s="4"/>
      <c r="I748" s="4"/>
    </row>
    <row r="749" spans="1:9">
      <c r="A749" s="33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2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2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2"/>
      <c r="B755" s="14"/>
      <c r="C755" s="4"/>
      <c r="D755" s="4"/>
      <c r="E755" s="17"/>
      <c r="F755" s="17"/>
      <c r="G755" s="16"/>
      <c r="H755" s="4"/>
      <c r="I755" s="4"/>
    </row>
    <row r="756" spans="1:9">
      <c r="A756" s="33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2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2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2"/>
      <c r="B762" s="14"/>
      <c r="C762" s="4"/>
      <c r="D762" s="4"/>
      <c r="E762" s="17"/>
      <c r="F762" s="17"/>
      <c r="G762" s="16"/>
      <c r="H762" s="4"/>
      <c r="I762" s="4"/>
    </row>
    <row r="763" spans="1:9">
      <c r="A763" s="33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2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2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2"/>
      <c r="B769" s="14"/>
      <c r="C769" s="4"/>
      <c r="D769" s="4"/>
      <c r="E769" s="17"/>
      <c r="F769" s="17"/>
      <c r="G769" s="16"/>
      <c r="H769" s="4"/>
      <c r="I769" s="4"/>
    </row>
    <row r="770" spans="1:9">
      <c r="A770" s="33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2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2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2"/>
      <c r="B776" s="14"/>
      <c r="C776" s="4"/>
      <c r="D776" s="4"/>
      <c r="E776" s="17"/>
      <c r="F776" s="17"/>
      <c r="G776" s="16"/>
      <c r="H776" s="4"/>
      <c r="I776" s="4"/>
    </row>
    <row r="777" spans="1:9">
      <c r="A777" s="33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2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2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2"/>
      <c r="B783" s="14"/>
      <c r="C783" s="4"/>
      <c r="D783" s="4"/>
      <c r="E783" s="17"/>
      <c r="F783" s="17"/>
      <c r="G783" s="16"/>
      <c r="H783" s="4"/>
      <c r="I783" s="4"/>
    </row>
    <row r="784" spans="1:9">
      <c r="A784" s="33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2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2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2"/>
      <c r="B790" s="14"/>
      <c r="C790" s="4"/>
      <c r="D790" s="4"/>
      <c r="E790" s="17"/>
      <c r="F790" s="17"/>
      <c r="G790" s="16"/>
      <c r="H790" s="4"/>
      <c r="I790" s="4"/>
    </row>
    <row r="791" spans="1:9">
      <c r="A791" s="33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2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2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2"/>
      <c r="B797" s="14"/>
      <c r="C797" s="4"/>
      <c r="D797" s="4"/>
      <c r="E797" s="17"/>
      <c r="F797" s="17"/>
      <c r="G797" s="16"/>
      <c r="H797" s="4"/>
      <c r="I797" s="4"/>
    </row>
    <row r="798" spans="1:9">
      <c r="A798" s="33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2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2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2"/>
      <c r="B804" s="14"/>
      <c r="C804" s="4"/>
      <c r="D804" s="4"/>
      <c r="E804" s="17"/>
      <c r="F804" s="17"/>
      <c r="G804" s="16"/>
      <c r="H804" s="4"/>
      <c r="I804" s="4"/>
    </row>
    <row r="805" spans="1:9">
      <c r="A805" s="33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2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2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2"/>
      <c r="B811" s="14"/>
      <c r="C811" s="4"/>
      <c r="D811" s="4"/>
      <c r="E811" s="17"/>
      <c r="F811" s="17"/>
      <c r="G811" s="16"/>
      <c r="H811" s="4"/>
      <c r="I811" s="4"/>
    </row>
    <row r="812" spans="1:9">
      <c r="A812" s="33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2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2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2"/>
      <c r="B818" s="14"/>
      <c r="C818" s="4"/>
      <c r="D818" s="4"/>
      <c r="E818" s="17"/>
      <c r="F818" s="17"/>
      <c r="G818" s="16"/>
      <c r="H818" s="4"/>
      <c r="I818" s="4"/>
    </row>
    <row r="819" spans="1:9">
      <c r="A819" s="33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2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2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2"/>
      <c r="B825" s="14"/>
      <c r="C825" s="4"/>
      <c r="D825" s="4"/>
      <c r="E825" s="17"/>
      <c r="F825" s="17"/>
      <c r="G825" s="16"/>
      <c r="H825" s="4"/>
      <c r="I825" s="4"/>
    </row>
    <row r="826" spans="1:9">
      <c r="A826" s="33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2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2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2"/>
      <c r="B832" s="14"/>
      <c r="C832" s="4"/>
      <c r="D832" s="4"/>
      <c r="E832" s="17"/>
      <c r="F832" s="17"/>
      <c r="G832" s="16"/>
      <c r="H832" s="4"/>
      <c r="I832" s="4"/>
    </row>
    <row r="833" spans="1:9">
      <c r="A833" s="33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2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2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2"/>
      <c r="B839" s="14"/>
      <c r="C839" s="4"/>
      <c r="D839" s="4"/>
      <c r="E839" s="17"/>
      <c r="F839" s="17"/>
      <c r="G839" s="16"/>
      <c r="H839" s="4"/>
      <c r="I839" s="4"/>
    </row>
    <row r="840" spans="1:9">
      <c r="A840" s="33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2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2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2"/>
      <c r="B846" s="14"/>
      <c r="C846" s="4"/>
      <c r="D846" s="4"/>
      <c r="E846" s="17"/>
      <c r="F846" s="17"/>
      <c r="G846" s="16"/>
      <c r="H846" s="4"/>
      <c r="I846" s="4"/>
    </row>
    <row r="847" spans="1:9">
      <c r="A847" s="33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2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2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2"/>
      <c r="B853" s="14"/>
      <c r="C853" s="4"/>
      <c r="D853" s="4"/>
      <c r="E853" s="17"/>
      <c r="F853" s="17"/>
      <c r="G853" s="16"/>
      <c r="H853" s="4"/>
      <c r="I853" s="4"/>
    </row>
    <row r="854" spans="1:9">
      <c r="A854" s="33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2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2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2"/>
      <c r="B860" s="14"/>
      <c r="C860" s="4"/>
      <c r="D860" s="4"/>
      <c r="E860" s="17"/>
      <c r="F860" s="17"/>
      <c r="G860" s="16"/>
      <c r="H860" s="4"/>
      <c r="I860" s="4"/>
    </row>
    <row r="861" spans="1:9">
      <c r="A861" s="33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2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2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2"/>
      <c r="B867" s="14"/>
      <c r="C867" s="4"/>
      <c r="D867" s="4"/>
      <c r="E867" s="17"/>
      <c r="F867" s="17"/>
      <c r="G867" s="16"/>
      <c r="H867" s="4"/>
      <c r="I867" s="4"/>
    </row>
    <row r="868" spans="1:9">
      <c r="A868" s="33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2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2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2"/>
      <c r="B874" s="14"/>
      <c r="C874" s="4"/>
      <c r="D874" s="4"/>
      <c r="E874" s="17"/>
      <c r="F874" s="17"/>
      <c r="G874" s="16"/>
      <c r="H874" s="4"/>
      <c r="I874" s="4"/>
    </row>
    <row r="875" spans="1:9">
      <c r="A875" s="33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2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2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2"/>
      <c r="B881" s="14"/>
      <c r="C881" s="4"/>
      <c r="D881" s="4"/>
      <c r="E881" s="17"/>
      <c r="F881" s="17"/>
      <c r="G881" s="16"/>
      <c r="H881" s="4"/>
      <c r="I881" s="4"/>
    </row>
    <row r="882" spans="1:9">
      <c r="A882" s="33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2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2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2"/>
      <c r="B888" s="14"/>
      <c r="C888" s="4"/>
      <c r="D888" s="4"/>
      <c r="E888" s="17"/>
      <c r="F888" s="17"/>
      <c r="G888" s="16"/>
      <c r="H888" s="4"/>
      <c r="I888" s="4"/>
    </row>
    <row r="889" spans="1:9">
      <c r="A889" s="33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2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2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2"/>
      <c r="B895" s="14"/>
      <c r="C895" s="4"/>
      <c r="D895" s="4"/>
      <c r="E895" s="17"/>
      <c r="F895" s="17"/>
      <c r="G895" s="16"/>
      <c r="H895" s="4"/>
      <c r="I895" s="4"/>
    </row>
    <row r="896" spans="1:9">
      <c r="A896" s="33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2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2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2"/>
      <c r="B902" s="14"/>
      <c r="C902" s="4"/>
      <c r="D902" s="4"/>
      <c r="E902" s="17"/>
      <c r="F902" s="17"/>
      <c r="G902" s="16"/>
      <c r="H902" s="4"/>
      <c r="I902" s="4"/>
    </row>
    <row r="903" spans="1:9">
      <c r="A903" s="33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2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2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2"/>
      <c r="B909" s="14"/>
      <c r="C909" s="4"/>
      <c r="D909" s="4"/>
      <c r="E909" s="17"/>
      <c r="F909" s="17"/>
      <c r="G909" s="16"/>
      <c r="H909" s="4"/>
      <c r="I909" s="4"/>
    </row>
    <row r="910" spans="1:9">
      <c r="A910" s="33"/>
      <c r="B910" s="14"/>
      <c r="C910" s="4"/>
      <c r="D910" s="4"/>
      <c r="E910" s="17"/>
      <c r="F910" s="17"/>
      <c r="G910" s="16"/>
      <c r="H910" s="4"/>
      <c r="I910" s="4"/>
    </row>
    <row r="911" spans="1:9">
      <c r="A911" s="32"/>
      <c r="B911" s="14"/>
      <c r="C911" s="4"/>
      <c r="D911" s="4"/>
      <c r="E911" s="17"/>
      <c r="F911" s="17"/>
      <c r="G911" s="16"/>
      <c r="H911" s="4"/>
      <c r="I911" s="4"/>
    </row>
  </sheetData>
  <autoFilter ref="A51:K67">
    <filterColumn colId="2">
      <filters>
        <filter val="LINE 4"/>
      </filters>
    </filterColumn>
  </autoFilter>
  <mergeCells count="4">
    <mergeCell ref="A19:I20"/>
    <mergeCell ref="A27:I28"/>
    <mergeCell ref="A2:H2"/>
    <mergeCell ref="A21:H2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30"/>
  <sheetViews>
    <sheetView zoomScale="85" zoomScaleNormal="85" workbookViewId="0">
      <selection activeCell="C23" sqref="C23"/>
    </sheetView>
  </sheetViews>
  <sheetFormatPr defaultColWidth="9.140625" defaultRowHeight="15"/>
  <cols>
    <col min="1" max="1" width="13.140625" style="1" customWidth="1"/>
    <col min="2" max="2" width="7.140625" style="1" customWidth="1"/>
    <col min="3" max="3" width="15.28515625" style="1" customWidth="1"/>
    <col min="4" max="4" width="29.28515625" style="1" customWidth="1"/>
    <col min="5" max="5" width="10" style="1" bestFit="1" customWidth="1"/>
    <col min="6" max="6" width="9.85546875" style="1" customWidth="1"/>
    <col min="7" max="7" width="17" style="1" bestFit="1" customWidth="1"/>
    <col min="8" max="8" width="83.28515625" style="89" customWidth="1"/>
    <col min="9" max="11" width="48" style="1" customWidth="1"/>
    <col min="12" max="16384" width="9.140625" style="1"/>
  </cols>
  <sheetData>
    <row r="1" spans="1:9" s="84" customFormat="1">
      <c r="A1" s="84" t="s">
        <v>20</v>
      </c>
      <c r="B1" s="84" t="s">
        <v>0</v>
      </c>
      <c r="C1" s="84" t="s">
        <v>21</v>
      </c>
      <c r="D1" s="84" t="s">
        <v>37</v>
      </c>
      <c r="E1" s="84" t="s">
        <v>32</v>
      </c>
      <c r="F1" s="84" t="s">
        <v>33</v>
      </c>
      <c r="G1" s="84" t="s">
        <v>30</v>
      </c>
      <c r="H1" s="85" t="s">
        <v>31</v>
      </c>
      <c r="I1" s="84" t="s">
        <v>101</v>
      </c>
    </row>
    <row r="2" spans="1:9" s="81" customFormat="1">
      <c r="A2" s="81" t="s">
        <v>353</v>
      </c>
      <c r="B2" s="82" t="s">
        <v>3</v>
      </c>
      <c r="C2" s="81" t="s">
        <v>4</v>
      </c>
      <c r="D2" s="81" t="s">
        <v>423</v>
      </c>
      <c r="G2" s="83">
        <v>8.3333332999999996E-2</v>
      </c>
      <c r="H2" s="86" t="s">
        <v>19</v>
      </c>
    </row>
    <row r="3" spans="1:9" s="4" customFormat="1">
      <c r="A3" s="4" t="s">
        <v>354</v>
      </c>
      <c r="B3" s="14" t="s">
        <v>3</v>
      </c>
      <c r="C3" s="4" t="s">
        <v>4</v>
      </c>
      <c r="D3" s="81" t="s">
        <v>423</v>
      </c>
      <c r="G3" s="83">
        <v>0.116666667</v>
      </c>
      <c r="H3" s="87" t="s">
        <v>13</v>
      </c>
    </row>
    <row r="4" spans="1:9" s="4" customFormat="1">
      <c r="A4" s="4" t="s">
        <v>355</v>
      </c>
      <c r="B4" s="14" t="s">
        <v>3</v>
      </c>
      <c r="C4" s="4" t="s">
        <v>9</v>
      </c>
      <c r="D4" s="4" t="s">
        <v>422</v>
      </c>
      <c r="G4" s="83">
        <v>0.16666666699999999</v>
      </c>
      <c r="H4" s="87" t="s">
        <v>16</v>
      </c>
    </row>
    <row r="5" spans="1:9" s="4" customFormat="1">
      <c r="A5" s="4" t="s">
        <v>355</v>
      </c>
      <c r="B5" s="14" t="s">
        <v>3</v>
      </c>
      <c r="C5" s="4" t="s">
        <v>9</v>
      </c>
      <c r="D5" s="4" t="s">
        <v>422</v>
      </c>
      <c r="G5" s="83">
        <v>0.16666666699999999</v>
      </c>
      <c r="H5" s="87" t="s">
        <v>16</v>
      </c>
    </row>
    <row r="6" spans="1:9" s="4" customFormat="1">
      <c r="A6" s="4" t="s">
        <v>355</v>
      </c>
      <c r="B6" s="14" t="s">
        <v>3</v>
      </c>
      <c r="C6" s="4" t="s">
        <v>9</v>
      </c>
      <c r="D6" s="4" t="s">
        <v>422</v>
      </c>
      <c r="G6" s="83">
        <v>0.33333333300000001</v>
      </c>
      <c r="H6" s="87" t="s">
        <v>16</v>
      </c>
    </row>
    <row r="7" spans="1:9" s="4" customFormat="1">
      <c r="A7" s="4" t="s">
        <v>356</v>
      </c>
      <c r="B7" s="14" t="s">
        <v>3</v>
      </c>
      <c r="C7" s="4" t="s">
        <v>9</v>
      </c>
      <c r="D7" s="4" t="s">
        <v>422</v>
      </c>
      <c r="G7" s="83">
        <v>0.33333333300000001</v>
      </c>
      <c r="H7" s="87" t="s">
        <v>16</v>
      </c>
    </row>
    <row r="8" spans="1:9" s="4" customFormat="1">
      <c r="A8" s="4" t="s">
        <v>354</v>
      </c>
      <c r="B8" s="14" t="s">
        <v>3</v>
      </c>
      <c r="C8" s="4" t="s">
        <v>4</v>
      </c>
      <c r="D8" s="81" t="s">
        <v>423</v>
      </c>
      <c r="G8" s="83">
        <v>0.366666667</v>
      </c>
      <c r="H8" s="87" t="s">
        <v>14</v>
      </c>
    </row>
    <row r="9" spans="1:9" s="4" customFormat="1">
      <c r="A9" s="4" t="s">
        <v>354</v>
      </c>
      <c r="B9" s="14" t="s">
        <v>3</v>
      </c>
      <c r="C9" s="4" t="s">
        <v>4</v>
      </c>
      <c r="G9" s="83">
        <v>0.41666666699999999</v>
      </c>
      <c r="H9" s="87"/>
    </row>
    <row r="10" spans="1:9" s="4" customFormat="1">
      <c r="A10" s="4" t="s">
        <v>354</v>
      </c>
      <c r="B10" s="14" t="s">
        <v>3</v>
      </c>
      <c r="C10" s="4" t="s">
        <v>4</v>
      </c>
      <c r="G10" s="83">
        <v>0.5</v>
      </c>
      <c r="H10" s="87"/>
    </row>
    <row r="11" spans="1:9" s="4" customFormat="1">
      <c r="A11" s="4" t="s">
        <v>357</v>
      </c>
      <c r="B11" s="14" t="s">
        <v>3</v>
      </c>
      <c r="C11" s="4" t="s">
        <v>12</v>
      </c>
      <c r="G11" s="83">
        <v>0.83333333300000001</v>
      </c>
      <c r="H11" s="87" t="s">
        <v>17</v>
      </c>
    </row>
    <row r="12" spans="1:9" s="4" customFormat="1">
      <c r="A12" s="4" t="s">
        <v>358</v>
      </c>
      <c r="B12" s="14" t="s">
        <v>3</v>
      </c>
      <c r="C12" s="4" t="s">
        <v>9</v>
      </c>
      <c r="D12" s="4" t="s">
        <v>422</v>
      </c>
      <c r="G12" s="83">
        <v>1</v>
      </c>
      <c r="H12" s="87" t="s">
        <v>16</v>
      </c>
    </row>
    <row r="13" spans="1:9" s="4" customFormat="1">
      <c r="A13" s="4" t="s">
        <v>357</v>
      </c>
      <c r="B13" s="14" t="s">
        <v>7</v>
      </c>
      <c r="C13" s="4" t="s">
        <v>4</v>
      </c>
      <c r="G13" s="83">
        <v>1</v>
      </c>
      <c r="H13" s="87"/>
    </row>
    <row r="14" spans="1:9" s="4" customFormat="1">
      <c r="A14" s="4" t="s">
        <v>357</v>
      </c>
      <c r="B14" s="14" t="s">
        <v>7</v>
      </c>
      <c r="C14" s="4" t="s">
        <v>4</v>
      </c>
      <c r="G14" s="83">
        <v>1.0833333329999999</v>
      </c>
      <c r="H14" s="87" t="s">
        <v>18</v>
      </c>
    </row>
    <row r="15" spans="1:9" s="4" customFormat="1">
      <c r="A15" s="4" t="s">
        <v>358</v>
      </c>
      <c r="B15" s="14" t="s">
        <v>3</v>
      </c>
      <c r="C15" s="4" t="s">
        <v>4</v>
      </c>
      <c r="G15" s="83">
        <v>1.1666666670000001</v>
      </c>
      <c r="H15" s="87"/>
    </row>
    <row r="16" spans="1:9" s="4" customFormat="1">
      <c r="A16" s="4" t="s">
        <v>353</v>
      </c>
      <c r="B16" s="14" t="s">
        <v>7</v>
      </c>
      <c r="C16" s="4" t="s">
        <v>4</v>
      </c>
      <c r="G16" s="83">
        <v>1.5</v>
      </c>
      <c r="H16" s="87" t="s">
        <v>15</v>
      </c>
    </row>
    <row r="17" spans="1:8" s="4" customFormat="1">
      <c r="A17" s="4" t="s">
        <v>355</v>
      </c>
      <c r="B17" s="14" t="s">
        <v>7</v>
      </c>
      <c r="C17" s="4" t="s">
        <v>4</v>
      </c>
      <c r="G17" s="83">
        <v>1.5</v>
      </c>
      <c r="H17" s="87"/>
    </row>
    <row r="18" spans="1:8" s="4" customFormat="1">
      <c r="A18" s="4" t="s">
        <v>357</v>
      </c>
      <c r="B18" s="14" t="s">
        <v>3</v>
      </c>
      <c r="C18" s="4" t="s">
        <v>4</v>
      </c>
      <c r="G18" s="83">
        <v>1.5833333329999999</v>
      </c>
      <c r="H18" s="87"/>
    </row>
    <row r="19" spans="1:8" s="4" customFormat="1">
      <c r="A19" s="4" t="s">
        <v>353</v>
      </c>
      <c r="B19" s="14" t="s">
        <v>3</v>
      </c>
      <c r="C19" s="4" t="s">
        <v>12</v>
      </c>
      <c r="G19" s="83">
        <v>1.75</v>
      </c>
      <c r="H19" s="87" t="s">
        <v>17</v>
      </c>
    </row>
    <row r="20" spans="1:8" s="4" customFormat="1">
      <c r="A20" s="4" t="s">
        <v>355</v>
      </c>
      <c r="B20" s="14" t="s">
        <v>3</v>
      </c>
      <c r="C20" s="4" t="s">
        <v>9</v>
      </c>
      <c r="G20" s="83">
        <v>2.5</v>
      </c>
      <c r="H20" s="87" t="s">
        <v>16</v>
      </c>
    </row>
    <row r="21" spans="1:8" s="4" customFormat="1">
      <c r="A21" s="4" t="s">
        <v>359</v>
      </c>
      <c r="B21" s="14" t="s">
        <v>3</v>
      </c>
      <c r="C21" s="4" t="s">
        <v>4</v>
      </c>
      <c r="D21" s="4" t="s">
        <v>42</v>
      </c>
      <c r="E21" s="17">
        <v>0.27777777777777779</v>
      </c>
      <c r="F21" s="17">
        <v>0.31944444444444448</v>
      </c>
      <c r="G21" s="83">
        <v>60</v>
      </c>
      <c r="H21" s="87" t="s">
        <v>29</v>
      </c>
    </row>
    <row r="22" spans="1:8" s="4" customFormat="1">
      <c r="A22" s="4" t="s">
        <v>359</v>
      </c>
      <c r="B22" s="14" t="s">
        <v>3</v>
      </c>
      <c r="C22" s="4" t="s">
        <v>4</v>
      </c>
      <c r="D22" s="4" t="s">
        <v>40</v>
      </c>
      <c r="E22" s="17">
        <v>0.28472222222222221</v>
      </c>
      <c r="F22" s="17">
        <v>0.38194444444444442</v>
      </c>
      <c r="G22" s="83">
        <v>140</v>
      </c>
      <c r="H22" s="87" t="s">
        <v>43</v>
      </c>
    </row>
    <row r="23" spans="1:8" s="4" customFormat="1">
      <c r="A23" s="4" t="s">
        <v>359</v>
      </c>
      <c r="B23" s="14" t="s">
        <v>3</v>
      </c>
      <c r="C23" s="4" t="s">
        <v>4</v>
      </c>
      <c r="D23" s="4" t="s">
        <v>44</v>
      </c>
      <c r="E23" s="17">
        <v>0.47916666666666669</v>
      </c>
      <c r="F23" s="17">
        <v>0.52083333333333337</v>
      </c>
      <c r="G23" s="83">
        <v>60</v>
      </c>
      <c r="H23" s="87" t="s">
        <v>36</v>
      </c>
    </row>
    <row r="24" spans="1:8" s="4" customFormat="1">
      <c r="A24" s="4" t="s">
        <v>359</v>
      </c>
      <c r="B24" s="14" t="s">
        <v>3</v>
      </c>
      <c r="C24" s="4" t="s">
        <v>4</v>
      </c>
      <c r="D24" s="4" t="s">
        <v>40</v>
      </c>
      <c r="E24" s="17">
        <v>0.51736111111111105</v>
      </c>
      <c r="F24" s="17">
        <v>4.8611111111111112E-2</v>
      </c>
      <c r="G24" s="83">
        <v>45</v>
      </c>
      <c r="H24" s="87" t="s">
        <v>45</v>
      </c>
    </row>
    <row r="25" spans="1:8" s="4" customFormat="1">
      <c r="A25" s="4" t="s">
        <v>359</v>
      </c>
      <c r="B25" s="14" t="s">
        <v>3</v>
      </c>
      <c r="C25" s="4" t="s">
        <v>4</v>
      </c>
      <c r="D25" s="4" t="s">
        <v>46</v>
      </c>
      <c r="E25" s="17">
        <v>0.30902777777777779</v>
      </c>
      <c r="F25" s="17">
        <v>0.3576388888888889</v>
      </c>
      <c r="G25" s="83">
        <v>70</v>
      </c>
      <c r="H25" s="87" t="s">
        <v>47</v>
      </c>
    </row>
    <row r="26" spans="1:8" s="4" customFormat="1">
      <c r="A26" s="4" t="s">
        <v>360</v>
      </c>
      <c r="B26" s="14" t="s">
        <v>3</v>
      </c>
      <c r="C26" s="4" t="s">
        <v>4</v>
      </c>
      <c r="D26" s="4" t="s">
        <v>48</v>
      </c>
      <c r="E26" s="17">
        <v>0.51388888888888895</v>
      </c>
      <c r="F26" s="17">
        <v>4.1666666666666664E-2</v>
      </c>
      <c r="G26" s="83">
        <v>40</v>
      </c>
      <c r="H26" s="87" t="s">
        <v>49</v>
      </c>
    </row>
    <row r="27" spans="1:8" s="4" customFormat="1">
      <c r="A27" s="4" t="s">
        <v>361</v>
      </c>
      <c r="B27" s="14" t="s">
        <v>3</v>
      </c>
      <c r="C27" s="4" t="s">
        <v>4</v>
      </c>
      <c r="D27" s="4" t="s">
        <v>40</v>
      </c>
      <c r="E27" s="17">
        <v>0.375</v>
      </c>
      <c r="F27" s="17">
        <v>0.39583333333333331</v>
      </c>
      <c r="G27" s="83">
        <v>30</v>
      </c>
      <c r="H27" s="87" t="s">
        <v>39</v>
      </c>
    </row>
    <row r="28" spans="1:8" s="4" customFormat="1">
      <c r="A28" s="4" t="s">
        <v>361</v>
      </c>
      <c r="B28" s="14" t="s">
        <v>3</v>
      </c>
      <c r="C28" s="4" t="s">
        <v>4</v>
      </c>
      <c r="D28" s="4" t="s">
        <v>51</v>
      </c>
      <c r="E28" s="17">
        <v>0.53472222222222221</v>
      </c>
      <c r="F28" s="17">
        <v>1.07</v>
      </c>
      <c r="G28" s="83">
        <v>17</v>
      </c>
      <c r="H28" s="90" t="s">
        <v>52</v>
      </c>
    </row>
    <row r="29" spans="1:8" s="4" customFormat="1">
      <c r="A29" s="4" t="s">
        <v>361</v>
      </c>
      <c r="B29" s="14" t="s">
        <v>7</v>
      </c>
      <c r="C29" s="4" t="s">
        <v>4</v>
      </c>
      <c r="D29" s="4" t="s">
        <v>41</v>
      </c>
      <c r="E29" s="17">
        <v>0.5</v>
      </c>
      <c r="F29" s="17">
        <v>0.5625</v>
      </c>
      <c r="G29" s="83">
        <v>90</v>
      </c>
      <c r="H29" s="90" t="s">
        <v>50</v>
      </c>
    </row>
    <row r="30" spans="1:8" s="4" customFormat="1">
      <c r="A30" s="4" t="s">
        <v>361</v>
      </c>
      <c r="B30" s="14" t="s">
        <v>3</v>
      </c>
      <c r="C30" s="4" t="s">
        <v>53</v>
      </c>
      <c r="D30" s="4" t="s">
        <v>54</v>
      </c>
      <c r="E30" s="17">
        <v>5.2083333333333336E-2</v>
      </c>
      <c r="F30" s="17">
        <v>7.2916666666666671E-2</v>
      </c>
      <c r="G30" s="83">
        <v>30</v>
      </c>
      <c r="H30" s="90" t="s">
        <v>55</v>
      </c>
    </row>
    <row r="31" spans="1:8" s="4" customFormat="1">
      <c r="A31" s="4" t="s">
        <v>362</v>
      </c>
      <c r="B31" s="14" t="s">
        <v>7</v>
      </c>
      <c r="C31" s="4" t="s">
        <v>4</v>
      </c>
      <c r="D31" s="4" t="s">
        <v>51</v>
      </c>
      <c r="E31" s="17">
        <v>0.86805555555555547</v>
      </c>
      <c r="F31" s="17">
        <v>0.88541666666666663</v>
      </c>
      <c r="G31" s="83">
        <v>25</v>
      </c>
      <c r="H31" s="90" t="s">
        <v>57</v>
      </c>
    </row>
    <row r="32" spans="1:8" s="4" customFormat="1">
      <c r="A32" s="4" t="s">
        <v>363</v>
      </c>
      <c r="B32" s="14" t="s">
        <v>7</v>
      </c>
      <c r="C32" s="4" t="s">
        <v>4</v>
      </c>
      <c r="D32" s="4" t="s">
        <v>59</v>
      </c>
      <c r="E32" s="17">
        <v>0.8125</v>
      </c>
      <c r="F32" s="17">
        <v>0.83333333333333337</v>
      </c>
      <c r="G32" s="83">
        <v>30</v>
      </c>
      <c r="H32" s="90" t="s">
        <v>60</v>
      </c>
    </row>
    <row r="33" spans="1:8" s="4" customFormat="1">
      <c r="A33" s="4" t="s">
        <v>363</v>
      </c>
      <c r="B33" s="14" t="s">
        <v>7</v>
      </c>
      <c r="C33" s="4" t="s">
        <v>4</v>
      </c>
      <c r="D33" s="4" t="s">
        <v>63</v>
      </c>
      <c r="E33" s="17">
        <v>0.8125</v>
      </c>
      <c r="F33" s="17">
        <v>0.82638888888888884</v>
      </c>
      <c r="G33" s="83">
        <v>20</v>
      </c>
      <c r="H33" s="90" t="s">
        <v>64</v>
      </c>
    </row>
    <row r="34" spans="1:8" s="4" customFormat="1">
      <c r="A34" s="4" t="s">
        <v>363</v>
      </c>
      <c r="B34" s="14" t="s">
        <v>7</v>
      </c>
      <c r="C34" s="4" t="s">
        <v>4</v>
      </c>
      <c r="D34" s="4" t="s">
        <v>61</v>
      </c>
      <c r="E34" s="17">
        <v>0.83333333333333337</v>
      </c>
      <c r="F34" s="17">
        <v>0.84722222222222221</v>
      </c>
      <c r="G34" s="83">
        <v>20</v>
      </c>
      <c r="H34" s="90" t="s">
        <v>62</v>
      </c>
    </row>
    <row r="35" spans="1:8" s="4" customFormat="1">
      <c r="B35" s="14" t="s">
        <v>7</v>
      </c>
      <c r="C35" s="4" t="s">
        <v>4</v>
      </c>
      <c r="D35" s="4" t="s">
        <v>66</v>
      </c>
      <c r="E35" s="17">
        <v>0.72916666666666663</v>
      </c>
      <c r="F35" s="17">
        <v>0.86458333333333337</v>
      </c>
      <c r="G35" s="83">
        <v>195</v>
      </c>
      <c r="H35" s="90" t="s">
        <v>67</v>
      </c>
    </row>
    <row r="36" spans="1:8" s="4" customFormat="1">
      <c r="A36" s="4" t="s">
        <v>364</v>
      </c>
      <c r="B36" s="14" t="s">
        <v>3</v>
      </c>
      <c r="C36" s="4" t="s">
        <v>4</v>
      </c>
      <c r="D36" s="4" t="s">
        <v>69</v>
      </c>
      <c r="E36" s="17">
        <v>7.6388888888888895E-2</v>
      </c>
      <c r="F36" s="17">
        <v>8.3333333333333329E-2</v>
      </c>
      <c r="G36" s="83">
        <v>10</v>
      </c>
      <c r="H36" s="90" t="s">
        <v>70</v>
      </c>
    </row>
    <row r="37" spans="1:8" s="4" customFormat="1">
      <c r="A37" s="4" t="s">
        <v>365</v>
      </c>
      <c r="B37" s="14" t="s">
        <v>3</v>
      </c>
      <c r="C37" s="4" t="s">
        <v>4</v>
      </c>
      <c r="D37" s="4" t="s">
        <v>72</v>
      </c>
      <c r="E37" s="17">
        <v>0.25</v>
      </c>
      <c r="F37" s="17">
        <v>0.2673611111111111</v>
      </c>
      <c r="G37" s="83">
        <v>25</v>
      </c>
      <c r="H37" s="90" t="s">
        <v>73</v>
      </c>
    </row>
    <row r="38" spans="1:8" s="4" customFormat="1">
      <c r="A38" s="4" t="s">
        <v>406</v>
      </c>
      <c r="B38" s="14" t="s">
        <v>3</v>
      </c>
      <c r="C38" s="4" t="s">
        <v>4</v>
      </c>
      <c r="D38" s="4" t="s">
        <v>75</v>
      </c>
      <c r="E38" s="17">
        <v>0.22916666666666666</v>
      </c>
      <c r="F38" s="17">
        <v>0.25</v>
      </c>
      <c r="G38" s="83">
        <v>30</v>
      </c>
      <c r="H38" s="90" t="s">
        <v>76</v>
      </c>
    </row>
    <row r="39" spans="1:8" s="4" customFormat="1">
      <c r="A39" s="4" t="s">
        <v>406</v>
      </c>
      <c r="B39" s="14" t="s">
        <v>3</v>
      </c>
      <c r="C39" s="4" t="s">
        <v>4</v>
      </c>
      <c r="D39" s="4" t="s">
        <v>69</v>
      </c>
      <c r="E39" s="17">
        <v>0.25</v>
      </c>
      <c r="F39" s="17">
        <v>0.27083333333333331</v>
      </c>
      <c r="G39" s="83">
        <v>30</v>
      </c>
      <c r="H39" s="90" t="s">
        <v>77</v>
      </c>
    </row>
    <row r="40" spans="1:8" s="4" customFormat="1">
      <c r="A40" s="4" t="s">
        <v>405</v>
      </c>
      <c r="B40" s="14" t="s">
        <v>7</v>
      </c>
      <c r="C40" s="4" t="s">
        <v>4</v>
      </c>
      <c r="D40" s="4" t="s">
        <v>69</v>
      </c>
      <c r="E40" s="17">
        <v>0.14583333333333334</v>
      </c>
      <c r="F40" s="17">
        <v>0.16666666666666666</v>
      </c>
      <c r="G40" s="83">
        <v>30</v>
      </c>
      <c r="H40" s="90" t="s">
        <v>79</v>
      </c>
    </row>
    <row r="41" spans="1:8" s="4" customFormat="1">
      <c r="A41" s="4" t="s">
        <v>405</v>
      </c>
      <c r="B41" s="14" t="s">
        <v>7</v>
      </c>
      <c r="C41" s="4" t="s">
        <v>9</v>
      </c>
      <c r="D41" s="4" t="s">
        <v>80</v>
      </c>
      <c r="E41" s="17">
        <v>0.23263888888888887</v>
      </c>
      <c r="F41" s="17">
        <v>0.25</v>
      </c>
      <c r="G41" s="83">
        <v>25</v>
      </c>
      <c r="H41" s="90" t="s">
        <v>81</v>
      </c>
    </row>
    <row r="42" spans="1:8" s="4" customFormat="1">
      <c r="A42" s="33" t="s">
        <v>102</v>
      </c>
      <c r="B42" s="14" t="s">
        <v>7</v>
      </c>
      <c r="C42" s="4" t="s">
        <v>89</v>
      </c>
      <c r="D42" s="4" t="s">
        <v>90</v>
      </c>
      <c r="E42" s="17">
        <v>0.30902777777777779</v>
      </c>
      <c r="F42" s="17">
        <v>0.3263888888888889</v>
      </c>
      <c r="G42" s="83">
        <v>25</v>
      </c>
      <c r="H42" s="88" t="s">
        <v>91</v>
      </c>
    </row>
    <row r="43" spans="1:8" s="4" customFormat="1">
      <c r="A43" s="33" t="s">
        <v>102</v>
      </c>
      <c r="B43" s="14" t="s">
        <v>92</v>
      </c>
      <c r="C43" s="4" t="s">
        <v>89</v>
      </c>
      <c r="D43" s="4" t="s">
        <v>42</v>
      </c>
      <c r="E43" s="17">
        <v>0.47916666666666669</v>
      </c>
      <c r="F43" s="17">
        <v>6.25E-2</v>
      </c>
      <c r="G43" s="83">
        <v>120</v>
      </c>
      <c r="H43" s="87" t="s">
        <v>93</v>
      </c>
    </row>
    <row r="44" spans="1:8" s="4" customFormat="1">
      <c r="A44" s="33" t="s">
        <v>102</v>
      </c>
      <c r="B44" s="14" t="s">
        <v>3</v>
      </c>
      <c r="C44" s="4" t="s">
        <v>89</v>
      </c>
      <c r="D44" s="4" t="s">
        <v>40</v>
      </c>
      <c r="E44" s="17">
        <v>0.38541666666666669</v>
      </c>
      <c r="F44" s="17">
        <v>0.4236111111111111</v>
      </c>
      <c r="G44" s="83">
        <v>55</v>
      </c>
      <c r="H44" s="87" t="s">
        <v>95</v>
      </c>
    </row>
    <row r="45" spans="1:8" s="4" customFormat="1">
      <c r="A45" s="33" t="s">
        <v>102</v>
      </c>
      <c r="B45" s="14" t="s">
        <v>3</v>
      </c>
      <c r="C45" s="4" t="s">
        <v>89</v>
      </c>
      <c r="D45" s="4" t="s">
        <v>40</v>
      </c>
      <c r="E45" s="17">
        <v>0.5</v>
      </c>
      <c r="F45" s="17">
        <v>0.54861111111111105</v>
      </c>
      <c r="G45" s="83">
        <v>70</v>
      </c>
      <c r="H45" s="87" t="s">
        <v>96</v>
      </c>
    </row>
    <row r="46" spans="1:8" s="4" customFormat="1">
      <c r="A46" s="33" t="s">
        <v>102</v>
      </c>
      <c r="B46" s="14" t="s">
        <v>7</v>
      </c>
      <c r="C46" s="4" t="s">
        <v>89</v>
      </c>
      <c r="D46" s="4" t="s">
        <v>97</v>
      </c>
      <c r="E46" s="17">
        <v>0.86805555555555547</v>
      </c>
      <c r="F46" s="17">
        <v>0.90972222222222221</v>
      </c>
      <c r="G46" s="83">
        <v>60</v>
      </c>
      <c r="H46" s="87" t="s">
        <v>98</v>
      </c>
    </row>
    <row r="47" spans="1:8" s="4" customFormat="1">
      <c r="A47" s="33" t="s">
        <v>103</v>
      </c>
      <c r="B47" s="14" t="s">
        <v>7</v>
      </c>
      <c r="C47" s="4" t="s">
        <v>89</v>
      </c>
      <c r="D47" s="4" t="s">
        <v>40</v>
      </c>
      <c r="E47" s="17">
        <v>0.91666666666666663</v>
      </c>
      <c r="F47" s="17">
        <v>0.92361111111111116</v>
      </c>
      <c r="G47" s="83">
        <v>10</v>
      </c>
      <c r="H47" s="87" t="s">
        <v>99</v>
      </c>
    </row>
    <row r="48" spans="1:8" s="4" customFormat="1">
      <c r="A48" s="33" t="s">
        <v>103</v>
      </c>
      <c r="B48" s="14" t="s">
        <v>92</v>
      </c>
      <c r="C48" s="4" t="s">
        <v>89</v>
      </c>
      <c r="D48" s="4" t="s">
        <v>40</v>
      </c>
      <c r="E48" s="17">
        <v>3.8194444444444441E-2</v>
      </c>
      <c r="F48" s="17">
        <v>4.8611111111111112E-2</v>
      </c>
      <c r="G48" s="83">
        <v>15</v>
      </c>
      <c r="H48" s="88" t="s">
        <v>100</v>
      </c>
    </row>
    <row r="49" spans="1:8" s="4" customFormat="1">
      <c r="A49" s="33" t="s">
        <v>104</v>
      </c>
      <c r="B49" s="14" t="s">
        <v>7</v>
      </c>
      <c r="C49" s="4" t="s">
        <v>89</v>
      </c>
      <c r="D49" s="4" t="s">
        <v>61</v>
      </c>
      <c r="E49" s="17">
        <v>0.64930555555555558</v>
      </c>
      <c r="F49" s="17">
        <v>0.67013888888888884</v>
      </c>
      <c r="G49" s="83">
        <v>30</v>
      </c>
      <c r="H49" s="87" t="s">
        <v>94</v>
      </c>
    </row>
    <row r="50" spans="1:8" s="4" customFormat="1">
      <c r="A50" s="32" t="s">
        <v>105</v>
      </c>
      <c r="B50" s="14" t="s">
        <v>3</v>
      </c>
      <c r="C50" s="4" t="s">
        <v>106</v>
      </c>
      <c r="D50" s="4" t="s">
        <v>107</v>
      </c>
      <c r="E50" s="17">
        <v>0.48958333333333331</v>
      </c>
      <c r="F50" s="17">
        <v>0.5</v>
      </c>
      <c r="G50" s="83">
        <v>15</v>
      </c>
      <c r="H50" s="87" t="s">
        <v>108</v>
      </c>
    </row>
    <row r="51" spans="1:8" s="4" customFormat="1">
      <c r="A51" s="32" t="s">
        <v>109</v>
      </c>
      <c r="B51" s="14" t="s">
        <v>3</v>
      </c>
      <c r="C51" s="4" t="s">
        <v>110</v>
      </c>
      <c r="D51" s="4" t="s">
        <v>111</v>
      </c>
      <c r="E51" s="17">
        <v>0.25</v>
      </c>
      <c r="F51" s="17">
        <v>0.29166666666666669</v>
      </c>
      <c r="G51" s="83">
        <v>60</v>
      </c>
      <c r="H51" s="87" t="s">
        <v>112</v>
      </c>
    </row>
    <row r="52" spans="1:8" s="4" customFormat="1">
      <c r="A52" s="32" t="s">
        <v>113</v>
      </c>
      <c r="B52" s="14" t="s">
        <v>92</v>
      </c>
      <c r="C52" s="4" t="s">
        <v>106</v>
      </c>
      <c r="D52" s="4" t="s">
        <v>107</v>
      </c>
      <c r="E52" s="17">
        <v>0</v>
      </c>
      <c r="F52" s="17">
        <v>2.0833333333333332E-2</v>
      </c>
      <c r="G52" s="83">
        <v>30</v>
      </c>
      <c r="H52" s="87" t="s">
        <v>114</v>
      </c>
    </row>
    <row r="53" spans="1:8" s="4" customFormat="1">
      <c r="A53" s="32" t="s">
        <v>113</v>
      </c>
      <c r="B53" s="14" t="s">
        <v>92</v>
      </c>
      <c r="C53" s="4" t="s">
        <v>106</v>
      </c>
      <c r="D53" s="4" t="s">
        <v>107</v>
      </c>
      <c r="E53" s="17">
        <v>2.7777777777777776E-2</v>
      </c>
      <c r="F53" s="17">
        <v>4.8611111111111112E-2</v>
      </c>
      <c r="G53" s="83">
        <v>30</v>
      </c>
      <c r="H53" s="87" t="s">
        <v>115</v>
      </c>
    </row>
    <row r="54" spans="1:8" s="4" customFormat="1">
      <c r="A54" s="32" t="s">
        <v>116</v>
      </c>
      <c r="B54" s="14" t="s">
        <v>3</v>
      </c>
      <c r="C54" s="4" t="s">
        <v>106</v>
      </c>
      <c r="D54" s="4" t="s">
        <v>117</v>
      </c>
      <c r="E54" s="17">
        <v>0.50347222222222221</v>
      </c>
      <c r="F54" s="17">
        <v>0.51041666666666663</v>
      </c>
      <c r="G54" s="83">
        <v>10</v>
      </c>
      <c r="H54" s="87" t="s">
        <v>118</v>
      </c>
    </row>
    <row r="55" spans="1:8" s="4" customFormat="1">
      <c r="A55" s="32" t="s">
        <v>116</v>
      </c>
      <c r="B55" s="14" t="s">
        <v>3</v>
      </c>
      <c r="C55" s="4" t="s">
        <v>106</v>
      </c>
      <c r="D55" s="4" t="s">
        <v>119</v>
      </c>
      <c r="E55" s="17">
        <v>0.40625</v>
      </c>
      <c r="F55" s="17">
        <v>0.4152777777777778</v>
      </c>
      <c r="G55" s="83">
        <v>13</v>
      </c>
      <c r="H55" s="87" t="s">
        <v>120</v>
      </c>
    </row>
    <row r="56" spans="1:8" s="4" customFormat="1">
      <c r="A56" s="33" t="s">
        <v>116</v>
      </c>
      <c r="B56" s="14" t="s">
        <v>3</v>
      </c>
      <c r="C56" s="18" t="s">
        <v>121</v>
      </c>
      <c r="D56" s="4" t="s">
        <v>122</v>
      </c>
      <c r="E56" s="17">
        <v>0.38194444444444442</v>
      </c>
      <c r="F56" s="17">
        <v>0.39583333333333331</v>
      </c>
      <c r="G56" s="83">
        <v>20</v>
      </c>
      <c r="H56" s="87" t="s">
        <v>123</v>
      </c>
    </row>
    <row r="57" spans="1:8" s="4" customFormat="1">
      <c r="A57" s="32" t="s">
        <v>124</v>
      </c>
      <c r="B57" s="14" t="s">
        <v>3</v>
      </c>
      <c r="C57" s="4" t="s">
        <v>106</v>
      </c>
      <c r="D57" s="4" t="s">
        <v>125</v>
      </c>
      <c r="E57" s="17">
        <v>0.41666666666666669</v>
      </c>
      <c r="F57" s="17">
        <v>0.42499999999999999</v>
      </c>
      <c r="G57" s="83">
        <v>12</v>
      </c>
      <c r="H57" s="87" t="s">
        <v>126</v>
      </c>
    </row>
    <row r="58" spans="1:8" s="4" customFormat="1">
      <c r="A58" s="32" t="s">
        <v>127</v>
      </c>
      <c r="B58" s="14" t="s">
        <v>3</v>
      </c>
      <c r="C58" s="4" t="s">
        <v>106</v>
      </c>
      <c r="D58" s="4" t="s">
        <v>128</v>
      </c>
      <c r="E58" s="17">
        <v>0.5625</v>
      </c>
      <c r="F58" s="17">
        <v>0.60069444444444442</v>
      </c>
      <c r="G58" s="83">
        <v>55</v>
      </c>
      <c r="H58" s="87" t="s">
        <v>129</v>
      </c>
    </row>
    <row r="59" spans="1:8" s="4" customFormat="1">
      <c r="A59" s="32" t="s">
        <v>127</v>
      </c>
      <c r="B59" s="14" t="s">
        <v>3</v>
      </c>
      <c r="C59" s="4" t="s">
        <v>106</v>
      </c>
      <c r="D59" s="4" t="s">
        <v>130</v>
      </c>
      <c r="E59" s="17">
        <v>0.41666666666666669</v>
      </c>
      <c r="F59" s="17">
        <v>0.43055555555555558</v>
      </c>
      <c r="G59" s="83">
        <v>20</v>
      </c>
      <c r="H59" s="90" t="s">
        <v>131</v>
      </c>
    </row>
    <row r="60" spans="1:8" s="4" customFormat="1">
      <c r="A60" s="32" t="s">
        <v>132</v>
      </c>
      <c r="B60" s="14" t="s">
        <v>3</v>
      </c>
      <c r="C60" s="4" t="s">
        <v>106</v>
      </c>
      <c r="D60" s="4" t="s">
        <v>133</v>
      </c>
      <c r="E60" s="17">
        <v>0.44791666666666669</v>
      </c>
      <c r="F60" s="17">
        <v>0.45833333333333331</v>
      </c>
      <c r="G60" s="83">
        <v>15</v>
      </c>
      <c r="H60" s="87" t="s">
        <v>134</v>
      </c>
    </row>
    <row r="61" spans="1:8" s="4" customFormat="1">
      <c r="A61" s="32" t="s">
        <v>132</v>
      </c>
      <c r="B61" s="14" t="s">
        <v>7</v>
      </c>
      <c r="C61" s="4" t="s">
        <v>106</v>
      </c>
      <c r="D61" s="4" t="s">
        <v>40</v>
      </c>
      <c r="E61" s="17">
        <v>0.63888888888888895</v>
      </c>
      <c r="F61" s="17">
        <v>0.65277777777777779</v>
      </c>
      <c r="G61" s="83">
        <v>20</v>
      </c>
      <c r="H61" s="87" t="s">
        <v>135</v>
      </c>
    </row>
    <row r="62" spans="1:8" s="4" customFormat="1">
      <c r="A62" s="32" t="s">
        <v>136</v>
      </c>
      <c r="B62" s="14" t="s">
        <v>3</v>
      </c>
      <c r="C62" s="4" t="s">
        <v>121</v>
      </c>
      <c r="D62" s="4" t="s">
        <v>137</v>
      </c>
      <c r="E62" s="17">
        <v>0.375</v>
      </c>
      <c r="F62" s="17">
        <v>0.38194444444444442</v>
      </c>
      <c r="G62" s="83">
        <v>10</v>
      </c>
      <c r="H62" s="87" t="s">
        <v>138</v>
      </c>
    </row>
    <row r="63" spans="1:8" s="4" customFormat="1">
      <c r="A63" s="33" t="s">
        <v>139</v>
      </c>
      <c r="B63" s="14" t="s">
        <v>3</v>
      </c>
      <c r="C63" s="4" t="s">
        <v>121</v>
      </c>
      <c r="D63" s="4" t="s">
        <v>137</v>
      </c>
      <c r="E63" s="17">
        <v>0.5</v>
      </c>
      <c r="F63" s="17">
        <v>0.50694444444444442</v>
      </c>
      <c r="G63" s="83">
        <v>10</v>
      </c>
      <c r="H63" s="87" t="s">
        <v>140</v>
      </c>
    </row>
    <row r="64" spans="1:8" s="4" customFormat="1">
      <c r="A64" s="32" t="s">
        <v>142</v>
      </c>
      <c r="B64" s="14" t="s">
        <v>3</v>
      </c>
      <c r="C64" s="4" t="s">
        <v>106</v>
      </c>
      <c r="D64" s="4" t="s">
        <v>143</v>
      </c>
      <c r="E64" s="17">
        <v>0.375</v>
      </c>
      <c r="F64" s="17">
        <v>0.40277777777777773</v>
      </c>
      <c r="G64" s="83">
        <v>40</v>
      </c>
      <c r="H64" s="87" t="s">
        <v>144</v>
      </c>
    </row>
    <row r="65" spans="1:8" s="4" customFormat="1">
      <c r="A65" s="32" t="s">
        <v>142</v>
      </c>
      <c r="B65" s="14" t="s">
        <v>7</v>
      </c>
      <c r="C65" s="4" t="s">
        <v>106</v>
      </c>
      <c r="D65" s="4" t="s">
        <v>61</v>
      </c>
      <c r="E65" s="17">
        <v>0.22569444444444445</v>
      </c>
      <c r="F65" s="17">
        <v>0.25</v>
      </c>
      <c r="G65" s="83">
        <v>35</v>
      </c>
      <c r="H65" s="87" t="s">
        <v>145</v>
      </c>
    </row>
    <row r="66" spans="1:8" s="4" customFormat="1">
      <c r="A66" s="32" t="s">
        <v>146</v>
      </c>
      <c r="B66" s="14" t="s">
        <v>3</v>
      </c>
      <c r="C66" s="4" t="s">
        <v>106</v>
      </c>
      <c r="D66" s="4" t="s">
        <v>143</v>
      </c>
      <c r="E66" s="17">
        <v>0.25694444444444448</v>
      </c>
      <c r="F66" s="17">
        <v>0.27777777777777779</v>
      </c>
      <c r="G66" s="83">
        <v>30</v>
      </c>
      <c r="H66" s="87" t="s">
        <v>144</v>
      </c>
    </row>
    <row r="67" spans="1:8" s="4" customFormat="1">
      <c r="A67" s="32" t="s">
        <v>146</v>
      </c>
      <c r="B67" s="14" t="s">
        <v>7</v>
      </c>
      <c r="C67" s="4" t="s">
        <v>106</v>
      </c>
      <c r="D67" s="4" t="s">
        <v>128</v>
      </c>
      <c r="E67" s="17">
        <v>0.1875</v>
      </c>
      <c r="F67" s="17">
        <v>0.20138888888888887</v>
      </c>
      <c r="G67" s="83">
        <v>20</v>
      </c>
      <c r="H67" s="87" t="s">
        <v>147</v>
      </c>
    </row>
    <row r="68" spans="1:8" s="4" customFormat="1">
      <c r="A68" s="32" t="s">
        <v>146</v>
      </c>
      <c r="B68" s="14" t="s">
        <v>92</v>
      </c>
      <c r="C68" s="4" t="s">
        <v>106</v>
      </c>
      <c r="D68" s="4" t="s">
        <v>128</v>
      </c>
      <c r="E68" s="17">
        <v>0.20833333333333334</v>
      </c>
      <c r="F68" s="17">
        <v>0.25</v>
      </c>
      <c r="G68" s="83">
        <v>60</v>
      </c>
      <c r="H68" s="87" t="s">
        <v>147</v>
      </c>
    </row>
    <row r="69" spans="1:8" s="4" customFormat="1">
      <c r="A69" s="32" t="s">
        <v>148</v>
      </c>
      <c r="B69" s="14" t="s">
        <v>3</v>
      </c>
      <c r="C69" s="4" t="s">
        <v>106</v>
      </c>
      <c r="D69" s="4" t="s">
        <v>128</v>
      </c>
      <c r="E69" s="17">
        <v>0.25</v>
      </c>
      <c r="F69" s="17">
        <v>0.27083333333333331</v>
      </c>
      <c r="G69" s="83">
        <v>30</v>
      </c>
      <c r="H69" s="87" t="s">
        <v>149</v>
      </c>
    </row>
    <row r="70" spans="1:8" s="4" customFormat="1">
      <c r="A70" s="32" t="s">
        <v>404</v>
      </c>
      <c r="B70" s="14"/>
      <c r="D70" s="92" t="s">
        <v>150</v>
      </c>
      <c r="E70" s="17">
        <v>0.35416666666666669</v>
      </c>
      <c r="F70" s="17">
        <v>0.375</v>
      </c>
      <c r="G70" s="83">
        <v>0.5</v>
      </c>
      <c r="H70" s="64" t="s">
        <v>154</v>
      </c>
    </row>
    <row r="71" spans="1:8" s="4" customFormat="1" ht="20.25" customHeight="1">
      <c r="A71" s="32" t="s">
        <v>403</v>
      </c>
      <c r="B71" s="14"/>
      <c r="D71" s="92" t="s">
        <v>151</v>
      </c>
      <c r="E71" s="17">
        <v>0.19791666666666666</v>
      </c>
      <c r="F71" s="17">
        <v>0.21527777777777779</v>
      </c>
      <c r="G71" s="83">
        <v>0.4</v>
      </c>
      <c r="H71" s="91" t="s">
        <v>155</v>
      </c>
    </row>
    <row r="72" spans="1:8" s="4" customFormat="1">
      <c r="A72" s="32" t="s">
        <v>400</v>
      </c>
      <c r="B72" s="14"/>
      <c r="D72" s="92" t="s">
        <v>152</v>
      </c>
      <c r="E72" s="17">
        <v>0.35416666666666669</v>
      </c>
      <c r="F72" s="17">
        <v>0.375</v>
      </c>
      <c r="G72" s="83">
        <v>0.5</v>
      </c>
      <c r="H72" s="64" t="s">
        <v>156</v>
      </c>
    </row>
    <row r="73" spans="1:8" s="4" customFormat="1">
      <c r="A73" s="32" t="s">
        <v>402</v>
      </c>
      <c r="B73" s="14"/>
      <c r="D73" s="92" t="s">
        <v>152</v>
      </c>
      <c r="E73" s="17">
        <v>0.25</v>
      </c>
      <c r="F73" s="17">
        <v>0.27083333333333331</v>
      </c>
      <c r="G73" s="83">
        <v>0.5</v>
      </c>
      <c r="H73" s="64" t="s">
        <v>157</v>
      </c>
    </row>
    <row r="74" spans="1:8" s="4" customFormat="1">
      <c r="A74" s="32" t="s">
        <v>402</v>
      </c>
      <c r="B74" s="14"/>
      <c r="D74" s="92" t="s">
        <v>153</v>
      </c>
      <c r="E74" s="17">
        <v>0.53125</v>
      </c>
      <c r="F74" s="17">
        <v>0.54166666666666663</v>
      </c>
      <c r="G74" s="83">
        <v>0.25</v>
      </c>
      <c r="H74" s="64" t="s">
        <v>158</v>
      </c>
    </row>
    <row r="75" spans="1:8" s="4" customFormat="1">
      <c r="A75" s="32" t="s">
        <v>401</v>
      </c>
      <c r="B75" s="14"/>
      <c r="D75" s="92" t="s">
        <v>151</v>
      </c>
      <c r="E75" s="17">
        <v>0.55902777777777779</v>
      </c>
      <c r="F75" s="17">
        <v>0.56597222222222221</v>
      </c>
      <c r="G75" s="83">
        <v>0.16</v>
      </c>
      <c r="H75" s="64" t="s">
        <v>159</v>
      </c>
    </row>
    <row r="76" spans="1:8" s="4" customFormat="1">
      <c r="A76" s="32" t="s">
        <v>400</v>
      </c>
      <c r="B76" s="14"/>
      <c r="D76" s="92" t="s">
        <v>152</v>
      </c>
      <c r="E76" s="17">
        <v>0.33333333333333331</v>
      </c>
      <c r="F76" s="17">
        <v>0.34722222222222227</v>
      </c>
      <c r="G76" s="83">
        <v>0.33334000000000003</v>
      </c>
      <c r="H76" s="64" t="s">
        <v>160</v>
      </c>
    </row>
    <row r="77" spans="1:8" s="4" customFormat="1">
      <c r="A77" s="32" t="s">
        <v>398</v>
      </c>
      <c r="B77" s="14" t="s">
        <v>3</v>
      </c>
      <c r="C77" s="4" t="s">
        <v>89</v>
      </c>
      <c r="D77" s="92" t="s">
        <v>161</v>
      </c>
      <c r="E77" s="17">
        <v>0.27083333333333331</v>
      </c>
      <c r="F77" s="17">
        <v>0.29166666666666663</v>
      </c>
      <c r="G77" s="83">
        <v>0.5</v>
      </c>
      <c r="H77" s="87" t="s">
        <v>165</v>
      </c>
    </row>
    <row r="78" spans="1:8" s="4" customFormat="1">
      <c r="A78" s="32" t="s">
        <v>397</v>
      </c>
      <c r="B78" s="14" t="s">
        <v>92</v>
      </c>
      <c r="C78" s="4" t="s">
        <v>89</v>
      </c>
      <c r="D78" s="92" t="s">
        <v>162</v>
      </c>
      <c r="E78" s="17">
        <v>0.96527777777777779</v>
      </c>
      <c r="F78" s="17">
        <v>0.97569444444444442</v>
      </c>
      <c r="G78" s="83">
        <v>0.25</v>
      </c>
      <c r="H78" s="87" t="s">
        <v>166</v>
      </c>
    </row>
    <row r="79" spans="1:8" s="4" customFormat="1">
      <c r="A79" s="32" t="s">
        <v>397</v>
      </c>
      <c r="B79" s="14" t="s">
        <v>92</v>
      </c>
      <c r="C79" s="4" t="s">
        <v>89</v>
      </c>
      <c r="D79" s="92" t="s">
        <v>163</v>
      </c>
      <c r="E79" s="17">
        <v>6.9444444444444434E-2</v>
      </c>
      <c r="F79" s="17">
        <v>9.0277777777777762E-2</v>
      </c>
      <c r="G79" s="83">
        <v>0.5</v>
      </c>
      <c r="H79" s="87" t="s">
        <v>167</v>
      </c>
    </row>
    <row r="80" spans="1:8" s="4" customFormat="1">
      <c r="A80" s="32" t="s">
        <v>399</v>
      </c>
      <c r="B80" s="14" t="s">
        <v>3</v>
      </c>
      <c r="C80" s="4" t="s">
        <v>89</v>
      </c>
      <c r="D80" s="92" t="s">
        <v>161</v>
      </c>
      <c r="E80" s="17">
        <v>0.33333333333333331</v>
      </c>
      <c r="F80" s="17">
        <v>0.34027916666666663</v>
      </c>
      <c r="G80" s="83">
        <v>0.16669999999999999</v>
      </c>
      <c r="H80" s="87" t="s">
        <v>168</v>
      </c>
    </row>
    <row r="81" spans="1:8" s="4" customFormat="1">
      <c r="A81" s="32" t="s">
        <v>398</v>
      </c>
      <c r="B81" s="14" t="s">
        <v>7</v>
      </c>
      <c r="C81" s="4" t="s">
        <v>89</v>
      </c>
      <c r="D81" s="92" t="s">
        <v>161</v>
      </c>
      <c r="E81" s="17">
        <v>0.80555555555555547</v>
      </c>
      <c r="F81" s="17">
        <v>0.83333472222222216</v>
      </c>
      <c r="G81" s="83">
        <v>0.66669999999999996</v>
      </c>
      <c r="H81" s="87" t="s">
        <v>169</v>
      </c>
    </row>
    <row r="82" spans="1:8" s="4" customFormat="1">
      <c r="A82" s="32" t="s">
        <v>397</v>
      </c>
      <c r="B82" s="14" t="s">
        <v>92</v>
      </c>
      <c r="C82" s="4" t="s">
        <v>89</v>
      </c>
      <c r="D82" s="92" t="s">
        <v>164</v>
      </c>
      <c r="E82" s="17">
        <v>0.17361111111111113</v>
      </c>
      <c r="F82" s="17">
        <v>0.19444444444444448</v>
      </c>
      <c r="G82" s="83">
        <v>0.5</v>
      </c>
      <c r="H82" s="87" t="s">
        <v>170</v>
      </c>
    </row>
    <row r="83" spans="1:8" s="4" customFormat="1">
      <c r="A83" s="32" t="s">
        <v>396</v>
      </c>
      <c r="B83" s="14" t="s">
        <v>7</v>
      </c>
      <c r="C83" s="4" t="s">
        <v>89</v>
      </c>
      <c r="D83" s="92" t="s">
        <v>130</v>
      </c>
      <c r="E83" s="17">
        <v>0.60416666666666663</v>
      </c>
      <c r="F83" s="17">
        <v>0.625</v>
      </c>
      <c r="G83" s="83">
        <v>0.5</v>
      </c>
      <c r="H83" s="87" t="s">
        <v>174</v>
      </c>
    </row>
    <row r="84" spans="1:8" s="4" customFormat="1">
      <c r="A84" s="32" t="s">
        <v>395</v>
      </c>
      <c r="B84" s="14" t="s">
        <v>3</v>
      </c>
      <c r="C84" s="4" t="s">
        <v>171</v>
      </c>
      <c r="D84" s="92" t="s">
        <v>150</v>
      </c>
      <c r="E84" s="17">
        <v>0.375</v>
      </c>
      <c r="F84" s="17">
        <v>0.39930555555555558</v>
      </c>
      <c r="G84" s="83">
        <v>0.58333333333333337</v>
      </c>
      <c r="H84" s="87" t="s">
        <v>175</v>
      </c>
    </row>
    <row r="85" spans="1:8" s="4" customFormat="1">
      <c r="A85" s="32" t="s">
        <v>394</v>
      </c>
      <c r="B85" s="14" t="s">
        <v>92</v>
      </c>
      <c r="C85" s="4" t="s">
        <v>172</v>
      </c>
      <c r="D85" s="92" t="s">
        <v>173</v>
      </c>
      <c r="E85" s="17">
        <v>4.1666666666666664E-2</v>
      </c>
      <c r="F85" s="17">
        <v>5.2083333333333336E-2</v>
      </c>
      <c r="G85" s="83">
        <v>0.25</v>
      </c>
      <c r="H85" s="87" t="s">
        <v>176</v>
      </c>
    </row>
    <row r="86" spans="1:8" s="4" customFormat="1">
      <c r="A86" s="32" t="s">
        <v>393</v>
      </c>
      <c r="B86" s="14" t="s">
        <v>3</v>
      </c>
      <c r="C86" s="4" t="s">
        <v>89</v>
      </c>
      <c r="D86" s="92" t="s">
        <v>173</v>
      </c>
      <c r="E86" s="17">
        <v>0.47916666666666669</v>
      </c>
      <c r="F86" s="17">
        <v>0.48958333333333331</v>
      </c>
      <c r="G86" s="83">
        <v>0.25</v>
      </c>
      <c r="H86" s="87" t="s">
        <v>179</v>
      </c>
    </row>
    <row r="87" spans="1:8" s="4" customFormat="1">
      <c r="A87" s="32" t="s">
        <v>392</v>
      </c>
      <c r="B87" s="14" t="s">
        <v>3</v>
      </c>
      <c r="C87" s="4" t="s">
        <v>177</v>
      </c>
      <c r="D87" s="92" t="s">
        <v>178</v>
      </c>
      <c r="E87" s="17">
        <v>0.45833333333333331</v>
      </c>
      <c r="F87" s="17">
        <v>0.47916666666666669</v>
      </c>
      <c r="G87" s="83">
        <v>0.5</v>
      </c>
      <c r="H87" s="87" t="s">
        <v>180</v>
      </c>
    </row>
    <row r="88" spans="1:8" s="4" customFormat="1" ht="30">
      <c r="A88" s="32" t="s">
        <v>391</v>
      </c>
      <c r="B88" s="14" t="s">
        <v>3</v>
      </c>
      <c r="C88" s="4" t="s">
        <v>177</v>
      </c>
      <c r="D88" s="4" t="s">
        <v>178</v>
      </c>
      <c r="E88" s="17">
        <v>0.2638888888888889</v>
      </c>
      <c r="F88" s="17">
        <v>0.29166666666666669</v>
      </c>
      <c r="G88" s="83">
        <v>0.67</v>
      </c>
      <c r="H88" s="90" t="s">
        <v>181</v>
      </c>
    </row>
    <row r="89" spans="1:8" s="4" customFormat="1">
      <c r="A89" s="32" t="s">
        <v>390</v>
      </c>
      <c r="B89" s="14" t="s">
        <v>7</v>
      </c>
      <c r="C89" s="4" t="s">
        <v>89</v>
      </c>
      <c r="D89" s="4" t="s">
        <v>173</v>
      </c>
      <c r="E89" s="17">
        <v>0.80555555555555547</v>
      </c>
      <c r="F89" s="17">
        <v>0.81805555555555554</v>
      </c>
      <c r="G89" s="83">
        <v>0.3</v>
      </c>
      <c r="H89" s="87" t="s">
        <v>182</v>
      </c>
    </row>
    <row r="90" spans="1:8" s="4" customFormat="1">
      <c r="A90" s="32" t="s">
        <v>389</v>
      </c>
      <c r="B90" s="14" t="s">
        <v>7</v>
      </c>
      <c r="C90" s="4" t="s">
        <v>89</v>
      </c>
      <c r="D90" s="4" t="s">
        <v>130</v>
      </c>
      <c r="E90" s="17">
        <v>0.70833333333333337</v>
      </c>
      <c r="F90" s="17">
        <v>0.73611111111111116</v>
      </c>
      <c r="G90" s="83">
        <v>0.67</v>
      </c>
      <c r="H90" s="87" t="s">
        <v>183</v>
      </c>
    </row>
    <row r="91" spans="1:8" s="4" customFormat="1">
      <c r="A91" s="32" t="s">
        <v>388</v>
      </c>
      <c r="B91" s="14" t="s">
        <v>3</v>
      </c>
      <c r="C91" s="4" t="s">
        <v>89</v>
      </c>
      <c r="D91" s="4" t="s">
        <v>184</v>
      </c>
      <c r="E91" s="17">
        <v>0.25694444444444448</v>
      </c>
      <c r="F91" s="17">
        <v>0.2986111111111111</v>
      </c>
      <c r="G91" s="83">
        <v>1</v>
      </c>
      <c r="H91" s="87" t="s">
        <v>185</v>
      </c>
    </row>
    <row r="92" spans="1:8" s="4" customFormat="1">
      <c r="A92" s="32" t="s">
        <v>388</v>
      </c>
      <c r="B92" s="14" t="s">
        <v>7</v>
      </c>
      <c r="C92" s="4" t="s">
        <v>89</v>
      </c>
      <c r="D92" s="4" t="s">
        <v>186</v>
      </c>
      <c r="E92" s="17">
        <v>0.80555555555555547</v>
      </c>
      <c r="F92" s="17">
        <v>0.81944444444444453</v>
      </c>
      <c r="G92" s="83">
        <v>0.32</v>
      </c>
      <c r="H92" s="87" t="s">
        <v>187</v>
      </c>
    </row>
    <row r="93" spans="1:8" s="4" customFormat="1">
      <c r="A93" s="32" t="s">
        <v>387</v>
      </c>
      <c r="B93" s="14" t="s">
        <v>3</v>
      </c>
      <c r="C93" s="4" t="s">
        <v>89</v>
      </c>
      <c r="D93" s="4" t="s">
        <v>130</v>
      </c>
      <c r="E93" s="17">
        <v>0.35416666666666669</v>
      </c>
      <c r="F93" s="17">
        <v>0.38194444444444442</v>
      </c>
      <c r="G93" s="83">
        <f>40/60</f>
        <v>0.66666666666666663</v>
      </c>
      <c r="H93" s="87" t="s">
        <v>195</v>
      </c>
    </row>
    <row r="94" spans="1:8" s="4" customFormat="1">
      <c r="A94" s="32" t="s">
        <v>386</v>
      </c>
      <c r="B94" s="14" t="s">
        <v>7</v>
      </c>
      <c r="C94" s="4" t="s">
        <v>89</v>
      </c>
      <c r="D94" s="4" t="s">
        <v>130</v>
      </c>
      <c r="E94" s="17">
        <v>0.17361111111111113</v>
      </c>
      <c r="F94" s="17">
        <v>0.19097222222222221</v>
      </c>
      <c r="G94" s="83">
        <f>25/60</f>
        <v>0.41666666666666669</v>
      </c>
      <c r="H94" s="87" t="s">
        <v>196</v>
      </c>
    </row>
    <row r="95" spans="1:8" s="4" customFormat="1">
      <c r="A95" s="32" t="s">
        <v>385</v>
      </c>
      <c r="B95" s="14" t="s">
        <v>3</v>
      </c>
      <c r="C95" s="4" t="s">
        <v>89</v>
      </c>
      <c r="D95" s="4" t="s">
        <v>193</v>
      </c>
      <c r="E95" s="17">
        <v>0.45833333333333331</v>
      </c>
      <c r="F95" s="17">
        <v>0.49305555555555558</v>
      </c>
      <c r="G95" s="83">
        <f>50/60</f>
        <v>0.83333333333333337</v>
      </c>
      <c r="H95" s="87" t="s">
        <v>197</v>
      </c>
    </row>
    <row r="96" spans="1:8" s="4" customFormat="1">
      <c r="A96" s="32" t="s">
        <v>384</v>
      </c>
      <c r="B96" s="14" t="s">
        <v>3</v>
      </c>
      <c r="C96" s="4" t="s">
        <v>192</v>
      </c>
      <c r="D96" s="4" t="s">
        <v>178</v>
      </c>
      <c r="E96" s="17">
        <v>0.28125</v>
      </c>
      <c r="F96" s="17">
        <v>0.2986111111111111</v>
      </c>
      <c r="G96" s="83">
        <f>25/60</f>
        <v>0.41666666666666669</v>
      </c>
      <c r="H96" s="87" t="s">
        <v>198</v>
      </c>
    </row>
    <row r="97" spans="1:8" s="4" customFormat="1">
      <c r="A97" s="32" t="s">
        <v>384</v>
      </c>
      <c r="B97" s="14" t="s">
        <v>92</v>
      </c>
      <c r="C97" s="4" t="s">
        <v>89</v>
      </c>
      <c r="D97" s="4" t="s">
        <v>194</v>
      </c>
      <c r="E97" s="17">
        <v>0.95833333333333337</v>
      </c>
      <c r="F97" s="17">
        <v>0.97569444444444453</v>
      </c>
      <c r="G97" s="83">
        <f>25/60</f>
        <v>0.41666666666666669</v>
      </c>
      <c r="H97" s="87" t="s">
        <v>199</v>
      </c>
    </row>
    <row r="98" spans="1:8" s="4" customFormat="1">
      <c r="A98" s="32" t="s">
        <v>383</v>
      </c>
      <c r="B98" s="14" t="s">
        <v>3</v>
      </c>
      <c r="C98" s="4" t="s">
        <v>89</v>
      </c>
      <c r="D98" s="4" t="s">
        <v>151</v>
      </c>
      <c r="E98" s="17">
        <v>0.27430555555555552</v>
      </c>
      <c r="F98" s="17">
        <v>0.29166666666666669</v>
      </c>
      <c r="G98" s="83">
        <v>0.42</v>
      </c>
      <c r="H98" s="87" t="s">
        <v>204</v>
      </c>
    </row>
    <row r="99" spans="1:8" s="4" customFormat="1">
      <c r="A99" s="32" t="s">
        <v>382</v>
      </c>
      <c r="B99" s="14" t="s">
        <v>92</v>
      </c>
      <c r="C99" s="4" t="s">
        <v>89</v>
      </c>
      <c r="D99" s="4" t="s">
        <v>203</v>
      </c>
      <c r="E99" s="17">
        <v>0.16666666666666666</v>
      </c>
      <c r="F99" s="17">
        <v>0.25</v>
      </c>
      <c r="G99" s="83">
        <v>2</v>
      </c>
      <c r="H99" s="87" t="s">
        <v>205</v>
      </c>
    </row>
    <row r="100" spans="1:8" s="4" customFormat="1">
      <c r="A100" s="32" t="s">
        <v>381</v>
      </c>
      <c r="B100" s="14" t="s">
        <v>3</v>
      </c>
      <c r="C100" s="4" t="s">
        <v>89</v>
      </c>
      <c r="D100" s="4" t="s">
        <v>178</v>
      </c>
      <c r="E100" s="17">
        <v>0.5</v>
      </c>
      <c r="F100" s="17">
        <v>0.52777777777777779</v>
      </c>
      <c r="G100" s="83">
        <v>0.66666666666666663</v>
      </c>
      <c r="H100" s="87" t="s">
        <v>206</v>
      </c>
    </row>
    <row r="101" spans="1:8" s="4" customFormat="1">
      <c r="A101" s="32" t="s">
        <v>381</v>
      </c>
      <c r="B101" s="14" t="s">
        <v>92</v>
      </c>
      <c r="C101" s="4" t="s">
        <v>89</v>
      </c>
      <c r="D101" s="4" t="s">
        <v>151</v>
      </c>
      <c r="E101" s="17">
        <v>0.23611111111111113</v>
      </c>
      <c r="F101" s="17">
        <v>0.25</v>
      </c>
      <c r="G101" s="83">
        <v>0.33333333333333331</v>
      </c>
      <c r="H101" s="87" t="s">
        <v>207</v>
      </c>
    </row>
    <row r="102" spans="1:8" s="4" customFormat="1">
      <c r="A102" s="32" t="s">
        <v>380</v>
      </c>
      <c r="B102" s="14" t="s">
        <v>7</v>
      </c>
      <c r="C102" s="4" t="s">
        <v>89</v>
      </c>
      <c r="D102" s="4" t="s">
        <v>194</v>
      </c>
      <c r="E102" s="17">
        <v>0.84722222222222221</v>
      </c>
      <c r="F102" s="17">
        <v>0.875</v>
      </c>
      <c r="G102" s="83">
        <v>0.66666666666666663</v>
      </c>
      <c r="H102" s="87" t="s">
        <v>210</v>
      </c>
    </row>
    <row r="103" spans="1:8" s="4" customFormat="1">
      <c r="A103" s="32" t="s">
        <v>380</v>
      </c>
      <c r="B103" s="14" t="s">
        <v>7</v>
      </c>
      <c r="C103" s="4" t="s">
        <v>192</v>
      </c>
      <c r="D103" s="4" t="s">
        <v>209</v>
      </c>
      <c r="E103" s="17">
        <v>0.86805555555555547</v>
      </c>
      <c r="F103" s="17">
        <v>0.89583333333333337</v>
      </c>
      <c r="G103" s="83">
        <v>0.66666666666666663</v>
      </c>
      <c r="H103" s="87" t="s">
        <v>211</v>
      </c>
    </row>
    <row r="104" spans="1:8" s="4" customFormat="1">
      <c r="A104" s="32" t="s">
        <v>379</v>
      </c>
      <c r="B104" s="14" t="s">
        <v>3</v>
      </c>
      <c r="C104" s="4" t="s">
        <v>89</v>
      </c>
      <c r="D104" s="4" t="s">
        <v>119</v>
      </c>
      <c r="E104" s="17">
        <v>0.2638888888888889</v>
      </c>
      <c r="F104" s="17">
        <v>0.27777777777777779</v>
      </c>
      <c r="G104" s="83">
        <v>0.33333333333333331</v>
      </c>
      <c r="H104" s="87" t="s">
        <v>212</v>
      </c>
    </row>
    <row r="105" spans="1:8" s="4" customFormat="1">
      <c r="A105" s="32" t="s">
        <v>368</v>
      </c>
      <c r="B105" s="14" t="s">
        <v>7</v>
      </c>
      <c r="C105" s="4" t="s">
        <v>89</v>
      </c>
      <c r="D105" s="4" t="s">
        <v>151</v>
      </c>
      <c r="E105" s="17">
        <v>0.375</v>
      </c>
      <c r="F105" s="17">
        <v>0.3923611111111111</v>
      </c>
      <c r="G105" s="83">
        <v>0.41666666666666669</v>
      </c>
      <c r="H105" s="87" t="s">
        <v>213</v>
      </c>
    </row>
    <row r="106" spans="1:8" s="4" customFormat="1">
      <c r="A106" s="32" t="s">
        <v>378</v>
      </c>
      <c r="B106" s="14" t="s">
        <v>92</v>
      </c>
      <c r="C106" s="4" t="s">
        <v>89</v>
      </c>
      <c r="D106" s="4" t="s">
        <v>194</v>
      </c>
      <c r="E106" s="17">
        <v>0.22916666666666666</v>
      </c>
      <c r="F106" s="17">
        <v>0.23958333333333334</v>
      </c>
      <c r="G106" s="83">
        <v>0.25</v>
      </c>
      <c r="H106" s="87" t="s">
        <v>215</v>
      </c>
    </row>
    <row r="107" spans="1:8" s="4" customFormat="1">
      <c r="A107" s="32" t="s">
        <v>377</v>
      </c>
      <c r="B107" s="14" t="s">
        <v>3</v>
      </c>
      <c r="C107" s="4" t="s">
        <v>192</v>
      </c>
      <c r="D107" s="4" t="s">
        <v>218</v>
      </c>
      <c r="E107" s="17">
        <v>0.375</v>
      </c>
      <c r="F107" s="17">
        <v>0.39930555555555558</v>
      </c>
      <c r="G107" s="83">
        <v>0.58333333333333337</v>
      </c>
      <c r="H107" s="87" t="s">
        <v>219</v>
      </c>
    </row>
    <row r="108" spans="1:8" s="4" customFormat="1">
      <c r="A108" s="32" t="s">
        <v>377</v>
      </c>
      <c r="B108" s="14" t="s">
        <v>92</v>
      </c>
      <c r="C108" s="4" t="s">
        <v>89</v>
      </c>
      <c r="D108" s="4" t="s">
        <v>194</v>
      </c>
      <c r="E108" s="17">
        <v>0.16666666666666666</v>
      </c>
      <c r="F108" s="17">
        <v>0.20833333333333334</v>
      </c>
      <c r="G108" s="83">
        <v>1</v>
      </c>
      <c r="H108" s="87" t="s">
        <v>220</v>
      </c>
    </row>
    <row r="109" spans="1:8" s="4" customFormat="1">
      <c r="A109" s="32" t="s">
        <v>374</v>
      </c>
      <c r="B109" s="14" t="s">
        <v>3</v>
      </c>
      <c r="C109" s="4" t="s">
        <v>89</v>
      </c>
      <c r="D109" s="4" t="s">
        <v>133</v>
      </c>
      <c r="E109" s="17">
        <v>0.54166666666666663</v>
      </c>
      <c r="F109" s="17">
        <v>0.56597222222222221</v>
      </c>
      <c r="G109" s="83">
        <v>0.58333333333333337</v>
      </c>
      <c r="H109" s="87" t="s">
        <v>222</v>
      </c>
    </row>
    <row r="110" spans="1:8" s="4" customFormat="1">
      <c r="A110" s="32" t="s">
        <v>374</v>
      </c>
      <c r="B110" s="14" t="s">
        <v>3</v>
      </c>
      <c r="C110" s="4" t="s">
        <v>89</v>
      </c>
      <c r="D110" s="4" t="s">
        <v>194</v>
      </c>
      <c r="E110" s="17">
        <v>0.41666666666666669</v>
      </c>
      <c r="F110" s="17">
        <v>0.43402777777777773</v>
      </c>
      <c r="G110" s="83">
        <v>0.41666666666666669</v>
      </c>
      <c r="H110" s="87" t="s">
        <v>224</v>
      </c>
    </row>
    <row r="111" spans="1:8" s="4" customFormat="1">
      <c r="A111" s="32" t="s">
        <v>375</v>
      </c>
      <c r="B111" s="14" t="s">
        <v>92</v>
      </c>
      <c r="C111" s="4" t="s">
        <v>121</v>
      </c>
      <c r="D111" s="4" t="s">
        <v>228</v>
      </c>
      <c r="E111" s="17">
        <v>0</v>
      </c>
      <c r="F111" s="17">
        <v>1.3888888888888888E-2</v>
      </c>
      <c r="G111" s="83">
        <v>0.33333333333333331</v>
      </c>
      <c r="H111" s="87" t="s">
        <v>227</v>
      </c>
    </row>
    <row r="112" spans="1:8" s="4" customFormat="1">
      <c r="A112" s="32" t="s">
        <v>376</v>
      </c>
      <c r="B112" s="14" t="s">
        <v>3</v>
      </c>
      <c r="C112" s="4" t="s">
        <v>231</v>
      </c>
      <c r="D112" s="4" t="s">
        <v>232</v>
      </c>
      <c r="E112" s="17">
        <v>0.28125</v>
      </c>
      <c r="F112" s="17">
        <v>0.29166666666666669</v>
      </c>
      <c r="G112" s="83">
        <v>0.25</v>
      </c>
      <c r="H112" s="87" t="s">
        <v>233</v>
      </c>
    </row>
    <row r="113" spans="1:8" s="4" customFormat="1">
      <c r="A113" s="32" t="s">
        <v>373</v>
      </c>
      <c r="B113" s="14" t="s">
        <v>3</v>
      </c>
      <c r="C113" s="4" t="s">
        <v>234</v>
      </c>
      <c r="D113" s="4" t="s">
        <v>235</v>
      </c>
      <c r="E113" s="17">
        <v>0.63541666666666663</v>
      </c>
      <c r="F113" s="17">
        <v>0.67708333333333337</v>
      </c>
      <c r="G113" s="83">
        <v>1</v>
      </c>
      <c r="H113" s="87" t="s">
        <v>236</v>
      </c>
    </row>
    <row r="114" spans="1:8" s="4" customFormat="1">
      <c r="A114" s="32" t="s">
        <v>373</v>
      </c>
      <c r="B114" s="14" t="s">
        <v>92</v>
      </c>
      <c r="C114" s="4" t="s">
        <v>237</v>
      </c>
      <c r="D114" s="4" t="s">
        <v>238</v>
      </c>
      <c r="E114" s="17">
        <v>0.125</v>
      </c>
      <c r="F114" s="17">
        <v>0.15625</v>
      </c>
      <c r="G114" s="83">
        <v>0.75</v>
      </c>
      <c r="H114" s="87" t="s">
        <v>239</v>
      </c>
    </row>
    <row r="115" spans="1:8" s="4" customFormat="1">
      <c r="A115" s="32" t="s">
        <v>372</v>
      </c>
      <c r="B115" s="14" t="s">
        <v>92</v>
      </c>
      <c r="C115" s="4" t="s">
        <v>234</v>
      </c>
      <c r="D115" s="4" t="s">
        <v>241</v>
      </c>
      <c r="E115" s="17">
        <v>9.375E-2</v>
      </c>
      <c r="F115" s="17">
        <v>0.1111111111111111</v>
      </c>
      <c r="G115" s="83">
        <v>0.41666666666666669</v>
      </c>
      <c r="H115" s="87" t="s">
        <v>242</v>
      </c>
    </row>
    <row r="116" spans="1:8" s="4" customFormat="1">
      <c r="A116" s="32" t="s">
        <v>372</v>
      </c>
      <c r="B116" s="14" t="s">
        <v>3</v>
      </c>
      <c r="C116" s="4" t="s">
        <v>234</v>
      </c>
      <c r="D116" s="4" t="s">
        <v>194</v>
      </c>
      <c r="E116" s="17">
        <v>0.41666666666666669</v>
      </c>
      <c r="F116" s="17">
        <v>0.4375</v>
      </c>
      <c r="G116" s="83">
        <v>0.5</v>
      </c>
      <c r="H116" s="90" t="s">
        <v>243</v>
      </c>
    </row>
    <row r="117" spans="1:8" s="4" customFormat="1">
      <c r="A117" s="32" t="s">
        <v>371</v>
      </c>
      <c r="B117" s="14" t="s">
        <v>7</v>
      </c>
      <c r="C117" s="18" t="s">
        <v>89</v>
      </c>
      <c r="D117" s="11" t="s">
        <v>194</v>
      </c>
      <c r="E117" s="17">
        <v>0.39583333333333331</v>
      </c>
      <c r="F117" s="17">
        <v>0.40972222222222227</v>
      </c>
      <c r="G117" s="83">
        <v>0.33333333333333331</v>
      </c>
      <c r="H117" s="90" t="s">
        <v>251</v>
      </c>
    </row>
    <row r="118" spans="1:8" s="4" customFormat="1">
      <c r="A118" s="32" t="s">
        <v>371</v>
      </c>
      <c r="B118" s="14" t="s">
        <v>92</v>
      </c>
      <c r="C118" s="4" t="s">
        <v>177</v>
      </c>
      <c r="D118" s="4" t="s">
        <v>248</v>
      </c>
      <c r="E118" s="17">
        <v>8.3333333333333329E-2</v>
      </c>
      <c r="F118" s="17">
        <v>0.10069444444444443</v>
      </c>
      <c r="G118" s="83">
        <v>0.41666666666666669</v>
      </c>
      <c r="H118" s="90" t="s">
        <v>252</v>
      </c>
    </row>
    <row r="119" spans="1:8" s="4" customFormat="1">
      <c r="A119" s="32" t="s">
        <v>370</v>
      </c>
      <c r="B119" s="14" t="s">
        <v>92</v>
      </c>
      <c r="C119" s="4" t="s">
        <v>171</v>
      </c>
      <c r="D119" s="4" t="s">
        <v>249</v>
      </c>
      <c r="E119" s="17">
        <v>0.125</v>
      </c>
      <c r="F119" s="17">
        <v>0.13541666666666666</v>
      </c>
      <c r="G119" s="83">
        <v>0.25</v>
      </c>
      <c r="H119" s="90" t="s">
        <v>253</v>
      </c>
    </row>
    <row r="120" spans="1:8" s="4" customFormat="1">
      <c r="A120" s="32" t="s">
        <v>369</v>
      </c>
      <c r="B120" s="14" t="s">
        <v>3</v>
      </c>
      <c r="C120" s="18" t="s">
        <v>89</v>
      </c>
      <c r="D120" s="4" t="s">
        <v>250</v>
      </c>
      <c r="E120" s="17">
        <v>0.29166666666666669</v>
      </c>
      <c r="F120" s="17">
        <v>0.30902777777777779</v>
      </c>
      <c r="G120" s="83">
        <v>0.41666666666666669</v>
      </c>
      <c r="H120" s="90" t="s">
        <v>254</v>
      </c>
    </row>
    <row r="121" spans="1:8" s="4" customFormat="1">
      <c r="A121" s="32" t="s">
        <v>368</v>
      </c>
      <c r="B121" s="14" t="s">
        <v>7</v>
      </c>
      <c r="C121" s="18" t="s">
        <v>89</v>
      </c>
      <c r="D121" s="4" t="s">
        <v>194</v>
      </c>
      <c r="E121" s="17">
        <v>0.14583333333333334</v>
      </c>
      <c r="F121" s="17">
        <v>0.16666666666666666</v>
      </c>
      <c r="G121" s="83">
        <v>0.5</v>
      </c>
      <c r="H121" s="90" t="s">
        <v>255</v>
      </c>
    </row>
    <row r="122" spans="1:8" s="4" customFormat="1">
      <c r="A122" s="32" t="s">
        <v>366</v>
      </c>
      <c r="B122" s="14" t="s">
        <v>3</v>
      </c>
      <c r="C122" s="71" t="s">
        <v>265</v>
      </c>
      <c r="D122" s="4" t="s">
        <v>262</v>
      </c>
      <c r="E122" s="17">
        <v>0.25694444444444448</v>
      </c>
      <c r="F122" s="17">
        <v>0.2673611111111111</v>
      </c>
      <c r="G122" s="83">
        <v>0.25</v>
      </c>
      <c r="H122" s="90" t="s">
        <v>261</v>
      </c>
    </row>
    <row r="123" spans="1:8" s="4" customFormat="1">
      <c r="A123" s="32" t="s">
        <v>366</v>
      </c>
      <c r="B123" s="14" t="s">
        <v>3</v>
      </c>
      <c r="C123" s="71" t="s">
        <v>237</v>
      </c>
      <c r="D123" s="4" t="s">
        <v>263</v>
      </c>
      <c r="E123" s="17">
        <v>0.28472222222222221</v>
      </c>
      <c r="F123" s="17">
        <v>0.2951388888888889</v>
      </c>
      <c r="G123" s="83">
        <v>0.25</v>
      </c>
      <c r="H123" s="90" t="s">
        <v>264</v>
      </c>
    </row>
    <row r="124" spans="1:8" s="4" customFormat="1">
      <c r="A124" s="32" t="s">
        <v>367</v>
      </c>
      <c r="B124" s="14" t="s">
        <v>3</v>
      </c>
      <c r="C124" s="71" t="s">
        <v>234</v>
      </c>
      <c r="D124" s="4" t="s">
        <v>266</v>
      </c>
      <c r="E124" s="17">
        <v>0.38611111111111113</v>
      </c>
      <c r="F124" s="17">
        <v>0.42777777777777781</v>
      </c>
      <c r="G124" s="83">
        <v>1</v>
      </c>
      <c r="H124" s="90" t="s">
        <v>267</v>
      </c>
    </row>
    <row r="125" spans="1:8" s="4" customFormat="1">
      <c r="A125" s="32" t="s">
        <v>367</v>
      </c>
      <c r="B125" s="14" t="s">
        <v>3</v>
      </c>
      <c r="C125" s="71" t="s">
        <v>268</v>
      </c>
      <c r="D125" s="4" t="s">
        <v>263</v>
      </c>
      <c r="E125" s="17">
        <v>0.25694444444444448</v>
      </c>
      <c r="F125" s="17">
        <v>0.2638888888888889</v>
      </c>
      <c r="G125" s="83">
        <f>10/60</f>
        <v>0.16666666666666666</v>
      </c>
      <c r="H125" s="90" t="s">
        <v>269</v>
      </c>
    </row>
    <row r="126" spans="1:8" s="4" customFormat="1">
      <c r="A126" s="32" t="s">
        <v>409</v>
      </c>
      <c r="B126" s="14"/>
      <c r="C126" s="4" t="s">
        <v>407</v>
      </c>
      <c r="D126" s="4" t="s">
        <v>228</v>
      </c>
      <c r="E126" s="17">
        <v>0.625</v>
      </c>
      <c r="F126" s="17">
        <v>0.64583333333333337</v>
      </c>
      <c r="G126" s="83">
        <v>0.5</v>
      </c>
      <c r="H126" s="87" t="s">
        <v>271</v>
      </c>
    </row>
    <row r="127" spans="1:8" s="4" customFormat="1">
      <c r="A127" s="32" t="s">
        <v>410</v>
      </c>
      <c r="B127" s="14"/>
      <c r="C127" s="4" t="s">
        <v>408</v>
      </c>
      <c r="D127" s="4" t="s">
        <v>273</v>
      </c>
      <c r="E127" s="17">
        <v>0.83333333333333337</v>
      </c>
      <c r="F127" s="17">
        <v>0.875</v>
      </c>
      <c r="G127" s="83">
        <v>1</v>
      </c>
      <c r="H127" s="87" t="s">
        <v>274</v>
      </c>
    </row>
    <row r="128" spans="1:8" s="4" customFormat="1">
      <c r="A128" s="32" t="s">
        <v>410</v>
      </c>
      <c r="B128" s="14"/>
      <c r="C128" s="4" t="s">
        <v>268</v>
      </c>
      <c r="D128" s="4" t="s">
        <v>275</v>
      </c>
      <c r="E128" s="17">
        <v>0.875</v>
      </c>
      <c r="F128" s="17">
        <v>0.88541666666666663</v>
      </c>
      <c r="G128" s="83">
        <v>0.25</v>
      </c>
      <c r="H128" s="87" t="s">
        <v>276</v>
      </c>
    </row>
    <row r="129" spans="1:8" s="4" customFormat="1">
      <c r="A129" s="32" t="s">
        <v>410</v>
      </c>
      <c r="B129" s="14"/>
      <c r="C129" s="4" t="s">
        <v>301</v>
      </c>
      <c r="D129" s="4" t="s">
        <v>277</v>
      </c>
      <c r="E129" s="17">
        <v>0.45833333333333331</v>
      </c>
      <c r="F129" s="17">
        <v>0.47569444444444442</v>
      </c>
      <c r="G129" s="83">
        <f>25/60</f>
        <v>0.41666666666666669</v>
      </c>
      <c r="H129" s="87" t="s">
        <v>282</v>
      </c>
    </row>
    <row r="130" spans="1:8" s="4" customFormat="1">
      <c r="A130" s="32" t="s">
        <v>410</v>
      </c>
      <c r="B130" s="14"/>
      <c r="C130" s="4" t="s">
        <v>301</v>
      </c>
      <c r="D130" s="4" t="s">
        <v>278</v>
      </c>
      <c r="E130" s="17">
        <v>0.70138888888888884</v>
      </c>
      <c r="F130" s="17">
        <v>0.71180555555555547</v>
      </c>
      <c r="G130" s="83">
        <v>0.25</v>
      </c>
      <c r="H130" s="87" t="s">
        <v>276</v>
      </c>
    </row>
    <row r="131" spans="1:8" s="4" customFormat="1">
      <c r="A131" s="32" t="s">
        <v>411</v>
      </c>
      <c r="B131" s="14"/>
      <c r="C131" s="4" t="s">
        <v>292</v>
      </c>
      <c r="D131" s="4" t="s">
        <v>280</v>
      </c>
      <c r="E131" s="17">
        <v>0</v>
      </c>
      <c r="F131" s="17">
        <v>8.3333333333333329E-2</v>
      </c>
      <c r="G131" s="83">
        <v>2</v>
      </c>
      <c r="H131" s="87" t="s">
        <v>281</v>
      </c>
    </row>
    <row r="132" spans="1:8" s="4" customFormat="1">
      <c r="A132" s="32" t="s">
        <v>412</v>
      </c>
      <c r="B132" s="14"/>
      <c r="C132" s="4" t="s">
        <v>234</v>
      </c>
      <c r="D132" s="4" t="s">
        <v>284</v>
      </c>
      <c r="E132" s="17">
        <v>0.91666666666666663</v>
      </c>
      <c r="F132" s="17">
        <v>0.93402777777777779</v>
      </c>
      <c r="G132" s="83">
        <v>0.41666666666666669</v>
      </c>
      <c r="H132" s="87" t="s">
        <v>285</v>
      </c>
    </row>
    <row r="133" spans="1:8" s="4" customFormat="1">
      <c r="A133" s="32" t="s">
        <v>413</v>
      </c>
      <c r="B133" s="14"/>
      <c r="C133" s="4" t="s">
        <v>234</v>
      </c>
      <c r="D133" s="4" t="s">
        <v>286</v>
      </c>
      <c r="E133" s="17">
        <v>0.47916666666666669</v>
      </c>
      <c r="F133" s="17">
        <v>0.54166666666666663</v>
      </c>
      <c r="G133" s="83">
        <v>1.5</v>
      </c>
      <c r="H133" s="87" t="s">
        <v>287</v>
      </c>
    </row>
    <row r="134" spans="1:8" s="4" customFormat="1">
      <c r="A134" s="32" t="s">
        <v>414</v>
      </c>
      <c r="B134" s="14"/>
      <c r="C134" s="4" t="s">
        <v>234</v>
      </c>
      <c r="D134" s="4" t="s">
        <v>284</v>
      </c>
      <c r="E134" s="17">
        <v>0.91666666666666663</v>
      </c>
      <c r="F134" s="17">
        <v>0.95833333333333337</v>
      </c>
      <c r="G134" s="83">
        <v>1</v>
      </c>
      <c r="H134" s="87" t="s">
        <v>290</v>
      </c>
    </row>
    <row r="135" spans="1:8" s="4" customFormat="1">
      <c r="A135" s="32" t="s">
        <v>415</v>
      </c>
      <c r="B135" s="14"/>
      <c r="C135" s="4" t="s">
        <v>292</v>
      </c>
      <c r="D135" s="4" t="s">
        <v>293</v>
      </c>
      <c r="E135" s="17">
        <v>0.98958333333333337</v>
      </c>
      <c r="F135" s="17">
        <v>0</v>
      </c>
      <c r="G135" s="83">
        <v>0.25</v>
      </c>
      <c r="H135" s="87" t="s">
        <v>294</v>
      </c>
    </row>
    <row r="136" spans="1:8" s="4" customFormat="1">
      <c r="A136" s="32" t="s">
        <v>416</v>
      </c>
      <c r="B136" s="14"/>
      <c r="C136" s="4" t="s">
        <v>234</v>
      </c>
      <c r="D136" s="4" t="s">
        <v>235</v>
      </c>
      <c r="E136" s="17">
        <v>0.27083333333333331</v>
      </c>
      <c r="F136" s="17">
        <v>0.28472222222222221</v>
      </c>
      <c r="G136" s="83">
        <v>0.33333333333333331</v>
      </c>
      <c r="H136" s="87" t="s">
        <v>296</v>
      </c>
    </row>
    <row r="137" spans="1:8" s="4" customFormat="1">
      <c r="A137" s="32" t="s">
        <v>417</v>
      </c>
      <c r="B137" s="14"/>
      <c r="C137" s="4" t="s">
        <v>265</v>
      </c>
      <c r="D137" s="4" t="s">
        <v>298</v>
      </c>
      <c r="E137" s="17">
        <v>0.3263888888888889</v>
      </c>
      <c r="F137" s="17">
        <v>0.33680555555555558</v>
      </c>
      <c r="G137" s="83">
        <v>0.25</v>
      </c>
      <c r="H137" s="87" t="s">
        <v>304</v>
      </c>
    </row>
    <row r="138" spans="1:8" s="4" customFormat="1">
      <c r="A138" s="32" t="s">
        <v>417</v>
      </c>
      <c r="B138" s="14"/>
      <c r="C138" s="4" t="s">
        <v>234</v>
      </c>
      <c r="D138" s="4" t="s">
        <v>250</v>
      </c>
      <c r="E138" s="17">
        <v>0.98958333333333337</v>
      </c>
      <c r="F138" s="17">
        <v>0</v>
      </c>
      <c r="G138" s="83">
        <v>0.25</v>
      </c>
      <c r="H138" s="87" t="s">
        <v>299</v>
      </c>
    </row>
    <row r="139" spans="1:8" s="4" customFormat="1">
      <c r="A139" s="32" t="s">
        <v>417</v>
      </c>
      <c r="B139" s="14"/>
      <c r="C139" s="4" t="s">
        <v>268</v>
      </c>
      <c r="D139" s="4" t="s">
        <v>275</v>
      </c>
      <c r="E139" s="17">
        <v>8.3333333333333329E-2</v>
      </c>
      <c r="F139" s="17">
        <v>9.375E-2</v>
      </c>
      <c r="G139" s="83">
        <v>0.25</v>
      </c>
      <c r="H139" s="87" t="s">
        <v>300</v>
      </c>
    </row>
    <row r="140" spans="1:8" s="4" customFormat="1">
      <c r="A140" s="32" t="s">
        <v>416</v>
      </c>
      <c r="B140" s="14"/>
      <c r="C140" s="4" t="s">
        <v>301</v>
      </c>
      <c r="D140" s="4" t="s">
        <v>302</v>
      </c>
      <c r="E140" s="17">
        <v>0.91666666666666663</v>
      </c>
      <c r="F140" s="17">
        <v>0.95833333333333337</v>
      </c>
      <c r="G140" s="83">
        <v>1</v>
      </c>
      <c r="H140" s="87" t="s">
        <v>303</v>
      </c>
    </row>
    <row r="141" spans="1:8" s="4" customFormat="1">
      <c r="A141" s="32" t="s">
        <v>418</v>
      </c>
      <c r="B141" s="14"/>
      <c r="C141" s="4" t="s">
        <v>301</v>
      </c>
      <c r="D141" s="4" t="s">
        <v>278</v>
      </c>
      <c r="E141" s="17">
        <v>0.41666666666666669</v>
      </c>
      <c r="F141" s="17">
        <v>0.4236111111111111</v>
      </c>
      <c r="G141" s="83">
        <v>0.16666666666666666</v>
      </c>
      <c r="H141" s="87" t="s">
        <v>305</v>
      </c>
    </row>
    <row r="142" spans="1:8" s="4" customFormat="1">
      <c r="A142" s="32" t="s">
        <v>418</v>
      </c>
      <c r="B142" s="14"/>
      <c r="C142" s="4" t="s">
        <v>237</v>
      </c>
      <c r="D142" s="4" t="s">
        <v>306</v>
      </c>
      <c r="E142" s="17">
        <v>0.66666666666666663</v>
      </c>
      <c r="F142" s="17">
        <v>0.68055555555555547</v>
      </c>
      <c r="G142" s="83">
        <v>0.33333333333333331</v>
      </c>
      <c r="H142" s="87" t="s">
        <v>307</v>
      </c>
    </row>
    <row r="143" spans="1:8" s="4" customFormat="1">
      <c r="A143" s="32" t="s">
        <v>419</v>
      </c>
      <c r="B143" s="14"/>
      <c r="C143" s="4" t="s">
        <v>234</v>
      </c>
      <c r="D143" s="4" t="s">
        <v>308</v>
      </c>
      <c r="E143" s="17">
        <v>0.41666666666666669</v>
      </c>
      <c r="F143" s="17">
        <v>0.43055555555555558</v>
      </c>
      <c r="G143" s="83">
        <v>0.33333333333333331</v>
      </c>
      <c r="H143" s="87" t="s">
        <v>309</v>
      </c>
    </row>
    <row r="144" spans="1:8" s="4" customFormat="1">
      <c r="A144" s="32" t="s">
        <v>419</v>
      </c>
      <c r="B144" s="14"/>
      <c r="C144" s="4" t="s">
        <v>234</v>
      </c>
      <c r="D144" s="4" t="s">
        <v>310</v>
      </c>
      <c r="E144" s="17">
        <v>0.5</v>
      </c>
      <c r="F144" s="17">
        <v>0.51388888888888895</v>
      </c>
      <c r="G144" s="83">
        <v>0.33333333333333331</v>
      </c>
      <c r="H144" s="87" t="s">
        <v>311</v>
      </c>
    </row>
    <row r="145" spans="1:9" s="4" customFormat="1">
      <c r="A145" s="32" t="s">
        <v>419</v>
      </c>
      <c r="B145" s="14"/>
      <c r="C145" s="4" t="s">
        <v>234</v>
      </c>
      <c r="D145" s="4" t="s">
        <v>312</v>
      </c>
      <c r="E145" s="17">
        <v>0.63194444444444442</v>
      </c>
      <c r="F145" s="17">
        <v>0.65277777777777779</v>
      </c>
      <c r="G145" s="83">
        <v>0.5</v>
      </c>
      <c r="H145" s="87" t="s">
        <v>315</v>
      </c>
    </row>
    <row r="146" spans="1:9" s="4" customFormat="1">
      <c r="A146" s="32" t="s">
        <v>420</v>
      </c>
      <c r="B146" s="14"/>
      <c r="C146" s="4" t="s">
        <v>292</v>
      </c>
      <c r="D146" s="4" t="s">
        <v>313</v>
      </c>
      <c r="E146" s="17">
        <v>0.27083333333333331</v>
      </c>
      <c r="F146" s="17">
        <v>0.29166666666666669</v>
      </c>
      <c r="G146" s="83">
        <v>0.5</v>
      </c>
      <c r="H146" s="87" t="s">
        <v>314</v>
      </c>
    </row>
    <row r="147" spans="1:9" s="4" customFormat="1">
      <c r="A147" s="32" t="s">
        <v>421</v>
      </c>
      <c r="B147" s="14"/>
      <c r="C147" s="4" t="s">
        <v>234</v>
      </c>
      <c r="D147" s="4" t="s">
        <v>312</v>
      </c>
      <c r="E147" s="17">
        <v>0.27777777777777779</v>
      </c>
      <c r="F147" s="17">
        <v>0.2986111111111111</v>
      </c>
      <c r="G147" s="83">
        <v>0.5</v>
      </c>
      <c r="H147" s="87" t="s">
        <v>316</v>
      </c>
    </row>
    <row r="148" spans="1:9" s="4" customFormat="1">
      <c r="A148" s="32" t="s">
        <v>421</v>
      </c>
      <c r="B148" s="14"/>
      <c r="C148" s="4" t="s">
        <v>265</v>
      </c>
      <c r="D148" s="4" t="s">
        <v>51</v>
      </c>
      <c r="E148" s="17">
        <v>0.40625</v>
      </c>
      <c r="F148" s="17">
        <v>0.4236111111111111</v>
      </c>
      <c r="G148" s="83">
        <v>0.41666666666666669</v>
      </c>
      <c r="H148" s="87" t="s">
        <v>317</v>
      </c>
    </row>
    <row r="149" spans="1:9" s="4" customFormat="1">
      <c r="A149" s="32" t="s">
        <v>421</v>
      </c>
      <c r="B149" s="14"/>
      <c r="C149" s="4" t="s">
        <v>237</v>
      </c>
      <c r="D149" s="4" t="s">
        <v>318</v>
      </c>
      <c r="E149" s="17">
        <v>0.16666666666666666</v>
      </c>
      <c r="F149" s="17">
        <v>0.20833333333333334</v>
      </c>
      <c r="G149" s="83">
        <v>1</v>
      </c>
      <c r="H149" s="87" t="s">
        <v>319</v>
      </c>
    </row>
    <row r="150" spans="1:9" s="4" customFormat="1">
      <c r="A150" s="32" t="s">
        <v>421</v>
      </c>
      <c r="B150" s="14"/>
      <c r="C150" s="4" t="s">
        <v>301</v>
      </c>
      <c r="D150" s="4" t="s">
        <v>320</v>
      </c>
      <c r="E150" s="17">
        <v>0.1875</v>
      </c>
      <c r="F150" s="17">
        <v>0.20833333333333334</v>
      </c>
      <c r="G150" s="83">
        <v>0.5</v>
      </c>
      <c r="H150" s="87" t="s">
        <v>321</v>
      </c>
    </row>
    <row r="151" spans="1:9">
      <c r="A151" s="93"/>
      <c r="B151" s="43"/>
      <c r="C151" s="44"/>
      <c r="D151" s="44"/>
      <c r="E151" s="45"/>
      <c r="F151" s="45"/>
      <c r="G151" s="46"/>
      <c r="H151" s="94"/>
      <c r="I151" s="44"/>
    </row>
    <row r="152" spans="1:9">
      <c r="A152" s="33"/>
      <c r="B152" s="14"/>
      <c r="C152" s="4"/>
      <c r="D152" s="4"/>
      <c r="E152" s="17"/>
      <c r="F152" s="17"/>
      <c r="G152" s="16"/>
      <c r="H152" s="87"/>
      <c r="I152" s="4"/>
    </row>
    <row r="153" spans="1:9">
      <c r="A153" s="32"/>
      <c r="B153" s="14"/>
      <c r="C153" s="4"/>
      <c r="D153" s="4"/>
      <c r="E153" s="17"/>
      <c r="F153" s="17"/>
      <c r="G153" s="16"/>
      <c r="H153" s="87"/>
      <c r="I153" s="4"/>
    </row>
    <row r="154" spans="1:9">
      <c r="A154" s="32"/>
      <c r="B154" s="14"/>
      <c r="C154" s="4"/>
      <c r="D154" s="4"/>
      <c r="E154" s="17"/>
      <c r="F154" s="17"/>
      <c r="G154" s="16"/>
      <c r="H154" s="87"/>
      <c r="I154" s="4"/>
    </row>
    <row r="155" spans="1:9">
      <c r="A155" s="32"/>
      <c r="B155" s="14"/>
      <c r="C155" s="4"/>
      <c r="D155" s="4"/>
      <c r="E155" s="17"/>
      <c r="F155" s="17"/>
      <c r="G155" s="16"/>
      <c r="H155" s="87"/>
      <c r="I155" s="4"/>
    </row>
    <row r="156" spans="1:9">
      <c r="A156" s="32"/>
      <c r="B156" s="14"/>
      <c r="C156" s="4"/>
      <c r="D156" s="4"/>
      <c r="E156" s="17"/>
      <c r="F156" s="17"/>
      <c r="G156" s="16"/>
      <c r="H156" s="87"/>
      <c r="I156" s="4"/>
    </row>
    <row r="157" spans="1:9">
      <c r="A157" s="32"/>
      <c r="B157" s="14"/>
      <c r="C157" s="4"/>
      <c r="D157" s="4"/>
      <c r="E157" s="17"/>
      <c r="F157" s="17"/>
      <c r="G157" s="16"/>
      <c r="H157" s="87"/>
      <c r="I157" s="4"/>
    </row>
    <row r="158" spans="1:9">
      <c r="A158" s="32"/>
      <c r="B158" s="14"/>
      <c r="C158" s="4"/>
      <c r="D158" s="4"/>
      <c r="E158" s="17"/>
      <c r="F158" s="17"/>
      <c r="G158" s="16"/>
      <c r="H158" s="87"/>
      <c r="I158" s="4"/>
    </row>
    <row r="159" spans="1:9">
      <c r="A159" s="33"/>
      <c r="B159" s="14"/>
      <c r="C159" s="4"/>
      <c r="D159" s="4"/>
      <c r="E159" s="17"/>
      <c r="F159" s="17"/>
      <c r="G159" s="16"/>
      <c r="H159" s="87"/>
      <c r="I159" s="4"/>
    </row>
    <row r="160" spans="1:9">
      <c r="A160" s="32"/>
      <c r="B160" s="14"/>
      <c r="C160" s="4"/>
      <c r="D160" s="4"/>
      <c r="E160" s="17"/>
      <c r="F160" s="17"/>
      <c r="G160" s="16"/>
      <c r="H160" s="87"/>
      <c r="I160" s="4"/>
    </row>
    <row r="161" spans="1:9">
      <c r="A161" s="32"/>
      <c r="B161" s="14"/>
      <c r="C161" s="4"/>
      <c r="D161" s="4"/>
      <c r="E161" s="17"/>
      <c r="F161" s="17"/>
      <c r="G161" s="16"/>
      <c r="H161" s="87"/>
      <c r="I161" s="4"/>
    </row>
    <row r="162" spans="1:9">
      <c r="A162" s="32"/>
      <c r="B162" s="14"/>
      <c r="C162" s="4"/>
      <c r="D162" s="4"/>
      <c r="E162" s="17"/>
      <c r="F162" s="17"/>
      <c r="G162" s="16"/>
      <c r="H162" s="87"/>
      <c r="I162" s="4"/>
    </row>
    <row r="163" spans="1:9">
      <c r="A163" s="32"/>
      <c r="B163" s="14"/>
      <c r="C163" s="4"/>
      <c r="D163" s="4"/>
      <c r="E163" s="17"/>
      <c r="F163" s="17"/>
      <c r="G163" s="16"/>
      <c r="H163" s="87"/>
      <c r="I163" s="4"/>
    </row>
    <row r="164" spans="1:9">
      <c r="A164" s="32"/>
      <c r="B164" s="14"/>
      <c r="C164" s="4"/>
      <c r="D164" s="4"/>
      <c r="E164" s="17"/>
      <c r="F164" s="17"/>
      <c r="G164" s="16"/>
      <c r="H164" s="87"/>
      <c r="I164" s="4"/>
    </row>
    <row r="165" spans="1:9">
      <c r="A165" s="32"/>
      <c r="B165" s="14"/>
      <c r="C165" s="4"/>
      <c r="D165" s="4"/>
      <c r="E165" s="17"/>
      <c r="F165" s="17"/>
      <c r="G165" s="16"/>
      <c r="H165" s="87"/>
      <c r="I165" s="4"/>
    </row>
    <row r="166" spans="1:9">
      <c r="A166" s="33"/>
      <c r="B166" s="14"/>
      <c r="C166" s="4"/>
      <c r="D166" s="4"/>
      <c r="E166" s="17"/>
      <c r="F166" s="17"/>
      <c r="G166" s="16"/>
      <c r="H166" s="87"/>
      <c r="I166" s="4"/>
    </row>
    <row r="167" spans="1:9">
      <c r="A167" s="32"/>
      <c r="B167" s="14"/>
      <c r="C167" s="4"/>
      <c r="D167" s="4"/>
      <c r="E167" s="17"/>
      <c r="F167" s="17"/>
      <c r="G167" s="16"/>
      <c r="H167" s="87"/>
      <c r="I167" s="4"/>
    </row>
    <row r="168" spans="1:9">
      <c r="A168" s="32"/>
      <c r="B168" s="14"/>
      <c r="C168" s="4"/>
      <c r="D168" s="4"/>
      <c r="E168" s="17"/>
      <c r="F168" s="17"/>
      <c r="G168" s="16"/>
      <c r="H168" s="87"/>
      <c r="I168" s="4"/>
    </row>
    <row r="169" spans="1:9">
      <c r="A169" s="32"/>
      <c r="B169" s="14"/>
      <c r="C169" s="4"/>
      <c r="D169" s="4"/>
      <c r="E169" s="17"/>
      <c r="F169" s="17"/>
      <c r="G169" s="16"/>
      <c r="H169" s="87"/>
      <c r="I169" s="4"/>
    </row>
    <row r="170" spans="1:9">
      <c r="A170" s="32"/>
      <c r="B170" s="14"/>
      <c r="C170" s="4"/>
      <c r="D170" s="4"/>
      <c r="E170" s="17"/>
      <c r="F170" s="17"/>
      <c r="G170" s="16"/>
      <c r="H170" s="87"/>
      <c r="I170" s="4"/>
    </row>
    <row r="171" spans="1:9">
      <c r="A171" s="32"/>
      <c r="B171" s="14"/>
      <c r="C171" s="4"/>
      <c r="D171" s="4"/>
      <c r="E171" s="17"/>
      <c r="F171" s="17"/>
      <c r="G171" s="16"/>
      <c r="H171" s="87"/>
      <c r="I171" s="4"/>
    </row>
    <row r="172" spans="1:9">
      <c r="A172" s="32"/>
      <c r="B172" s="14"/>
      <c r="C172" s="4"/>
      <c r="D172" s="4"/>
      <c r="E172" s="17"/>
      <c r="F172" s="17"/>
      <c r="G172" s="16"/>
      <c r="H172" s="87"/>
      <c r="I172" s="4"/>
    </row>
    <row r="173" spans="1:9">
      <c r="A173" s="33"/>
      <c r="B173" s="14"/>
      <c r="C173" s="4"/>
      <c r="D173" s="4"/>
      <c r="E173" s="17"/>
      <c r="F173" s="17"/>
      <c r="G173" s="16"/>
      <c r="H173" s="87"/>
      <c r="I173" s="4"/>
    </row>
    <row r="174" spans="1:9">
      <c r="A174" s="32"/>
      <c r="B174" s="14"/>
      <c r="C174" s="4"/>
      <c r="D174" s="4"/>
      <c r="E174" s="17"/>
      <c r="F174" s="17"/>
      <c r="G174" s="16"/>
      <c r="H174" s="87"/>
      <c r="I174" s="4"/>
    </row>
    <row r="175" spans="1:9">
      <c r="A175" s="32"/>
      <c r="B175" s="14"/>
      <c r="C175" s="4"/>
      <c r="D175" s="4"/>
      <c r="E175" s="17"/>
      <c r="F175" s="17"/>
      <c r="G175" s="16"/>
      <c r="H175" s="87"/>
      <c r="I175" s="4"/>
    </row>
    <row r="176" spans="1:9">
      <c r="A176" s="32"/>
      <c r="B176" s="14"/>
      <c r="C176" s="4"/>
      <c r="D176" s="4"/>
      <c r="E176" s="17"/>
      <c r="F176" s="17"/>
      <c r="G176" s="16"/>
      <c r="H176" s="87"/>
      <c r="I176" s="4"/>
    </row>
    <row r="177" spans="1:9">
      <c r="A177" s="32"/>
      <c r="B177" s="14"/>
      <c r="C177" s="4"/>
      <c r="D177" s="4"/>
      <c r="E177" s="17"/>
      <c r="F177" s="17"/>
      <c r="G177" s="16"/>
      <c r="H177" s="87"/>
      <c r="I177" s="4"/>
    </row>
    <row r="178" spans="1:9">
      <c r="A178" s="32"/>
      <c r="B178" s="14"/>
      <c r="C178" s="4"/>
      <c r="D178" s="4"/>
      <c r="E178" s="17"/>
      <c r="F178" s="17"/>
      <c r="G178" s="16"/>
      <c r="H178" s="87"/>
      <c r="I178" s="4"/>
    </row>
    <row r="179" spans="1:9">
      <c r="A179" s="32"/>
      <c r="B179" s="14"/>
      <c r="C179" s="4"/>
      <c r="D179" s="4"/>
      <c r="E179" s="17"/>
      <c r="F179" s="17"/>
      <c r="G179" s="16"/>
      <c r="H179" s="87"/>
      <c r="I179" s="4"/>
    </row>
    <row r="180" spans="1:9">
      <c r="A180" s="33"/>
      <c r="B180" s="14"/>
      <c r="C180" s="4"/>
      <c r="D180" s="4"/>
      <c r="E180" s="17"/>
      <c r="F180" s="17"/>
      <c r="G180" s="16"/>
      <c r="H180" s="87"/>
      <c r="I180" s="4"/>
    </row>
    <row r="181" spans="1:9">
      <c r="A181" s="32"/>
      <c r="B181" s="14"/>
      <c r="C181" s="4"/>
      <c r="D181" s="4"/>
      <c r="E181" s="17"/>
      <c r="F181" s="17"/>
      <c r="G181" s="16"/>
      <c r="H181" s="87"/>
      <c r="I181" s="4"/>
    </row>
    <row r="182" spans="1:9">
      <c r="A182" s="32"/>
      <c r="B182" s="14"/>
      <c r="C182" s="4"/>
      <c r="D182" s="4"/>
      <c r="E182" s="17"/>
      <c r="F182" s="17"/>
      <c r="G182" s="16"/>
      <c r="H182" s="87"/>
      <c r="I182" s="4"/>
    </row>
    <row r="183" spans="1:9">
      <c r="A183" s="32"/>
      <c r="B183" s="14"/>
      <c r="C183" s="4"/>
      <c r="D183" s="4"/>
      <c r="E183" s="17"/>
      <c r="F183" s="17"/>
      <c r="G183" s="16"/>
      <c r="H183" s="87"/>
      <c r="I183" s="4"/>
    </row>
    <row r="184" spans="1:9">
      <c r="A184" s="32"/>
      <c r="B184" s="14"/>
      <c r="C184" s="4"/>
      <c r="D184" s="4"/>
      <c r="E184" s="17"/>
      <c r="F184" s="17"/>
      <c r="G184" s="16"/>
      <c r="H184" s="87"/>
      <c r="I184" s="4"/>
    </row>
    <row r="185" spans="1:9">
      <c r="A185" s="32"/>
      <c r="B185" s="14"/>
      <c r="C185" s="4"/>
      <c r="D185" s="4"/>
      <c r="E185" s="17"/>
      <c r="F185" s="17"/>
      <c r="G185" s="16"/>
      <c r="H185" s="87"/>
      <c r="I185" s="4"/>
    </row>
    <row r="186" spans="1:9">
      <c r="A186" s="32"/>
      <c r="B186" s="14"/>
      <c r="C186" s="4"/>
      <c r="D186" s="4"/>
      <c r="E186" s="17"/>
      <c r="F186" s="17"/>
      <c r="G186" s="16"/>
      <c r="H186" s="87"/>
      <c r="I186" s="4"/>
    </row>
    <row r="187" spans="1:9">
      <c r="A187" s="33"/>
      <c r="B187" s="14"/>
      <c r="C187" s="4"/>
      <c r="D187" s="4"/>
      <c r="E187" s="17"/>
      <c r="F187" s="17"/>
      <c r="G187" s="16"/>
      <c r="H187" s="87"/>
      <c r="I187" s="4"/>
    </row>
    <row r="188" spans="1:9">
      <c r="A188" s="32"/>
      <c r="B188" s="14"/>
      <c r="C188" s="4"/>
      <c r="D188" s="4"/>
      <c r="E188" s="17"/>
      <c r="F188" s="17"/>
      <c r="G188" s="16"/>
      <c r="H188" s="87"/>
      <c r="I188" s="4"/>
    </row>
    <row r="189" spans="1:9">
      <c r="A189" s="32"/>
      <c r="B189" s="14"/>
      <c r="C189" s="4"/>
      <c r="D189" s="4"/>
      <c r="E189" s="17"/>
      <c r="F189" s="17"/>
      <c r="G189" s="16"/>
      <c r="H189" s="87"/>
      <c r="I189" s="4"/>
    </row>
    <row r="190" spans="1:9">
      <c r="A190" s="32"/>
      <c r="B190" s="14"/>
      <c r="C190" s="4"/>
      <c r="D190" s="4"/>
      <c r="E190" s="17"/>
      <c r="F190" s="17"/>
      <c r="G190" s="16"/>
      <c r="H190" s="87"/>
      <c r="I190" s="4"/>
    </row>
    <row r="191" spans="1:9">
      <c r="A191" s="32"/>
      <c r="B191" s="14"/>
      <c r="C191" s="4"/>
      <c r="D191" s="4"/>
      <c r="E191" s="17"/>
      <c r="F191" s="17"/>
      <c r="G191" s="16"/>
      <c r="H191" s="87"/>
      <c r="I191" s="4"/>
    </row>
    <row r="192" spans="1:9">
      <c r="A192" s="32"/>
      <c r="B192" s="14"/>
      <c r="C192" s="4"/>
      <c r="D192" s="4"/>
      <c r="E192" s="17"/>
      <c r="F192" s="17"/>
      <c r="G192" s="16"/>
      <c r="H192" s="87"/>
      <c r="I192" s="4"/>
    </row>
    <row r="193" spans="1:9">
      <c r="A193" s="32"/>
      <c r="B193" s="14"/>
      <c r="C193" s="4"/>
      <c r="D193" s="4"/>
      <c r="E193" s="17"/>
      <c r="F193" s="17"/>
      <c r="G193" s="16"/>
      <c r="H193" s="87"/>
      <c r="I193" s="4"/>
    </row>
    <row r="194" spans="1:9">
      <c r="A194" s="33"/>
      <c r="B194" s="14"/>
      <c r="C194" s="4"/>
      <c r="D194" s="4"/>
      <c r="E194" s="17"/>
      <c r="F194" s="17"/>
      <c r="G194" s="16"/>
      <c r="H194" s="87"/>
      <c r="I194" s="4"/>
    </row>
    <row r="195" spans="1:9">
      <c r="A195" s="32"/>
      <c r="B195" s="14"/>
      <c r="C195" s="4"/>
      <c r="D195" s="4"/>
      <c r="E195" s="17"/>
      <c r="F195" s="17"/>
      <c r="G195" s="16"/>
      <c r="H195" s="87"/>
      <c r="I195" s="4"/>
    </row>
    <row r="196" spans="1:9">
      <c r="A196" s="32"/>
      <c r="B196" s="14"/>
      <c r="C196" s="4"/>
      <c r="D196" s="4"/>
      <c r="E196" s="17"/>
      <c r="F196" s="17"/>
      <c r="G196" s="16"/>
      <c r="H196" s="87"/>
      <c r="I196" s="4"/>
    </row>
    <row r="197" spans="1:9">
      <c r="A197" s="32"/>
      <c r="B197" s="14"/>
      <c r="C197" s="4"/>
      <c r="D197" s="4"/>
      <c r="E197" s="17"/>
      <c r="F197" s="17"/>
      <c r="G197" s="16"/>
      <c r="H197" s="87"/>
      <c r="I197" s="4"/>
    </row>
    <row r="198" spans="1:9">
      <c r="A198" s="32"/>
      <c r="B198" s="14"/>
      <c r="C198" s="4"/>
      <c r="D198" s="4"/>
      <c r="E198" s="17"/>
      <c r="F198" s="17"/>
      <c r="G198" s="16"/>
      <c r="H198" s="87"/>
      <c r="I198" s="4"/>
    </row>
    <row r="199" spans="1:9">
      <c r="A199" s="32"/>
      <c r="B199" s="14"/>
      <c r="C199" s="4"/>
      <c r="D199" s="4"/>
      <c r="E199" s="17"/>
      <c r="F199" s="17"/>
      <c r="G199" s="16"/>
      <c r="H199" s="87"/>
      <c r="I199" s="4"/>
    </row>
    <row r="200" spans="1:9">
      <c r="A200" s="32"/>
      <c r="B200" s="14"/>
      <c r="C200" s="4"/>
      <c r="D200" s="4"/>
      <c r="E200" s="17"/>
      <c r="F200" s="17"/>
      <c r="G200" s="16"/>
      <c r="H200" s="87"/>
      <c r="I200" s="4"/>
    </row>
    <row r="201" spans="1:9">
      <c r="A201" s="33"/>
      <c r="B201" s="14"/>
      <c r="C201" s="4"/>
      <c r="D201" s="4"/>
      <c r="E201" s="17"/>
      <c r="F201" s="17"/>
      <c r="G201" s="16"/>
      <c r="H201" s="87"/>
      <c r="I201" s="4"/>
    </row>
    <row r="202" spans="1:9">
      <c r="A202" s="32"/>
      <c r="B202" s="14"/>
      <c r="C202" s="4"/>
      <c r="D202" s="4"/>
      <c r="E202" s="17"/>
      <c r="F202" s="17"/>
      <c r="G202" s="16"/>
      <c r="H202" s="87"/>
      <c r="I202" s="4"/>
    </row>
    <row r="203" spans="1:9">
      <c r="A203" s="32"/>
      <c r="B203" s="14"/>
      <c r="C203" s="4"/>
      <c r="D203" s="4"/>
      <c r="E203" s="17"/>
      <c r="F203" s="17"/>
      <c r="G203" s="16"/>
      <c r="H203" s="87"/>
      <c r="I203" s="4"/>
    </row>
    <row r="204" spans="1:9">
      <c r="A204" s="32"/>
      <c r="B204" s="14"/>
      <c r="C204" s="4"/>
      <c r="D204" s="4"/>
      <c r="E204" s="17"/>
      <c r="F204" s="17"/>
      <c r="G204" s="16"/>
      <c r="H204" s="87"/>
      <c r="I204" s="4"/>
    </row>
    <row r="205" spans="1:9">
      <c r="A205" s="32"/>
      <c r="B205" s="14"/>
      <c r="C205" s="4"/>
      <c r="D205" s="4"/>
      <c r="E205" s="17"/>
      <c r="F205" s="17"/>
      <c r="G205" s="16"/>
      <c r="H205" s="87"/>
      <c r="I205" s="4"/>
    </row>
    <row r="206" spans="1:9">
      <c r="A206" s="32"/>
      <c r="B206" s="14"/>
      <c r="C206" s="4"/>
      <c r="D206" s="4"/>
      <c r="E206" s="17"/>
      <c r="F206" s="17"/>
      <c r="G206" s="16"/>
      <c r="H206" s="87"/>
      <c r="I206" s="4"/>
    </row>
    <row r="207" spans="1:9">
      <c r="A207" s="32"/>
      <c r="B207" s="14"/>
      <c r="C207" s="4"/>
      <c r="D207" s="4"/>
      <c r="E207" s="17"/>
      <c r="F207" s="17"/>
      <c r="G207" s="16"/>
      <c r="H207" s="87"/>
      <c r="I207" s="4"/>
    </row>
    <row r="208" spans="1:9">
      <c r="A208" s="33"/>
      <c r="B208" s="14"/>
      <c r="C208" s="4"/>
      <c r="D208" s="4"/>
      <c r="E208" s="17"/>
      <c r="F208" s="17"/>
      <c r="G208" s="16"/>
      <c r="H208" s="87"/>
      <c r="I208" s="4"/>
    </row>
    <row r="209" spans="1:9">
      <c r="A209" s="32"/>
      <c r="B209" s="14"/>
      <c r="C209" s="4"/>
      <c r="D209" s="4"/>
      <c r="E209" s="17"/>
      <c r="F209" s="17"/>
      <c r="G209" s="16"/>
      <c r="H209" s="87"/>
      <c r="I209" s="4"/>
    </row>
    <row r="210" spans="1:9">
      <c r="A210" s="32"/>
      <c r="B210" s="14"/>
      <c r="C210" s="4"/>
      <c r="D210" s="4"/>
      <c r="E210" s="17"/>
      <c r="F210" s="17"/>
      <c r="G210" s="16"/>
      <c r="H210" s="87"/>
      <c r="I210" s="4"/>
    </row>
    <row r="211" spans="1:9">
      <c r="A211" s="32"/>
      <c r="B211" s="14"/>
      <c r="C211" s="4"/>
      <c r="D211" s="4"/>
      <c r="E211" s="17"/>
      <c r="F211" s="17"/>
      <c r="G211" s="16"/>
      <c r="H211" s="87"/>
      <c r="I211" s="4"/>
    </row>
    <row r="212" spans="1:9">
      <c r="A212" s="32"/>
      <c r="B212" s="14"/>
      <c r="C212" s="4"/>
      <c r="D212" s="4"/>
      <c r="E212" s="17"/>
      <c r="F212" s="17"/>
      <c r="G212" s="16"/>
      <c r="H212" s="87"/>
      <c r="I212" s="4"/>
    </row>
    <row r="213" spans="1:9">
      <c r="A213" s="32"/>
      <c r="B213" s="14"/>
      <c r="C213" s="4"/>
      <c r="D213" s="4"/>
      <c r="E213" s="17"/>
      <c r="F213" s="17"/>
      <c r="G213" s="16"/>
      <c r="H213" s="87"/>
      <c r="I213" s="4"/>
    </row>
    <row r="214" spans="1:9">
      <c r="A214" s="32"/>
      <c r="B214" s="14"/>
      <c r="C214" s="4"/>
      <c r="D214" s="4"/>
      <c r="E214" s="17"/>
      <c r="F214" s="17"/>
      <c r="G214" s="16"/>
      <c r="H214" s="87"/>
      <c r="I214" s="4"/>
    </row>
    <row r="215" spans="1:9">
      <c r="A215" s="33"/>
      <c r="B215" s="14"/>
      <c r="C215" s="4"/>
      <c r="D215" s="4"/>
      <c r="E215" s="17"/>
      <c r="F215" s="17"/>
      <c r="G215" s="16"/>
      <c r="H215" s="87"/>
      <c r="I215" s="4"/>
    </row>
    <row r="216" spans="1:9">
      <c r="A216" s="32"/>
      <c r="B216" s="14"/>
      <c r="C216" s="4"/>
      <c r="D216" s="4"/>
      <c r="E216" s="17"/>
      <c r="F216" s="17"/>
      <c r="G216" s="16"/>
      <c r="H216" s="87"/>
      <c r="I216" s="4"/>
    </row>
    <row r="217" spans="1:9">
      <c r="A217" s="32"/>
      <c r="B217" s="14"/>
      <c r="C217" s="4"/>
      <c r="D217" s="4"/>
      <c r="E217" s="17"/>
      <c r="F217" s="17"/>
      <c r="G217" s="16"/>
      <c r="H217" s="87"/>
      <c r="I217" s="4"/>
    </row>
    <row r="218" spans="1:9">
      <c r="A218" s="32"/>
      <c r="B218" s="14"/>
      <c r="C218" s="4"/>
      <c r="D218" s="4"/>
      <c r="E218" s="17"/>
      <c r="F218" s="17"/>
      <c r="G218" s="16"/>
      <c r="H218" s="87"/>
      <c r="I218" s="4"/>
    </row>
    <row r="219" spans="1:9">
      <c r="A219" s="32"/>
      <c r="B219" s="14"/>
      <c r="C219" s="4"/>
      <c r="D219" s="4"/>
      <c r="E219" s="17"/>
      <c r="F219" s="17"/>
      <c r="G219" s="16"/>
      <c r="H219" s="87"/>
      <c r="I219" s="4"/>
    </row>
    <row r="220" spans="1:9">
      <c r="A220" s="32"/>
      <c r="B220" s="14"/>
      <c r="C220" s="4"/>
      <c r="D220" s="4"/>
      <c r="E220" s="17"/>
      <c r="F220" s="17"/>
      <c r="G220" s="16"/>
      <c r="H220" s="87"/>
      <c r="I220" s="4"/>
    </row>
    <row r="221" spans="1:9">
      <c r="A221" s="32"/>
      <c r="B221" s="14"/>
      <c r="C221" s="4"/>
      <c r="D221" s="4"/>
      <c r="E221" s="17"/>
      <c r="F221" s="17"/>
      <c r="G221" s="16"/>
      <c r="H221" s="87"/>
      <c r="I221" s="4"/>
    </row>
    <row r="222" spans="1:9">
      <c r="A222" s="33"/>
      <c r="B222" s="14"/>
      <c r="C222" s="4"/>
      <c r="D222" s="4"/>
      <c r="E222" s="17"/>
      <c r="F222" s="17"/>
      <c r="G222" s="16"/>
      <c r="H222" s="87"/>
      <c r="I222" s="4"/>
    </row>
    <row r="223" spans="1:9">
      <c r="A223" s="32"/>
      <c r="B223" s="14"/>
      <c r="C223" s="4"/>
      <c r="D223" s="4"/>
      <c r="E223" s="17"/>
      <c r="F223" s="17"/>
      <c r="G223" s="16"/>
      <c r="H223" s="87"/>
      <c r="I223" s="4"/>
    </row>
    <row r="224" spans="1:9">
      <c r="A224" s="32"/>
      <c r="B224" s="14"/>
      <c r="C224" s="4"/>
      <c r="D224" s="4"/>
      <c r="E224" s="17"/>
      <c r="F224" s="17"/>
      <c r="G224" s="16"/>
      <c r="H224" s="87"/>
      <c r="I224" s="4"/>
    </row>
    <row r="225" spans="1:9">
      <c r="A225" s="32"/>
      <c r="B225" s="14"/>
      <c r="C225" s="4"/>
      <c r="D225" s="4"/>
      <c r="E225" s="17"/>
      <c r="F225" s="17"/>
      <c r="G225" s="16"/>
      <c r="H225" s="87"/>
      <c r="I225" s="4"/>
    </row>
    <row r="226" spans="1:9">
      <c r="A226" s="32"/>
      <c r="B226" s="14"/>
      <c r="C226" s="4"/>
      <c r="D226" s="4"/>
      <c r="E226" s="17"/>
      <c r="F226" s="17"/>
      <c r="G226" s="16"/>
      <c r="H226" s="87"/>
      <c r="I226" s="4"/>
    </row>
    <row r="227" spans="1:9">
      <c r="A227" s="32"/>
      <c r="B227" s="14"/>
      <c r="C227" s="4"/>
      <c r="D227" s="4"/>
      <c r="E227" s="17"/>
      <c r="F227" s="17"/>
      <c r="G227" s="16"/>
      <c r="H227" s="87"/>
      <c r="I227" s="4"/>
    </row>
    <row r="228" spans="1:9">
      <c r="A228" s="32"/>
      <c r="B228" s="14"/>
      <c r="C228" s="4"/>
      <c r="D228" s="4"/>
      <c r="E228" s="17"/>
      <c r="F228" s="17"/>
      <c r="G228" s="16"/>
      <c r="H228" s="87"/>
      <c r="I228" s="4"/>
    </row>
    <row r="229" spans="1:9">
      <c r="A229" s="33"/>
      <c r="B229" s="14"/>
      <c r="C229" s="4"/>
      <c r="D229" s="4"/>
      <c r="E229" s="17"/>
      <c r="F229" s="17"/>
      <c r="G229" s="16"/>
      <c r="H229" s="87"/>
      <c r="I229" s="4"/>
    </row>
    <row r="230" spans="1:9">
      <c r="A230" s="32"/>
      <c r="B230" s="14"/>
      <c r="C230" s="4"/>
      <c r="D230" s="4"/>
      <c r="E230" s="17"/>
      <c r="F230" s="17"/>
      <c r="G230" s="16"/>
      <c r="H230" s="87"/>
      <c r="I230" s="4"/>
    </row>
    <row r="231" spans="1:9">
      <c r="A231" s="32"/>
      <c r="B231" s="14"/>
      <c r="C231" s="4"/>
      <c r="D231" s="4"/>
      <c r="E231" s="17"/>
      <c r="F231" s="17"/>
      <c r="G231" s="16"/>
      <c r="H231" s="87"/>
      <c r="I231" s="4"/>
    </row>
    <row r="232" spans="1:9">
      <c r="A232" s="32"/>
      <c r="B232" s="14"/>
      <c r="C232" s="4"/>
      <c r="D232" s="4"/>
      <c r="E232" s="17"/>
      <c r="F232" s="17"/>
      <c r="G232" s="16"/>
      <c r="H232" s="87"/>
      <c r="I232" s="4"/>
    </row>
    <row r="233" spans="1:9">
      <c r="A233" s="32"/>
      <c r="B233" s="14"/>
      <c r="C233" s="4"/>
      <c r="D233" s="4"/>
      <c r="E233" s="17"/>
      <c r="F233" s="17"/>
      <c r="G233" s="16"/>
      <c r="H233" s="87"/>
      <c r="I233" s="4"/>
    </row>
    <row r="234" spans="1:9">
      <c r="A234" s="32"/>
      <c r="B234" s="14"/>
      <c r="C234" s="4"/>
      <c r="D234" s="4"/>
      <c r="E234" s="17"/>
      <c r="F234" s="17"/>
      <c r="G234" s="16"/>
      <c r="H234" s="87"/>
      <c r="I234" s="4"/>
    </row>
    <row r="235" spans="1:9">
      <c r="A235" s="32"/>
      <c r="B235" s="14"/>
      <c r="C235" s="4"/>
      <c r="D235" s="4"/>
      <c r="E235" s="17"/>
      <c r="F235" s="17"/>
      <c r="G235" s="16"/>
      <c r="H235" s="87"/>
      <c r="I235" s="4"/>
    </row>
    <row r="236" spans="1:9">
      <c r="A236" s="33"/>
      <c r="B236" s="14"/>
      <c r="C236" s="4"/>
      <c r="D236" s="4"/>
      <c r="E236" s="17"/>
      <c r="F236" s="17"/>
      <c r="G236" s="16"/>
      <c r="H236" s="87"/>
      <c r="I236" s="4"/>
    </row>
    <row r="237" spans="1:9">
      <c r="A237" s="32"/>
      <c r="B237" s="14"/>
      <c r="C237" s="4"/>
      <c r="D237" s="4"/>
      <c r="E237" s="17"/>
      <c r="F237" s="17"/>
      <c r="G237" s="16"/>
      <c r="H237" s="87"/>
      <c r="I237" s="4"/>
    </row>
    <row r="238" spans="1:9">
      <c r="A238" s="32"/>
      <c r="B238" s="14"/>
      <c r="C238" s="4"/>
      <c r="D238" s="4"/>
      <c r="E238" s="17"/>
      <c r="F238" s="17"/>
      <c r="G238" s="16"/>
      <c r="H238" s="87"/>
      <c r="I238" s="4"/>
    </row>
    <row r="239" spans="1:9">
      <c r="A239" s="32"/>
      <c r="B239" s="14"/>
      <c r="C239" s="4"/>
      <c r="D239" s="4"/>
      <c r="E239" s="17"/>
      <c r="F239" s="17"/>
      <c r="G239" s="16"/>
      <c r="H239" s="87"/>
      <c r="I239" s="4"/>
    </row>
    <row r="240" spans="1:9">
      <c r="A240" s="32"/>
      <c r="B240" s="14"/>
      <c r="C240" s="4"/>
      <c r="D240" s="4"/>
      <c r="E240" s="17"/>
      <c r="F240" s="17"/>
      <c r="G240" s="16"/>
      <c r="H240" s="87"/>
      <c r="I240" s="4"/>
    </row>
    <row r="241" spans="1:9">
      <c r="A241" s="32"/>
      <c r="B241" s="14"/>
      <c r="C241" s="4"/>
      <c r="D241" s="4"/>
      <c r="E241" s="17"/>
      <c r="F241" s="17"/>
      <c r="G241" s="16"/>
      <c r="H241" s="87"/>
      <c r="I241" s="4"/>
    </row>
    <row r="242" spans="1:9">
      <c r="A242" s="32"/>
      <c r="B242" s="14"/>
      <c r="C242" s="4"/>
      <c r="D242" s="4"/>
      <c r="E242" s="17"/>
      <c r="F242" s="17"/>
      <c r="G242" s="16"/>
      <c r="H242" s="87"/>
      <c r="I242" s="4"/>
    </row>
    <row r="243" spans="1:9">
      <c r="A243" s="33"/>
      <c r="B243" s="14"/>
      <c r="C243" s="4"/>
      <c r="D243" s="4"/>
      <c r="E243" s="17"/>
      <c r="F243" s="17"/>
      <c r="G243" s="16"/>
      <c r="H243" s="87"/>
      <c r="I243" s="4"/>
    </row>
    <row r="244" spans="1:9">
      <c r="A244" s="32"/>
      <c r="B244" s="14"/>
      <c r="C244" s="4"/>
      <c r="D244" s="4"/>
      <c r="E244" s="17"/>
      <c r="F244" s="17"/>
      <c r="G244" s="16"/>
      <c r="H244" s="87"/>
      <c r="I244" s="4"/>
    </row>
    <row r="245" spans="1:9">
      <c r="A245" s="32"/>
      <c r="B245" s="14"/>
      <c r="C245" s="4"/>
      <c r="D245" s="4"/>
      <c r="E245" s="17"/>
      <c r="F245" s="17"/>
      <c r="G245" s="16"/>
      <c r="H245" s="87"/>
      <c r="I245" s="4"/>
    </row>
    <row r="246" spans="1:9">
      <c r="A246" s="32"/>
      <c r="B246" s="14"/>
      <c r="C246" s="4"/>
      <c r="D246" s="4"/>
      <c r="E246" s="17"/>
      <c r="F246" s="17"/>
      <c r="G246" s="16"/>
      <c r="H246" s="87"/>
      <c r="I246" s="4"/>
    </row>
    <row r="247" spans="1:9">
      <c r="A247" s="32"/>
      <c r="B247" s="14"/>
      <c r="C247" s="4"/>
      <c r="D247" s="4"/>
      <c r="E247" s="17"/>
      <c r="F247" s="17"/>
      <c r="G247" s="16"/>
      <c r="H247" s="87"/>
      <c r="I247" s="4"/>
    </row>
    <row r="248" spans="1:9">
      <c r="A248" s="32"/>
      <c r="B248" s="14"/>
      <c r="C248" s="4"/>
      <c r="D248" s="4"/>
      <c r="E248" s="17"/>
      <c r="F248" s="17"/>
      <c r="G248" s="16"/>
      <c r="H248" s="87"/>
      <c r="I248" s="4"/>
    </row>
    <row r="249" spans="1:9">
      <c r="A249" s="32"/>
      <c r="B249" s="14"/>
      <c r="C249" s="4"/>
      <c r="D249" s="4"/>
      <c r="E249" s="17"/>
      <c r="F249" s="17"/>
      <c r="G249" s="16"/>
      <c r="H249" s="87"/>
      <c r="I249" s="4"/>
    </row>
    <row r="250" spans="1:9">
      <c r="A250" s="33"/>
      <c r="B250" s="14"/>
      <c r="C250" s="4"/>
      <c r="D250" s="4"/>
      <c r="E250" s="17"/>
      <c r="F250" s="17"/>
      <c r="G250" s="16"/>
      <c r="H250" s="87"/>
      <c r="I250" s="4"/>
    </row>
    <row r="251" spans="1:9">
      <c r="A251" s="32"/>
      <c r="B251" s="14"/>
      <c r="C251" s="4"/>
      <c r="D251" s="4"/>
      <c r="E251" s="17"/>
      <c r="F251" s="17"/>
      <c r="G251" s="16"/>
      <c r="H251" s="87"/>
      <c r="I251" s="4"/>
    </row>
    <row r="252" spans="1:9">
      <c r="A252" s="32"/>
      <c r="B252" s="14"/>
      <c r="C252" s="4"/>
      <c r="D252" s="4"/>
      <c r="E252" s="17"/>
      <c r="F252" s="17"/>
      <c r="G252" s="16"/>
      <c r="H252" s="87"/>
      <c r="I252" s="4"/>
    </row>
    <row r="253" spans="1:9">
      <c r="A253" s="32"/>
      <c r="B253" s="14"/>
      <c r="C253" s="4"/>
      <c r="D253" s="4"/>
      <c r="E253" s="17"/>
      <c r="F253" s="17"/>
      <c r="G253" s="16"/>
      <c r="H253" s="87"/>
      <c r="I253" s="4"/>
    </row>
    <row r="254" spans="1:9">
      <c r="A254" s="32"/>
      <c r="B254" s="14"/>
      <c r="C254" s="4"/>
      <c r="D254" s="4"/>
      <c r="E254" s="17"/>
      <c r="F254" s="17"/>
      <c r="G254" s="16"/>
      <c r="H254" s="87"/>
      <c r="I254" s="4"/>
    </row>
    <row r="255" spans="1:9">
      <c r="A255" s="32"/>
      <c r="B255" s="14"/>
      <c r="C255" s="4"/>
      <c r="D255" s="4"/>
      <c r="E255" s="17"/>
      <c r="F255" s="17"/>
      <c r="G255" s="16"/>
      <c r="H255" s="87"/>
      <c r="I255" s="4"/>
    </row>
    <row r="256" spans="1:9">
      <c r="A256" s="32"/>
      <c r="B256" s="14"/>
      <c r="C256" s="4"/>
      <c r="D256" s="4"/>
      <c r="E256" s="17"/>
      <c r="F256" s="17"/>
      <c r="G256" s="16"/>
      <c r="H256" s="87"/>
      <c r="I256" s="4"/>
    </row>
    <row r="257" spans="1:9">
      <c r="A257" s="33"/>
      <c r="B257" s="14"/>
      <c r="C257" s="4"/>
      <c r="D257" s="4"/>
      <c r="E257" s="17"/>
      <c r="F257" s="17"/>
      <c r="G257" s="16"/>
      <c r="H257" s="87"/>
      <c r="I257" s="4"/>
    </row>
    <row r="258" spans="1:9">
      <c r="A258" s="32"/>
      <c r="B258" s="14"/>
      <c r="C258" s="4"/>
      <c r="D258" s="4"/>
      <c r="E258" s="17"/>
      <c r="F258" s="17"/>
      <c r="G258" s="16"/>
      <c r="H258" s="87"/>
      <c r="I258" s="4"/>
    </row>
    <row r="259" spans="1:9">
      <c r="A259" s="32"/>
      <c r="B259" s="14"/>
      <c r="C259" s="4"/>
      <c r="D259" s="4"/>
      <c r="E259" s="17"/>
      <c r="F259" s="17"/>
      <c r="G259" s="16"/>
      <c r="H259" s="87"/>
      <c r="I259" s="4"/>
    </row>
    <row r="260" spans="1:9">
      <c r="A260" s="32"/>
      <c r="B260" s="14"/>
      <c r="C260" s="4"/>
      <c r="D260" s="4"/>
      <c r="E260" s="17"/>
      <c r="F260" s="17"/>
      <c r="G260" s="16"/>
      <c r="H260" s="87"/>
      <c r="I260" s="4"/>
    </row>
    <row r="261" spans="1:9">
      <c r="A261" s="32"/>
      <c r="B261" s="14"/>
      <c r="C261" s="4"/>
      <c r="D261" s="4"/>
      <c r="E261" s="17"/>
      <c r="F261" s="17"/>
      <c r="G261" s="16"/>
      <c r="H261" s="87"/>
      <c r="I261" s="4"/>
    </row>
    <row r="262" spans="1:9">
      <c r="A262" s="32"/>
      <c r="B262" s="14"/>
      <c r="C262" s="4"/>
      <c r="D262" s="4"/>
      <c r="E262" s="17"/>
      <c r="F262" s="17"/>
      <c r="G262" s="16"/>
      <c r="H262" s="87"/>
      <c r="I262" s="4"/>
    </row>
    <row r="263" spans="1:9">
      <c r="A263" s="32"/>
      <c r="B263" s="14"/>
      <c r="C263" s="4"/>
      <c r="D263" s="4"/>
      <c r="E263" s="17"/>
      <c r="F263" s="17"/>
      <c r="G263" s="16"/>
      <c r="H263" s="87"/>
      <c r="I263" s="4"/>
    </row>
    <row r="264" spans="1:9">
      <c r="A264" s="33"/>
      <c r="B264" s="14"/>
      <c r="C264" s="4"/>
      <c r="D264" s="4"/>
      <c r="E264" s="17"/>
      <c r="F264" s="17"/>
      <c r="G264" s="16"/>
      <c r="H264" s="87"/>
      <c r="I264" s="4"/>
    </row>
    <row r="265" spans="1:9">
      <c r="A265" s="32"/>
      <c r="B265" s="14"/>
      <c r="C265" s="4"/>
      <c r="D265" s="4"/>
      <c r="E265" s="17"/>
      <c r="F265" s="17"/>
      <c r="G265" s="16"/>
      <c r="H265" s="87"/>
      <c r="I265" s="4"/>
    </row>
    <row r="266" spans="1:9">
      <c r="A266" s="32"/>
      <c r="B266" s="14"/>
      <c r="C266" s="4"/>
      <c r="D266" s="4"/>
      <c r="E266" s="17"/>
      <c r="F266" s="17"/>
      <c r="G266" s="16"/>
      <c r="H266" s="87"/>
      <c r="I266" s="4"/>
    </row>
    <row r="267" spans="1:9">
      <c r="A267" s="32"/>
      <c r="B267" s="14"/>
      <c r="C267" s="4"/>
      <c r="D267" s="4"/>
      <c r="E267" s="17"/>
      <c r="F267" s="17"/>
      <c r="G267" s="16"/>
      <c r="H267" s="87"/>
      <c r="I267" s="4"/>
    </row>
    <row r="268" spans="1:9">
      <c r="A268" s="32"/>
      <c r="B268" s="14"/>
      <c r="C268" s="4"/>
      <c r="D268" s="4"/>
      <c r="E268" s="17"/>
      <c r="F268" s="17"/>
      <c r="G268" s="16"/>
      <c r="H268" s="87"/>
      <c r="I268" s="4"/>
    </row>
    <row r="269" spans="1:9">
      <c r="A269" s="32"/>
      <c r="B269" s="14"/>
      <c r="C269" s="4"/>
      <c r="D269" s="4"/>
      <c r="E269" s="17"/>
      <c r="F269" s="17"/>
      <c r="G269" s="16"/>
      <c r="H269" s="87"/>
      <c r="I269" s="4"/>
    </row>
    <row r="270" spans="1:9">
      <c r="A270" s="32"/>
      <c r="B270" s="14"/>
      <c r="C270" s="4"/>
      <c r="D270" s="4"/>
      <c r="E270" s="17"/>
      <c r="F270" s="17"/>
      <c r="G270" s="16"/>
      <c r="H270" s="87"/>
      <c r="I270" s="4"/>
    </row>
    <row r="271" spans="1:9">
      <c r="A271" s="33"/>
      <c r="B271" s="14"/>
      <c r="C271" s="4"/>
      <c r="D271" s="4"/>
      <c r="E271" s="17"/>
      <c r="F271" s="17"/>
      <c r="G271" s="16"/>
      <c r="H271" s="87"/>
      <c r="I271" s="4"/>
    </row>
    <row r="272" spans="1:9">
      <c r="A272" s="32"/>
      <c r="B272" s="14"/>
      <c r="C272" s="4"/>
      <c r="D272" s="4"/>
      <c r="E272" s="17"/>
      <c r="F272" s="17"/>
      <c r="G272" s="16"/>
      <c r="H272" s="87"/>
      <c r="I272" s="4"/>
    </row>
    <row r="273" spans="1:9">
      <c r="A273" s="32"/>
      <c r="B273" s="14"/>
      <c r="C273" s="4"/>
      <c r="D273" s="4"/>
      <c r="E273" s="17"/>
      <c r="F273" s="17"/>
      <c r="G273" s="16"/>
      <c r="H273" s="87"/>
      <c r="I273" s="4"/>
    </row>
    <row r="274" spans="1:9">
      <c r="A274" s="32"/>
      <c r="B274" s="14"/>
      <c r="C274" s="4"/>
      <c r="D274" s="4"/>
      <c r="E274" s="17"/>
      <c r="F274" s="17"/>
      <c r="G274" s="16"/>
      <c r="H274" s="87"/>
      <c r="I274" s="4"/>
    </row>
    <row r="275" spans="1:9">
      <c r="A275" s="32"/>
      <c r="B275" s="14"/>
      <c r="C275" s="4"/>
      <c r="D275" s="4"/>
      <c r="E275" s="17"/>
      <c r="F275" s="17"/>
      <c r="G275" s="16"/>
      <c r="H275" s="87"/>
      <c r="I275" s="4"/>
    </row>
    <row r="276" spans="1:9">
      <c r="A276" s="32"/>
      <c r="B276" s="14"/>
      <c r="C276" s="4"/>
      <c r="D276" s="4"/>
      <c r="E276" s="17"/>
      <c r="F276" s="17"/>
      <c r="G276" s="16"/>
      <c r="H276" s="87"/>
      <c r="I276" s="4"/>
    </row>
    <row r="277" spans="1:9">
      <c r="A277" s="32"/>
      <c r="B277" s="14"/>
      <c r="C277" s="4"/>
      <c r="D277" s="4"/>
      <c r="E277" s="17"/>
      <c r="F277" s="17"/>
      <c r="G277" s="16"/>
      <c r="H277" s="87"/>
      <c r="I277" s="4"/>
    </row>
    <row r="278" spans="1:9">
      <c r="A278" s="33"/>
      <c r="B278" s="14"/>
      <c r="C278" s="4"/>
      <c r="D278" s="4"/>
      <c r="E278" s="17"/>
      <c r="F278" s="17"/>
      <c r="G278" s="16"/>
      <c r="H278" s="87"/>
      <c r="I278" s="4"/>
    </row>
    <row r="279" spans="1:9">
      <c r="A279" s="32"/>
      <c r="B279" s="14"/>
      <c r="C279" s="4"/>
      <c r="D279" s="4"/>
      <c r="E279" s="17"/>
      <c r="F279" s="17"/>
      <c r="G279" s="16"/>
      <c r="H279" s="87"/>
      <c r="I279" s="4"/>
    </row>
    <row r="280" spans="1:9">
      <c r="A280" s="32"/>
      <c r="B280" s="14"/>
      <c r="C280" s="4"/>
      <c r="D280" s="4"/>
      <c r="E280" s="17"/>
      <c r="F280" s="17"/>
      <c r="G280" s="16"/>
      <c r="H280" s="87"/>
      <c r="I280" s="4"/>
    </row>
    <row r="281" spans="1:9">
      <c r="A281" s="32"/>
      <c r="B281" s="14"/>
      <c r="C281" s="4"/>
      <c r="D281" s="4"/>
      <c r="E281" s="17"/>
      <c r="F281" s="17"/>
      <c r="G281" s="16"/>
      <c r="H281" s="87"/>
      <c r="I281" s="4"/>
    </row>
    <row r="282" spans="1:9">
      <c r="A282" s="32"/>
      <c r="B282" s="14"/>
      <c r="C282" s="4"/>
      <c r="D282" s="4"/>
      <c r="E282" s="17"/>
      <c r="F282" s="17"/>
      <c r="G282" s="16"/>
      <c r="H282" s="87"/>
      <c r="I282" s="4"/>
    </row>
    <row r="283" spans="1:9">
      <c r="A283" s="32"/>
      <c r="B283" s="14"/>
      <c r="C283" s="4"/>
      <c r="D283" s="4"/>
      <c r="E283" s="17"/>
      <c r="F283" s="17"/>
      <c r="G283" s="16"/>
      <c r="H283" s="87"/>
      <c r="I283" s="4"/>
    </row>
    <row r="284" spans="1:9">
      <c r="A284" s="32"/>
      <c r="B284" s="14"/>
      <c r="C284" s="4"/>
      <c r="D284" s="4"/>
      <c r="E284" s="17"/>
      <c r="F284" s="17"/>
      <c r="G284" s="16"/>
      <c r="H284" s="87"/>
      <c r="I284" s="4"/>
    </row>
    <row r="285" spans="1:9">
      <c r="A285" s="33"/>
      <c r="B285" s="14"/>
      <c r="C285" s="4"/>
      <c r="D285" s="4"/>
      <c r="E285" s="17"/>
      <c r="F285" s="17"/>
      <c r="G285" s="16"/>
      <c r="H285" s="87"/>
      <c r="I285" s="4"/>
    </row>
    <row r="286" spans="1:9">
      <c r="A286" s="32"/>
      <c r="B286" s="14"/>
      <c r="C286" s="4"/>
      <c r="D286" s="4"/>
      <c r="E286" s="17"/>
      <c r="F286" s="17"/>
      <c r="G286" s="16"/>
      <c r="H286" s="87"/>
      <c r="I286" s="4"/>
    </row>
    <row r="287" spans="1:9">
      <c r="A287" s="32"/>
      <c r="B287" s="14"/>
      <c r="C287" s="4"/>
      <c r="D287" s="4"/>
      <c r="E287" s="17"/>
      <c r="F287" s="17"/>
      <c r="G287" s="16"/>
      <c r="H287" s="87"/>
      <c r="I287" s="4"/>
    </row>
    <row r="288" spans="1:9">
      <c r="A288" s="32"/>
      <c r="B288" s="14"/>
      <c r="C288" s="4"/>
      <c r="D288" s="4"/>
      <c r="E288" s="17"/>
      <c r="F288" s="17"/>
      <c r="G288" s="16"/>
      <c r="H288" s="87"/>
      <c r="I288" s="4"/>
    </row>
    <row r="289" spans="1:9">
      <c r="A289" s="32"/>
      <c r="B289" s="14"/>
      <c r="C289" s="4"/>
      <c r="D289" s="4"/>
      <c r="E289" s="17"/>
      <c r="F289" s="17"/>
      <c r="G289" s="16"/>
      <c r="H289" s="87"/>
      <c r="I289" s="4"/>
    </row>
    <row r="290" spans="1:9">
      <c r="A290" s="32"/>
      <c r="B290" s="14"/>
      <c r="C290" s="4"/>
      <c r="D290" s="4"/>
      <c r="E290" s="17"/>
      <c r="F290" s="17"/>
      <c r="G290" s="16"/>
      <c r="H290" s="87"/>
      <c r="I290" s="4"/>
    </row>
    <row r="291" spans="1:9">
      <c r="A291" s="32"/>
      <c r="B291" s="14"/>
      <c r="C291" s="4"/>
      <c r="D291" s="4"/>
      <c r="E291" s="17"/>
      <c r="F291" s="17"/>
      <c r="G291" s="16"/>
      <c r="H291" s="87"/>
      <c r="I291" s="4"/>
    </row>
    <row r="292" spans="1:9">
      <c r="A292" s="33"/>
      <c r="B292" s="14"/>
      <c r="C292" s="4"/>
      <c r="D292" s="4"/>
      <c r="E292" s="17"/>
      <c r="F292" s="17"/>
      <c r="G292" s="16"/>
      <c r="H292" s="87"/>
      <c r="I292" s="4"/>
    </row>
    <row r="293" spans="1:9">
      <c r="A293" s="32"/>
      <c r="B293" s="14"/>
      <c r="C293" s="4"/>
      <c r="D293" s="4"/>
      <c r="E293" s="17"/>
      <c r="F293" s="17"/>
      <c r="G293" s="16"/>
      <c r="H293" s="87"/>
      <c r="I293" s="4"/>
    </row>
    <row r="294" spans="1:9">
      <c r="A294" s="32"/>
      <c r="B294" s="14"/>
      <c r="C294" s="4"/>
      <c r="D294" s="4"/>
      <c r="E294" s="17"/>
      <c r="F294" s="17"/>
      <c r="G294" s="16"/>
      <c r="H294" s="87"/>
      <c r="I294" s="4"/>
    </row>
    <row r="295" spans="1:9">
      <c r="A295" s="32"/>
      <c r="B295" s="14"/>
      <c r="C295" s="4"/>
      <c r="D295" s="4"/>
      <c r="E295" s="17"/>
      <c r="F295" s="17"/>
      <c r="G295" s="16"/>
      <c r="H295" s="87"/>
      <c r="I295" s="4"/>
    </row>
    <row r="296" spans="1:9">
      <c r="A296" s="32"/>
      <c r="B296" s="14"/>
      <c r="C296" s="4"/>
      <c r="D296" s="4"/>
      <c r="E296" s="17"/>
      <c r="F296" s="17"/>
      <c r="G296" s="16"/>
      <c r="H296" s="87"/>
      <c r="I296" s="4"/>
    </row>
    <row r="297" spans="1:9">
      <c r="A297" s="32"/>
      <c r="B297" s="14"/>
      <c r="C297" s="4"/>
      <c r="D297" s="4"/>
      <c r="E297" s="17"/>
      <c r="F297" s="17"/>
      <c r="G297" s="16"/>
      <c r="H297" s="87"/>
      <c r="I297" s="4"/>
    </row>
    <row r="298" spans="1:9">
      <c r="A298" s="32"/>
      <c r="B298" s="14"/>
      <c r="C298" s="4"/>
      <c r="D298" s="4"/>
      <c r="E298" s="17"/>
      <c r="F298" s="17"/>
      <c r="G298" s="16"/>
      <c r="H298" s="87"/>
      <c r="I298" s="4"/>
    </row>
    <row r="299" spans="1:9">
      <c r="A299" s="33"/>
      <c r="B299" s="14"/>
      <c r="C299" s="4"/>
      <c r="D299" s="4"/>
      <c r="E299" s="17"/>
      <c r="F299" s="17"/>
      <c r="G299" s="16"/>
      <c r="H299" s="87"/>
      <c r="I299" s="4"/>
    </row>
    <row r="300" spans="1:9">
      <c r="A300" s="32"/>
      <c r="B300" s="14"/>
      <c r="C300" s="4"/>
      <c r="D300" s="4"/>
      <c r="E300" s="17"/>
      <c r="F300" s="17"/>
      <c r="G300" s="16"/>
      <c r="H300" s="87"/>
      <c r="I300" s="4"/>
    </row>
    <row r="301" spans="1:9">
      <c r="A301" s="32"/>
      <c r="B301" s="14"/>
      <c r="C301" s="4"/>
      <c r="D301" s="4"/>
      <c r="E301" s="17"/>
      <c r="F301" s="17"/>
      <c r="G301" s="16"/>
      <c r="H301" s="87"/>
      <c r="I301" s="4"/>
    </row>
    <row r="302" spans="1:9">
      <c r="A302" s="32"/>
      <c r="B302" s="14"/>
      <c r="C302" s="4"/>
      <c r="D302" s="4"/>
      <c r="E302" s="17"/>
      <c r="F302" s="17"/>
      <c r="G302" s="16"/>
      <c r="H302" s="87"/>
      <c r="I302" s="4"/>
    </row>
    <row r="303" spans="1:9">
      <c r="A303" s="32"/>
      <c r="B303" s="14"/>
      <c r="C303" s="4"/>
      <c r="D303" s="4"/>
      <c r="E303" s="17"/>
      <c r="F303" s="17"/>
      <c r="G303" s="16"/>
      <c r="H303" s="87"/>
      <c r="I303" s="4"/>
    </row>
    <row r="304" spans="1:9">
      <c r="A304" s="32"/>
      <c r="B304" s="14"/>
      <c r="C304" s="4"/>
      <c r="D304" s="4"/>
      <c r="E304" s="17"/>
      <c r="F304" s="17"/>
      <c r="G304" s="16"/>
      <c r="H304" s="87"/>
      <c r="I304" s="4"/>
    </row>
    <row r="305" spans="1:9">
      <c r="A305" s="32"/>
      <c r="B305" s="14"/>
      <c r="C305" s="4"/>
      <c r="D305" s="4"/>
      <c r="E305" s="17"/>
      <c r="F305" s="17"/>
      <c r="G305" s="16"/>
      <c r="H305" s="87"/>
      <c r="I305" s="4"/>
    </row>
    <row r="306" spans="1:9">
      <c r="A306" s="33"/>
      <c r="B306" s="14"/>
      <c r="C306" s="4"/>
      <c r="D306" s="4"/>
      <c r="E306" s="17"/>
      <c r="F306" s="17"/>
      <c r="G306" s="16"/>
      <c r="H306" s="87"/>
      <c r="I306" s="4"/>
    </row>
    <row r="307" spans="1:9">
      <c r="A307" s="32"/>
      <c r="B307" s="14"/>
      <c r="C307" s="4"/>
      <c r="D307" s="4"/>
      <c r="E307" s="17"/>
      <c r="F307" s="17"/>
      <c r="G307" s="16"/>
      <c r="H307" s="87"/>
      <c r="I307" s="4"/>
    </row>
    <row r="308" spans="1:9">
      <c r="A308" s="32"/>
      <c r="B308" s="14"/>
      <c r="C308" s="4"/>
      <c r="D308" s="4"/>
      <c r="E308" s="17"/>
      <c r="F308" s="17"/>
      <c r="G308" s="16"/>
      <c r="H308" s="87"/>
      <c r="I308" s="4"/>
    </row>
    <row r="309" spans="1:9">
      <c r="A309" s="32"/>
      <c r="B309" s="14"/>
      <c r="C309" s="4"/>
      <c r="D309" s="4"/>
      <c r="E309" s="17"/>
      <c r="F309" s="17"/>
      <c r="G309" s="16"/>
      <c r="H309" s="87"/>
      <c r="I309" s="4"/>
    </row>
    <row r="310" spans="1:9">
      <c r="A310" s="32"/>
      <c r="B310" s="14"/>
      <c r="C310" s="4"/>
      <c r="D310" s="4"/>
      <c r="E310" s="17"/>
      <c r="F310" s="17"/>
      <c r="G310" s="16"/>
      <c r="H310" s="87"/>
      <c r="I310" s="4"/>
    </row>
    <row r="311" spans="1:9">
      <c r="A311" s="32"/>
      <c r="B311" s="14"/>
      <c r="C311" s="4"/>
      <c r="D311" s="4"/>
      <c r="E311" s="17"/>
      <c r="F311" s="17"/>
      <c r="G311" s="16"/>
      <c r="H311" s="87"/>
      <c r="I311" s="4"/>
    </row>
    <row r="312" spans="1:9">
      <c r="A312" s="32"/>
      <c r="B312" s="14"/>
      <c r="C312" s="4"/>
      <c r="D312" s="4"/>
      <c r="E312" s="17"/>
      <c r="F312" s="17"/>
      <c r="G312" s="16"/>
      <c r="H312" s="87"/>
      <c r="I312" s="4"/>
    </row>
    <row r="313" spans="1:9">
      <c r="A313" s="33"/>
      <c r="B313" s="14"/>
      <c r="C313" s="4"/>
      <c r="D313" s="4"/>
      <c r="E313" s="17"/>
      <c r="F313" s="17"/>
      <c r="G313" s="16"/>
      <c r="H313" s="87"/>
      <c r="I313" s="4"/>
    </row>
    <row r="314" spans="1:9">
      <c r="A314" s="32"/>
      <c r="B314" s="14"/>
      <c r="C314" s="4"/>
      <c r="D314" s="4"/>
      <c r="E314" s="17"/>
      <c r="F314" s="17"/>
      <c r="G314" s="16"/>
      <c r="H314" s="87"/>
      <c r="I314" s="4"/>
    </row>
    <row r="315" spans="1:9">
      <c r="A315" s="32"/>
      <c r="B315" s="14"/>
      <c r="C315" s="4"/>
      <c r="D315" s="4"/>
      <c r="E315" s="17"/>
      <c r="F315" s="17"/>
      <c r="G315" s="16"/>
      <c r="H315" s="87"/>
      <c r="I315" s="4"/>
    </row>
    <row r="316" spans="1:9">
      <c r="A316" s="32"/>
      <c r="B316" s="14"/>
      <c r="C316" s="4"/>
      <c r="D316" s="4"/>
      <c r="E316" s="17"/>
      <c r="F316" s="17"/>
      <c r="G316" s="16"/>
      <c r="H316" s="87"/>
      <c r="I316" s="4"/>
    </row>
    <row r="317" spans="1:9">
      <c r="A317" s="32"/>
      <c r="B317" s="14"/>
      <c r="C317" s="4"/>
      <c r="D317" s="4"/>
      <c r="E317" s="17"/>
      <c r="F317" s="17"/>
      <c r="G317" s="16"/>
      <c r="H317" s="87"/>
      <c r="I317" s="4"/>
    </row>
    <row r="318" spans="1:9">
      <c r="A318" s="32"/>
      <c r="B318" s="14"/>
      <c r="C318" s="4"/>
      <c r="D318" s="4"/>
      <c r="E318" s="17"/>
      <c r="F318" s="17"/>
      <c r="G318" s="16"/>
      <c r="H318" s="87"/>
      <c r="I318" s="4"/>
    </row>
    <row r="319" spans="1:9">
      <c r="A319" s="32"/>
      <c r="B319" s="14"/>
      <c r="C319" s="4"/>
      <c r="D319" s="4"/>
      <c r="E319" s="17"/>
      <c r="F319" s="17"/>
      <c r="G319" s="16"/>
      <c r="H319" s="87"/>
      <c r="I319" s="4"/>
    </row>
    <row r="320" spans="1:9">
      <c r="A320" s="33"/>
      <c r="B320" s="14"/>
      <c r="C320" s="4"/>
      <c r="D320" s="4"/>
      <c r="E320" s="17"/>
      <c r="F320" s="17"/>
      <c r="G320" s="16"/>
      <c r="H320" s="87"/>
      <c r="I320" s="4"/>
    </row>
    <row r="321" spans="1:9">
      <c r="A321" s="32"/>
      <c r="B321" s="14"/>
      <c r="C321" s="4"/>
      <c r="D321" s="4"/>
      <c r="E321" s="17"/>
      <c r="F321" s="17"/>
      <c r="G321" s="16"/>
      <c r="H321" s="87"/>
      <c r="I321" s="4"/>
    </row>
    <row r="322" spans="1:9">
      <c r="A322" s="32"/>
      <c r="B322" s="14"/>
      <c r="C322" s="4"/>
      <c r="D322" s="4"/>
      <c r="E322" s="17"/>
      <c r="F322" s="17"/>
      <c r="G322" s="16"/>
      <c r="H322" s="87"/>
      <c r="I322" s="4"/>
    </row>
    <row r="323" spans="1:9">
      <c r="A323" s="32"/>
      <c r="B323" s="14"/>
      <c r="C323" s="4"/>
      <c r="D323" s="4"/>
      <c r="E323" s="17"/>
      <c r="F323" s="17"/>
      <c r="G323" s="16"/>
      <c r="H323" s="87"/>
      <c r="I323" s="4"/>
    </row>
    <row r="324" spans="1:9">
      <c r="A324" s="32"/>
      <c r="B324" s="14"/>
      <c r="C324" s="4"/>
      <c r="D324" s="4"/>
      <c r="E324" s="17"/>
      <c r="F324" s="17"/>
      <c r="G324" s="16"/>
      <c r="H324" s="87"/>
      <c r="I324" s="4"/>
    </row>
    <row r="325" spans="1:9">
      <c r="A325" s="32"/>
      <c r="B325" s="14"/>
      <c r="C325" s="4"/>
      <c r="D325" s="4"/>
      <c r="E325" s="17"/>
      <c r="F325" s="17"/>
      <c r="G325" s="16"/>
      <c r="H325" s="87"/>
      <c r="I325" s="4"/>
    </row>
    <row r="326" spans="1:9">
      <c r="A326" s="32"/>
      <c r="B326" s="14"/>
      <c r="C326" s="4"/>
      <c r="D326" s="4"/>
      <c r="E326" s="17"/>
      <c r="F326" s="17"/>
      <c r="G326" s="16"/>
      <c r="H326" s="87"/>
      <c r="I326" s="4"/>
    </row>
    <row r="327" spans="1:9">
      <c r="A327" s="33"/>
      <c r="B327" s="14"/>
      <c r="C327" s="4"/>
      <c r="D327" s="4"/>
      <c r="E327" s="17"/>
      <c r="F327" s="17"/>
      <c r="G327" s="16"/>
      <c r="H327" s="87"/>
      <c r="I327" s="4"/>
    </row>
    <row r="328" spans="1:9">
      <c r="A328" s="32"/>
      <c r="B328" s="14"/>
      <c r="C328" s="4"/>
      <c r="D328" s="4"/>
      <c r="E328" s="17"/>
      <c r="F328" s="17"/>
      <c r="G328" s="16"/>
      <c r="H328" s="87"/>
      <c r="I328" s="4"/>
    </row>
    <row r="329" spans="1:9">
      <c r="A329" s="32"/>
      <c r="B329" s="14"/>
      <c r="C329" s="4"/>
      <c r="D329" s="4"/>
      <c r="E329" s="17"/>
      <c r="F329" s="17"/>
      <c r="G329" s="16"/>
      <c r="H329" s="87"/>
      <c r="I329" s="4"/>
    </row>
    <row r="330" spans="1:9">
      <c r="A330" s="32"/>
      <c r="B330" s="14"/>
      <c r="C330" s="4"/>
      <c r="D330" s="4"/>
      <c r="E330" s="17"/>
      <c r="F330" s="17"/>
      <c r="G330" s="16"/>
      <c r="H330" s="87"/>
      <c r="I330" s="4"/>
    </row>
    <row r="331" spans="1:9">
      <c r="A331" s="32"/>
      <c r="B331" s="14"/>
      <c r="C331" s="4"/>
      <c r="D331" s="4"/>
      <c r="E331" s="17"/>
      <c r="F331" s="17"/>
      <c r="G331" s="16"/>
      <c r="H331" s="87"/>
      <c r="I331" s="4"/>
    </row>
    <row r="332" spans="1:9">
      <c r="A332" s="32"/>
      <c r="B332" s="14"/>
      <c r="C332" s="4"/>
      <c r="D332" s="4"/>
      <c r="E332" s="17"/>
      <c r="F332" s="17"/>
      <c r="G332" s="16"/>
      <c r="H332" s="87"/>
      <c r="I332" s="4"/>
    </row>
    <row r="333" spans="1:9">
      <c r="A333" s="32"/>
      <c r="B333" s="14"/>
      <c r="C333" s="4"/>
      <c r="D333" s="4"/>
      <c r="E333" s="17"/>
      <c r="F333" s="17"/>
      <c r="G333" s="16"/>
      <c r="H333" s="87"/>
      <c r="I333" s="4"/>
    </row>
    <row r="334" spans="1:9">
      <c r="A334" s="33"/>
      <c r="B334" s="14"/>
      <c r="C334" s="4"/>
      <c r="D334" s="4"/>
      <c r="E334" s="17"/>
      <c r="F334" s="17"/>
      <c r="G334" s="16"/>
      <c r="H334" s="87"/>
      <c r="I334" s="4"/>
    </row>
    <row r="335" spans="1:9">
      <c r="A335" s="32"/>
      <c r="B335" s="14"/>
      <c r="C335" s="4"/>
      <c r="D335" s="4"/>
      <c r="E335" s="17"/>
      <c r="F335" s="17"/>
      <c r="G335" s="16"/>
      <c r="H335" s="87"/>
      <c r="I335" s="4"/>
    </row>
    <row r="336" spans="1:9">
      <c r="A336" s="32"/>
      <c r="B336" s="14"/>
      <c r="C336" s="4"/>
      <c r="D336" s="4"/>
      <c r="E336" s="17"/>
      <c r="F336" s="17"/>
      <c r="G336" s="16"/>
      <c r="H336" s="87"/>
      <c r="I336" s="4"/>
    </row>
    <row r="337" spans="1:9">
      <c r="A337" s="32"/>
      <c r="B337" s="14"/>
      <c r="C337" s="4"/>
      <c r="D337" s="4"/>
      <c r="E337" s="17"/>
      <c r="F337" s="17"/>
      <c r="G337" s="16"/>
      <c r="H337" s="87"/>
      <c r="I337" s="4"/>
    </row>
    <row r="338" spans="1:9">
      <c r="A338" s="32"/>
      <c r="B338" s="14"/>
      <c r="C338" s="4"/>
      <c r="D338" s="4"/>
      <c r="E338" s="17"/>
      <c r="F338" s="17"/>
      <c r="G338" s="16"/>
      <c r="H338" s="87"/>
      <c r="I338" s="4"/>
    </row>
    <row r="339" spans="1:9">
      <c r="A339" s="32"/>
      <c r="B339" s="14"/>
      <c r="C339" s="4"/>
      <c r="D339" s="4"/>
      <c r="E339" s="17"/>
      <c r="F339" s="17"/>
      <c r="G339" s="16"/>
      <c r="H339" s="87"/>
      <c r="I339" s="4"/>
    </row>
    <row r="340" spans="1:9">
      <c r="A340" s="32"/>
      <c r="B340" s="14"/>
      <c r="C340" s="4"/>
      <c r="D340" s="4"/>
      <c r="E340" s="17"/>
      <c r="F340" s="17"/>
      <c r="G340" s="16"/>
      <c r="H340" s="87"/>
      <c r="I340" s="4"/>
    </row>
    <row r="341" spans="1:9">
      <c r="A341" s="33"/>
      <c r="B341" s="14"/>
      <c r="C341" s="4"/>
      <c r="D341" s="4"/>
      <c r="E341" s="17"/>
      <c r="F341" s="17"/>
      <c r="G341" s="16"/>
      <c r="H341" s="87"/>
      <c r="I341" s="4"/>
    </row>
    <row r="342" spans="1:9">
      <c r="A342" s="32"/>
      <c r="B342" s="14"/>
      <c r="C342" s="4"/>
      <c r="D342" s="4"/>
      <c r="E342" s="17"/>
      <c r="F342" s="17"/>
      <c r="G342" s="16"/>
      <c r="H342" s="87"/>
      <c r="I342" s="4"/>
    </row>
    <row r="343" spans="1:9">
      <c r="A343" s="32"/>
      <c r="B343" s="14"/>
      <c r="C343" s="4"/>
      <c r="D343" s="4"/>
      <c r="E343" s="17"/>
      <c r="F343" s="17"/>
      <c r="G343" s="16"/>
      <c r="H343" s="87"/>
      <c r="I343" s="4"/>
    </row>
    <row r="344" spans="1:9">
      <c r="A344" s="32"/>
      <c r="B344" s="14"/>
      <c r="C344" s="4"/>
      <c r="D344" s="4"/>
      <c r="E344" s="17"/>
      <c r="F344" s="17"/>
      <c r="G344" s="16"/>
      <c r="H344" s="87"/>
      <c r="I344" s="4"/>
    </row>
    <row r="345" spans="1:9">
      <c r="A345" s="32"/>
      <c r="B345" s="14"/>
      <c r="C345" s="4"/>
      <c r="D345" s="4"/>
      <c r="E345" s="17"/>
      <c r="F345" s="17"/>
      <c r="G345" s="16"/>
      <c r="H345" s="87"/>
      <c r="I345" s="4"/>
    </row>
    <row r="346" spans="1:9">
      <c r="A346" s="32"/>
      <c r="B346" s="14"/>
      <c r="C346" s="4"/>
      <c r="D346" s="4"/>
      <c r="E346" s="17"/>
      <c r="F346" s="17"/>
      <c r="G346" s="16"/>
      <c r="H346" s="87"/>
      <c r="I346" s="4"/>
    </row>
    <row r="347" spans="1:9">
      <c r="A347" s="32"/>
      <c r="B347" s="14"/>
      <c r="C347" s="4"/>
      <c r="D347" s="4"/>
      <c r="E347" s="17"/>
      <c r="F347" s="17"/>
      <c r="G347" s="16"/>
      <c r="H347" s="87"/>
      <c r="I347" s="4"/>
    </row>
    <row r="348" spans="1:9">
      <c r="A348" s="33"/>
      <c r="B348" s="14"/>
      <c r="C348" s="4"/>
      <c r="D348" s="4"/>
      <c r="E348" s="17"/>
      <c r="F348" s="17"/>
      <c r="G348" s="16"/>
      <c r="H348" s="87"/>
      <c r="I348" s="4"/>
    </row>
    <row r="349" spans="1:9">
      <c r="A349" s="32"/>
      <c r="B349" s="14"/>
      <c r="C349" s="4"/>
      <c r="D349" s="4"/>
      <c r="E349" s="17"/>
      <c r="F349" s="17"/>
      <c r="G349" s="16"/>
      <c r="H349" s="87"/>
      <c r="I349" s="4"/>
    </row>
    <row r="350" spans="1:9">
      <c r="A350" s="32"/>
      <c r="B350" s="14"/>
      <c r="C350" s="4"/>
      <c r="D350" s="4"/>
      <c r="E350" s="17"/>
      <c r="F350" s="17"/>
      <c r="G350" s="16"/>
      <c r="H350" s="87"/>
      <c r="I350" s="4"/>
    </row>
    <row r="351" spans="1:9">
      <c r="A351" s="32"/>
      <c r="B351" s="14"/>
      <c r="C351" s="4"/>
      <c r="D351" s="4"/>
      <c r="E351" s="17"/>
      <c r="F351" s="17"/>
      <c r="G351" s="16"/>
      <c r="H351" s="87"/>
      <c r="I351" s="4"/>
    </row>
    <row r="352" spans="1:9">
      <c r="A352" s="32"/>
      <c r="B352" s="14"/>
      <c r="C352" s="4"/>
      <c r="D352" s="4"/>
      <c r="E352" s="17"/>
      <c r="F352" s="17"/>
      <c r="G352" s="16"/>
      <c r="H352" s="87"/>
      <c r="I352" s="4"/>
    </row>
    <row r="353" spans="1:9">
      <c r="A353" s="32"/>
      <c r="B353" s="14"/>
      <c r="C353" s="4"/>
      <c r="D353" s="4"/>
      <c r="E353" s="17"/>
      <c r="F353" s="17"/>
      <c r="G353" s="16"/>
      <c r="H353" s="87"/>
      <c r="I353" s="4"/>
    </row>
    <row r="354" spans="1:9">
      <c r="A354" s="32"/>
      <c r="B354" s="14"/>
      <c r="C354" s="4"/>
      <c r="D354" s="4"/>
      <c r="E354" s="17"/>
      <c r="F354" s="17"/>
      <c r="G354" s="16"/>
      <c r="H354" s="87"/>
      <c r="I354" s="4"/>
    </row>
    <row r="355" spans="1:9">
      <c r="A355" s="33"/>
      <c r="B355" s="14"/>
      <c r="C355" s="4"/>
      <c r="D355" s="4"/>
      <c r="E355" s="17"/>
      <c r="F355" s="17"/>
      <c r="G355" s="16"/>
      <c r="H355" s="87"/>
      <c r="I355" s="4"/>
    </row>
    <row r="356" spans="1:9">
      <c r="A356" s="32"/>
      <c r="B356" s="14"/>
      <c r="C356" s="4"/>
      <c r="D356" s="4"/>
      <c r="E356" s="17"/>
      <c r="F356" s="17"/>
      <c r="G356" s="16"/>
      <c r="H356" s="87"/>
      <c r="I356" s="4"/>
    </row>
    <row r="357" spans="1:9">
      <c r="A357" s="32"/>
      <c r="B357" s="14"/>
      <c r="C357" s="4"/>
      <c r="D357" s="4"/>
      <c r="E357" s="17"/>
      <c r="F357" s="17"/>
      <c r="G357" s="16"/>
      <c r="H357" s="87"/>
      <c r="I357" s="4"/>
    </row>
    <row r="358" spans="1:9">
      <c r="A358" s="32"/>
      <c r="B358" s="14"/>
      <c r="C358" s="4"/>
      <c r="D358" s="4"/>
      <c r="E358" s="17"/>
      <c r="F358" s="17"/>
      <c r="G358" s="16"/>
      <c r="H358" s="87"/>
      <c r="I358" s="4"/>
    </row>
    <row r="359" spans="1:9">
      <c r="A359" s="32"/>
      <c r="B359" s="14"/>
      <c r="C359" s="4"/>
      <c r="D359" s="4"/>
      <c r="E359" s="17"/>
      <c r="F359" s="17"/>
      <c r="G359" s="16"/>
      <c r="H359" s="87"/>
      <c r="I359" s="4"/>
    </row>
    <row r="360" spans="1:9">
      <c r="A360" s="32"/>
      <c r="B360" s="14"/>
      <c r="C360" s="4"/>
      <c r="D360" s="4"/>
      <c r="E360" s="17"/>
      <c r="F360" s="17"/>
      <c r="G360" s="16"/>
      <c r="H360" s="87"/>
      <c r="I360" s="4"/>
    </row>
    <row r="361" spans="1:9">
      <c r="A361" s="32"/>
      <c r="B361" s="14"/>
      <c r="C361" s="4"/>
      <c r="D361" s="4"/>
      <c r="E361" s="17"/>
      <c r="F361" s="17"/>
      <c r="G361" s="16"/>
      <c r="H361" s="87"/>
      <c r="I361" s="4"/>
    </row>
    <row r="362" spans="1:9">
      <c r="A362" s="33"/>
      <c r="B362" s="14"/>
      <c r="C362" s="4"/>
      <c r="D362" s="4"/>
      <c r="E362" s="17"/>
      <c r="F362" s="17"/>
      <c r="G362" s="16"/>
      <c r="H362" s="87"/>
      <c r="I362" s="4"/>
    </row>
    <row r="363" spans="1:9">
      <c r="A363" s="32"/>
      <c r="B363" s="14"/>
      <c r="C363" s="4"/>
      <c r="D363" s="4"/>
      <c r="E363" s="17"/>
      <c r="F363" s="17"/>
      <c r="G363" s="16"/>
      <c r="H363" s="87"/>
      <c r="I363" s="4"/>
    </row>
    <row r="364" spans="1:9">
      <c r="A364" s="32"/>
      <c r="B364" s="14"/>
      <c r="C364" s="4"/>
      <c r="D364" s="4"/>
      <c r="E364" s="17"/>
      <c r="F364" s="17"/>
      <c r="G364" s="16"/>
      <c r="H364" s="87"/>
      <c r="I364" s="4"/>
    </row>
    <row r="365" spans="1:9">
      <c r="A365" s="32"/>
      <c r="B365" s="14"/>
      <c r="C365" s="4"/>
      <c r="D365" s="4"/>
      <c r="E365" s="17"/>
      <c r="F365" s="17"/>
      <c r="G365" s="16"/>
      <c r="H365" s="87"/>
      <c r="I365" s="4"/>
    </row>
    <row r="366" spans="1:9">
      <c r="A366" s="32"/>
      <c r="B366" s="14"/>
      <c r="C366" s="4"/>
      <c r="D366" s="4"/>
      <c r="E366" s="17"/>
      <c r="F366" s="17"/>
      <c r="G366" s="16"/>
      <c r="H366" s="87"/>
      <c r="I366" s="4"/>
    </row>
    <row r="367" spans="1:9">
      <c r="A367" s="32"/>
      <c r="B367" s="14"/>
      <c r="C367" s="4"/>
      <c r="D367" s="4"/>
      <c r="E367" s="17"/>
      <c r="F367" s="17"/>
      <c r="G367" s="16"/>
      <c r="H367" s="87"/>
      <c r="I367" s="4"/>
    </row>
    <row r="368" spans="1:9">
      <c r="A368" s="32"/>
      <c r="B368" s="14"/>
      <c r="C368" s="4"/>
      <c r="D368" s="4"/>
      <c r="E368" s="17"/>
      <c r="F368" s="17"/>
      <c r="G368" s="16"/>
      <c r="H368" s="87"/>
      <c r="I368" s="4"/>
    </row>
    <row r="369" spans="1:9">
      <c r="A369" s="33"/>
      <c r="B369" s="14"/>
      <c r="C369" s="4"/>
      <c r="D369" s="4"/>
      <c r="E369" s="17"/>
      <c r="F369" s="17"/>
      <c r="G369" s="16"/>
      <c r="H369" s="87"/>
      <c r="I369" s="4"/>
    </row>
    <row r="370" spans="1:9">
      <c r="A370" s="32"/>
      <c r="B370" s="14"/>
      <c r="C370" s="4"/>
      <c r="D370" s="4"/>
      <c r="E370" s="17"/>
      <c r="F370" s="17"/>
      <c r="G370" s="16"/>
      <c r="H370" s="87"/>
      <c r="I370" s="4"/>
    </row>
    <row r="371" spans="1:9">
      <c r="A371" s="32"/>
      <c r="B371" s="14"/>
      <c r="C371" s="4"/>
      <c r="D371" s="4"/>
      <c r="E371" s="17"/>
      <c r="F371" s="17"/>
      <c r="G371" s="16"/>
      <c r="H371" s="87"/>
      <c r="I371" s="4"/>
    </row>
    <row r="372" spans="1:9">
      <c r="A372" s="32"/>
      <c r="B372" s="14"/>
      <c r="C372" s="4"/>
      <c r="D372" s="4"/>
      <c r="E372" s="17"/>
      <c r="F372" s="17"/>
      <c r="G372" s="16"/>
      <c r="H372" s="87"/>
      <c r="I372" s="4"/>
    </row>
    <row r="373" spans="1:9">
      <c r="A373" s="32"/>
      <c r="B373" s="14"/>
      <c r="C373" s="4"/>
      <c r="D373" s="4"/>
      <c r="E373" s="17"/>
      <c r="F373" s="17"/>
      <c r="G373" s="16"/>
      <c r="H373" s="87"/>
      <c r="I373" s="4"/>
    </row>
    <row r="374" spans="1:9">
      <c r="A374" s="32"/>
      <c r="B374" s="14"/>
      <c r="C374" s="4"/>
      <c r="D374" s="4"/>
      <c r="E374" s="17"/>
      <c r="F374" s="17"/>
      <c r="G374" s="16"/>
      <c r="H374" s="87"/>
      <c r="I374" s="4"/>
    </row>
    <row r="375" spans="1:9">
      <c r="A375" s="32"/>
      <c r="B375" s="14"/>
      <c r="C375" s="4"/>
      <c r="D375" s="4"/>
      <c r="E375" s="17"/>
      <c r="F375" s="17"/>
      <c r="G375" s="16"/>
      <c r="H375" s="87"/>
      <c r="I375" s="4"/>
    </row>
    <row r="376" spans="1:9">
      <c r="A376" s="33"/>
      <c r="B376" s="14"/>
      <c r="C376" s="4"/>
      <c r="D376" s="4"/>
      <c r="E376" s="17"/>
      <c r="F376" s="17"/>
      <c r="G376" s="16"/>
      <c r="H376" s="87"/>
      <c r="I376" s="4"/>
    </row>
    <row r="377" spans="1:9">
      <c r="A377" s="32"/>
      <c r="B377" s="14"/>
      <c r="C377" s="4"/>
      <c r="D377" s="4"/>
      <c r="E377" s="17"/>
      <c r="F377" s="17"/>
      <c r="G377" s="16"/>
      <c r="H377" s="87"/>
      <c r="I377" s="4"/>
    </row>
    <row r="378" spans="1:9">
      <c r="A378" s="32"/>
      <c r="B378" s="14"/>
      <c r="C378" s="4"/>
      <c r="D378" s="4"/>
      <c r="E378" s="17"/>
      <c r="F378" s="17"/>
      <c r="G378" s="16"/>
      <c r="H378" s="87"/>
      <c r="I378" s="4"/>
    </row>
    <row r="379" spans="1:9">
      <c r="A379" s="32"/>
      <c r="B379" s="14"/>
      <c r="C379" s="4"/>
      <c r="D379" s="4"/>
      <c r="E379" s="17"/>
      <c r="F379" s="17"/>
      <c r="G379" s="16"/>
      <c r="H379" s="87"/>
      <c r="I379" s="4"/>
    </row>
    <row r="380" spans="1:9">
      <c r="A380" s="32"/>
      <c r="B380" s="14"/>
      <c r="C380" s="4"/>
      <c r="D380" s="4"/>
      <c r="E380" s="17"/>
      <c r="F380" s="17"/>
      <c r="G380" s="16"/>
      <c r="H380" s="87"/>
      <c r="I380" s="4"/>
    </row>
    <row r="381" spans="1:9">
      <c r="A381" s="32"/>
      <c r="B381" s="14"/>
      <c r="C381" s="4"/>
      <c r="D381" s="4"/>
      <c r="E381" s="17"/>
      <c r="F381" s="17"/>
      <c r="G381" s="16"/>
      <c r="H381" s="87"/>
      <c r="I381" s="4"/>
    </row>
    <row r="382" spans="1:9">
      <c r="A382" s="32"/>
      <c r="B382" s="14"/>
      <c r="C382" s="4"/>
      <c r="D382" s="4"/>
      <c r="E382" s="17"/>
      <c r="F382" s="17"/>
      <c r="G382" s="16"/>
      <c r="H382" s="87"/>
      <c r="I382" s="4"/>
    </row>
    <row r="383" spans="1:9">
      <c r="A383" s="33"/>
      <c r="B383" s="14"/>
      <c r="C383" s="4"/>
      <c r="D383" s="4"/>
      <c r="E383" s="17"/>
      <c r="F383" s="17"/>
      <c r="G383" s="16"/>
      <c r="H383" s="87"/>
      <c r="I383" s="4"/>
    </row>
    <row r="384" spans="1:9">
      <c r="A384" s="32"/>
      <c r="B384" s="14"/>
      <c r="C384" s="4"/>
      <c r="D384" s="4"/>
      <c r="E384" s="17"/>
      <c r="F384" s="17"/>
      <c r="G384" s="16"/>
      <c r="H384" s="87"/>
      <c r="I384" s="4"/>
    </row>
    <row r="385" spans="1:9">
      <c r="A385" s="32"/>
      <c r="B385" s="14"/>
      <c r="C385" s="4"/>
      <c r="D385" s="4"/>
      <c r="E385" s="17"/>
      <c r="F385" s="17"/>
      <c r="G385" s="16"/>
      <c r="H385" s="87"/>
      <c r="I385" s="4"/>
    </row>
    <row r="386" spans="1:9">
      <c r="A386" s="32"/>
      <c r="B386" s="14"/>
      <c r="C386" s="4"/>
      <c r="D386" s="4"/>
      <c r="E386" s="17"/>
      <c r="F386" s="17"/>
      <c r="G386" s="16"/>
      <c r="H386" s="87"/>
      <c r="I386" s="4"/>
    </row>
    <row r="387" spans="1:9">
      <c r="A387" s="32"/>
      <c r="B387" s="14"/>
      <c r="C387" s="4"/>
      <c r="D387" s="4"/>
      <c r="E387" s="17"/>
      <c r="F387" s="17"/>
      <c r="G387" s="16"/>
      <c r="H387" s="87"/>
      <c r="I387" s="4"/>
    </row>
    <row r="388" spans="1:9">
      <c r="A388" s="32"/>
      <c r="B388" s="14"/>
      <c r="C388" s="4"/>
      <c r="D388" s="4"/>
      <c r="E388" s="17"/>
      <c r="F388" s="17"/>
      <c r="G388" s="16"/>
      <c r="H388" s="87"/>
      <c r="I388" s="4"/>
    </row>
    <row r="389" spans="1:9">
      <c r="A389" s="32"/>
      <c r="B389" s="14"/>
      <c r="C389" s="4"/>
      <c r="D389" s="4"/>
      <c r="E389" s="17"/>
      <c r="F389" s="17"/>
      <c r="G389" s="16"/>
      <c r="H389" s="87"/>
      <c r="I389" s="4"/>
    </row>
    <row r="390" spans="1:9">
      <c r="A390" s="33"/>
      <c r="B390" s="14"/>
      <c r="C390" s="4"/>
      <c r="D390" s="4"/>
      <c r="E390" s="17"/>
      <c r="F390" s="17"/>
      <c r="G390" s="16"/>
      <c r="H390" s="87"/>
      <c r="I390" s="4"/>
    </row>
    <row r="391" spans="1:9">
      <c r="A391" s="32"/>
      <c r="B391" s="14"/>
      <c r="C391" s="4"/>
      <c r="D391" s="4"/>
      <c r="E391" s="17"/>
      <c r="F391" s="17"/>
      <c r="G391" s="16"/>
      <c r="H391" s="87"/>
      <c r="I391" s="4"/>
    </row>
    <row r="392" spans="1:9">
      <c r="A392" s="32"/>
      <c r="B392" s="14"/>
      <c r="C392" s="4"/>
      <c r="D392" s="4"/>
      <c r="E392" s="17"/>
      <c r="F392" s="17"/>
      <c r="G392" s="16"/>
      <c r="H392" s="87"/>
      <c r="I392" s="4"/>
    </row>
    <row r="393" spans="1:9">
      <c r="A393" s="32"/>
      <c r="B393" s="14"/>
      <c r="C393" s="4"/>
      <c r="D393" s="4"/>
      <c r="E393" s="17"/>
      <c r="F393" s="17"/>
      <c r="G393" s="16"/>
      <c r="H393" s="87"/>
      <c r="I393" s="4"/>
    </row>
    <row r="394" spans="1:9">
      <c r="A394" s="32"/>
      <c r="B394" s="14"/>
      <c r="C394" s="4"/>
      <c r="D394" s="4"/>
      <c r="E394" s="17"/>
      <c r="F394" s="17"/>
      <c r="G394" s="16"/>
      <c r="H394" s="87"/>
      <c r="I394" s="4"/>
    </row>
    <row r="395" spans="1:9">
      <c r="A395" s="32"/>
      <c r="B395" s="14"/>
      <c r="C395" s="4"/>
      <c r="D395" s="4"/>
      <c r="E395" s="17"/>
      <c r="F395" s="17"/>
      <c r="G395" s="16"/>
      <c r="H395" s="87"/>
      <c r="I395" s="4"/>
    </row>
    <row r="396" spans="1:9">
      <c r="A396" s="32"/>
      <c r="B396" s="14"/>
      <c r="C396" s="4"/>
      <c r="D396" s="4"/>
      <c r="E396" s="17"/>
      <c r="F396" s="17"/>
      <c r="G396" s="16"/>
      <c r="H396" s="87"/>
      <c r="I396" s="4"/>
    </row>
    <row r="397" spans="1:9">
      <c r="A397" s="33"/>
      <c r="B397" s="14"/>
      <c r="C397" s="4"/>
      <c r="D397" s="4"/>
      <c r="E397" s="17"/>
      <c r="F397" s="17"/>
      <c r="G397" s="16"/>
      <c r="H397" s="87"/>
      <c r="I397" s="4"/>
    </row>
    <row r="398" spans="1:9">
      <c r="A398" s="32"/>
      <c r="B398" s="14"/>
      <c r="C398" s="4"/>
      <c r="D398" s="4"/>
      <c r="E398" s="17"/>
      <c r="F398" s="17"/>
      <c r="G398" s="16"/>
      <c r="H398" s="87"/>
      <c r="I398" s="4"/>
    </row>
    <row r="399" spans="1:9">
      <c r="A399" s="32"/>
      <c r="B399" s="14"/>
      <c r="C399" s="4"/>
      <c r="D399" s="4"/>
      <c r="E399" s="17"/>
      <c r="F399" s="17"/>
      <c r="G399" s="16"/>
      <c r="H399" s="87"/>
      <c r="I399" s="4"/>
    </row>
    <row r="400" spans="1:9">
      <c r="A400" s="32"/>
      <c r="B400" s="14"/>
      <c r="C400" s="4"/>
      <c r="D400" s="4"/>
      <c r="E400" s="17"/>
      <c r="F400" s="17"/>
      <c r="G400" s="16"/>
      <c r="H400" s="87"/>
      <c r="I400" s="4"/>
    </row>
    <row r="401" spans="1:9">
      <c r="A401" s="32"/>
      <c r="B401" s="14"/>
      <c r="C401" s="4"/>
      <c r="D401" s="4"/>
      <c r="E401" s="17"/>
      <c r="F401" s="17"/>
      <c r="G401" s="16"/>
      <c r="H401" s="87"/>
      <c r="I401" s="4"/>
    </row>
    <row r="402" spans="1:9">
      <c r="A402" s="32"/>
      <c r="B402" s="14"/>
      <c r="C402" s="4"/>
      <c r="D402" s="4"/>
      <c r="E402" s="17"/>
      <c r="F402" s="17"/>
      <c r="G402" s="16"/>
      <c r="H402" s="87"/>
      <c r="I402" s="4"/>
    </row>
    <row r="403" spans="1:9">
      <c r="A403" s="32"/>
      <c r="B403" s="14"/>
      <c r="C403" s="4"/>
      <c r="D403" s="4"/>
      <c r="E403" s="17"/>
      <c r="F403" s="17"/>
      <c r="G403" s="16"/>
      <c r="H403" s="87"/>
      <c r="I403" s="4"/>
    </row>
    <row r="404" spans="1:9">
      <c r="A404" s="33"/>
      <c r="B404" s="14"/>
      <c r="C404" s="4"/>
      <c r="D404" s="4"/>
      <c r="E404" s="17"/>
      <c r="F404" s="17"/>
      <c r="G404" s="16"/>
      <c r="H404" s="87"/>
      <c r="I404" s="4"/>
    </row>
    <row r="405" spans="1:9">
      <c r="A405" s="32"/>
      <c r="B405" s="14"/>
      <c r="C405" s="4"/>
      <c r="D405" s="4"/>
      <c r="E405" s="17"/>
      <c r="F405" s="17"/>
      <c r="G405" s="16"/>
      <c r="H405" s="87"/>
      <c r="I405" s="4"/>
    </row>
    <row r="406" spans="1:9">
      <c r="A406" s="32"/>
      <c r="B406" s="14"/>
      <c r="C406" s="4"/>
      <c r="D406" s="4"/>
      <c r="E406" s="17"/>
      <c r="F406" s="17"/>
      <c r="G406" s="16"/>
      <c r="H406" s="87"/>
      <c r="I406" s="4"/>
    </row>
    <row r="407" spans="1:9">
      <c r="A407" s="32"/>
      <c r="B407" s="14"/>
      <c r="C407" s="4"/>
      <c r="D407" s="4"/>
      <c r="E407" s="17"/>
      <c r="F407" s="17"/>
      <c r="G407" s="16"/>
      <c r="H407" s="87"/>
      <c r="I407" s="4"/>
    </row>
    <row r="408" spans="1:9">
      <c r="A408" s="32"/>
      <c r="B408" s="14"/>
      <c r="C408" s="4"/>
      <c r="D408" s="4"/>
      <c r="E408" s="17"/>
      <c r="F408" s="17"/>
      <c r="G408" s="16"/>
      <c r="H408" s="87"/>
      <c r="I408" s="4"/>
    </row>
    <row r="409" spans="1:9">
      <c r="A409" s="32"/>
      <c r="B409" s="14"/>
      <c r="C409" s="4"/>
      <c r="D409" s="4"/>
      <c r="E409" s="17"/>
      <c r="F409" s="17"/>
      <c r="G409" s="16"/>
      <c r="H409" s="87"/>
      <c r="I409" s="4"/>
    </row>
    <row r="410" spans="1:9">
      <c r="A410" s="32"/>
      <c r="B410" s="14"/>
      <c r="C410" s="4"/>
      <c r="D410" s="4"/>
      <c r="E410" s="17"/>
      <c r="F410" s="17"/>
      <c r="G410" s="16"/>
      <c r="H410" s="87"/>
      <c r="I410" s="4"/>
    </row>
    <row r="411" spans="1:9">
      <c r="A411" s="33"/>
      <c r="B411" s="14"/>
      <c r="C411" s="4"/>
      <c r="D411" s="4"/>
      <c r="E411" s="17"/>
      <c r="F411" s="17"/>
      <c r="G411" s="16"/>
      <c r="H411" s="87"/>
      <c r="I411" s="4"/>
    </row>
    <row r="412" spans="1:9">
      <c r="A412" s="32"/>
      <c r="B412" s="14"/>
      <c r="C412" s="4"/>
      <c r="D412" s="4"/>
      <c r="E412" s="17"/>
      <c r="F412" s="17"/>
      <c r="G412" s="16"/>
      <c r="H412" s="87"/>
      <c r="I412" s="4"/>
    </row>
    <row r="413" spans="1:9">
      <c r="A413" s="32"/>
      <c r="B413" s="14"/>
      <c r="C413" s="4"/>
      <c r="D413" s="4"/>
      <c r="E413" s="17"/>
      <c r="F413" s="17"/>
      <c r="G413" s="16"/>
      <c r="H413" s="87"/>
      <c r="I413" s="4"/>
    </row>
    <row r="414" spans="1:9">
      <c r="A414" s="32"/>
      <c r="B414" s="14"/>
      <c r="C414" s="4"/>
      <c r="D414" s="4"/>
      <c r="E414" s="17"/>
      <c r="F414" s="17"/>
      <c r="G414" s="16"/>
      <c r="H414" s="87"/>
      <c r="I414" s="4"/>
    </row>
    <row r="415" spans="1:9">
      <c r="A415" s="32"/>
      <c r="B415" s="14"/>
      <c r="C415" s="4"/>
      <c r="D415" s="4"/>
      <c r="E415" s="17"/>
      <c r="F415" s="17"/>
      <c r="G415" s="16"/>
      <c r="H415" s="87"/>
      <c r="I415" s="4"/>
    </row>
    <row r="416" spans="1:9">
      <c r="A416" s="32"/>
      <c r="B416" s="14"/>
      <c r="C416" s="4"/>
      <c r="D416" s="4"/>
      <c r="E416" s="17"/>
      <c r="F416" s="17"/>
      <c r="G416" s="16"/>
      <c r="H416" s="87"/>
      <c r="I416" s="4"/>
    </row>
    <row r="417" spans="1:9">
      <c r="A417" s="32"/>
      <c r="B417" s="14"/>
      <c r="C417" s="4"/>
      <c r="D417" s="4"/>
      <c r="E417" s="17"/>
      <c r="F417" s="17"/>
      <c r="G417" s="16"/>
      <c r="H417" s="87"/>
      <c r="I417" s="4"/>
    </row>
    <row r="418" spans="1:9">
      <c r="A418" s="33"/>
      <c r="B418" s="14"/>
      <c r="C418" s="4"/>
      <c r="D418" s="4"/>
      <c r="E418" s="17"/>
      <c r="F418" s="17"/>
      <c r="G418" s="16"/>
      <c r="H418" s="87"/>
      <c r="I418" s="4"/>
    </row>
    <row r="419" spans="1:9">
      <c r="A419" s="32"/>
      <c r="B419" s="14"/>
      <c r="C419" s="4"/>
      <c r="D419" s="4"/>
      <c r="E419" s="17"/>
      <c r="F419" s="17"/>
      <c r="G419" s="16"/>
      <c r="H419" s="87"/>
      <c r="I419" s="4"/>
    </row>
    <row r="420" spans="1:9">
      <c r="A420" s="32"/>
      <c r="B420" s="14"/>
      <c r="C420" s="4"/>
      <c r="D420" s="4"/>
      <c r="E420" s="17"/>
      <c r="F420" s="17"/>
      <c r="G420" s="16"/>
      <c r="H420" s="87"/>
      <c r="I420" s="4"/>
    </row>
    <row r="421" spans="1:9">
      <c r="A421" s="32"/>
      <c r="B421" s="14"/>
      <c r="C421" s="4"/>
      <c r="D421" s="4"/>
      <c r="E421" s="17"/>
      <c r="F421" s="17"/>
      <c r="G421" s="16"/>
      <c r="H421" s="87"/>
      <c r="I421" s="4"/>
    </row>
    <row r="422" spans="1:9">
      <c r="A422" s="32"/>
      <c r="B422" s="14"/>
      <c r="C422" s="4"/>
      <c r="D422" s="4"/>
      <c r="E422" s="17"/>
      <c r="F422" s="17"/>
      <c r="G422" s="16"/>
      <c r="H422" s="87"/>
      <c r="I422" s="4"/>
    </row>
    <row r="423" spans="1:9">
      <c r="A423" s="32"/>
      <c r="B423" s="14"/>
      <c r="C423" s="4"/>
      <c r="D423" s="4"/>
      <c r="E423" s="17"/>
      <c r="F423" s="17"/>
      <c r="G423" s="16"/>
      <c r="H423" s="87"/>
      <c r="I423" s="4"/>
    </row>
    <row r="424" spans="1:9">
      <c r="A424" s="32"/>
      <c r="B424" s="14"/>
      <c r="C424" s="4"/>
      <c r="D424" s="4"/>
      <c r="E424" s="17"/>
      <c r="F424" s="17"/>
      <c r="G424" s="16"/>
      <c r="H424" s="87"/>
      <c r="I424" s="4"/>
    </row>
    <row r="425" spans="1:9">
      <c r="A425" s="33"/>
      <c r="B425" s="14"/>
      <c r="C425" s="4"/>
      <c r="D425" s="4"/>
      <c r="E425" s="17"/>
      <c r="F425" s="17"/>
      <c r="G425" s="16"/>
      <c r="H425" s="87"/>
      <c r="I425" s="4"/>
    </row>
    <row r="426" spans="1:9">
      <c r="A426" s="32"/>
      <c r="B426" s="14"/>
      <c r="C426" s="4"/>
      <c r="D426" s="4"/>
      <c r="E426" s="17"/>
      <c r="F426" s="17"/>
      <c r="G426" s="16"/>
      <c r="H426" s="87"/>
      <c r="I426" s="4"/>
    </row>
    <row r="427" spans="1:9">
      <c r="A427" s="32"/>
      <c r="B427" s="14"/>
      <c r="C427" s="4"/>
      <c r="D427" s="4"/>
      <c r="E427" s="17"/>
      <c r="F427" s="17"/>
      <c r="G427" s="16"/>
      <c r="H427" s="87"/>
      <c r="I427" s="4"/>
    </row>
    <row r="428" spans="1:9">
      <c r="A428" s="32"/>
      <c r="B428" s="14"/>
      <c r="C428" s="4"/>
      <c r="D428" s="4"/>
      <c r="E428" s="17"/>
      <c r="F428" s="17"/>
      <c r="G428" s="16"/>
      <c r="H428" s="87"/>
      <c r="I428" s="4"/>
    </row>
    <row r="429" spans="1:9">
      <c r="A429" s="32"/>
      <c r="B429" s="14"/>
      <c r="C429" s="4"/>
      <c r="D429" s="4"/>
      <c r="E429" s="17"/>
      <c r="F429" s="17"/>
      <c r="G429" s="16"/>
      <c r="H429" s="87"/>
      <c r="I429" s="4"/>
    </row>
    <row r="430" spans="1:9">
      <c r="A430" s="32"/>
      <c r="B430" s="14"/>
      <c r="C430" s="4"/>
      <c r="D430" s="4"/>
      <c r="E430" s="17"/>
      <c r="F430" s="17"/>
      <c r="G430" s="16"/>
      <c r="H430" s="87"/>
      <c r="I430" s="4"/>
    </row>
    <row r="431" spans="1:9">
      <c r="A431" s="32"/>
      <c r="B431" s="14"/>
      <c r="C431" s="4"/>
      <c r="D431" s="4"/>
      <c r="E431" s="17"/>
      <c r="F431" s="17"/>
      <c r="G431" s="16"/>
      <c r="H431" s="87"/>
      <c r="I431" s="4"/>
    </row>
    <row r="432" spans="1:9">
      <c r="A432" s="33"/>
      <c r="B432" s="14"/>
      <c r="C432" s="4"/>
      <c r="D432" s="4"/>
      <c r="E432" s="17"/>
      <c r="F432" s="17"/>
      <c r="G432" s="16"/>
      <c r="H432" s="87"/>
      <c r="I432" s="4"/>
    </row>
    <row r="433" spans="1:9">
      <c r="A433" s="32"/>
      <c r="B433" s="14"/>
      <c r="C433" s="4"/>
      <c r="D433" s="4"/>
      <c r="E433" s="17"/>
      <c r="F433" s="17"/>
      <c r="G433" s="16"/>
      <c r="H433" s="87"/>
      <c r="I433" s="4"/>
    </row>
    <row r="434" spans="1:9">
      <c r="A434" s="32"/>
      <c r="B434" s="14"/>
      <c r="C434" s="4"/>
      <c r="D434" s="4"/>
      <c r="E434" s="17"/>
      <c r="F434" s="17"/>
      <c r="G434" s="16"/>
      <c r="H434" s="87"/>
      <c r="I434" s="4"/>
    </row>
    <row r="435" spans="1:9">
      <c r="A435" s="32"/>
      <c r="B435" s="14"/>
      <c r="C435" s="4"/>
      <c r="D435" s="4"/>
      <c r="E435" s="17"/>
      <c r="F435" s="17"/>
      <c r="G435" s="16"/>
      <c r="H435" s="87"/>
      <c r="I435" s="4"/>
    </row>
    <row r="436" spans="1:9">
      <c r="A436" s="32"/>
      <c r="B436" s="14"/>
      <c r="C436" s="4"/>
      <c r="D436" s="4"/>
      <c r="E436" s="17"/>
      <c r="F436" s="17"/>
      <c r="G436" s="16"/>
      <c r="H436" s="87"/>
      <c r="I436" s="4"/>
    </row>
    <row r="437" spans="1:9">
      <c r="A437" s="32"/>
      <c r="B437" s="14"/>
      <c r="C437" s="4"/>
      <c r="D437" s="4"/>
      <c r="E437" s="17"/>
      <c r="F437" s="17"/>
      <c r="G437" s="16"/>
      <c r="H437" s="87"/>
      <c r="I437" s="4"/>
    </row>
    <row r="438" spans="1:9">
      <c r="A438" s="32"/>
      <c r="B438" s="14"/>
      <c r="C438" s="4"/>
      <c r="D438" s="4"/>
      <c r="E438" s="17"/>
      <c r="F438" s="17"/>
      <c r="G438" s="16"/>
      <c r="H438" s="87"/>
      <c r="I438" s="4"/>
    </row>
    <row r="439" spans="1:9">
      <c r="A439" s="33"/>
      <c r="B439" s="14"/>
      <c r="C439" s="4"/>
      <c r="D439" s="4"/>
      <c r="E439" s="17"/>
      <c r="F439" s="17"/>
      <c r="G439" s="16"/>
      <c r="H439" s="87"/>
      <c r="I439" s="4"/>
    </row>
    <row r="440" spans="1:9">
      <c r="A440" s="32"/>
      <c r="B440" s="14"/>
      <c r="C440" s="4"/>
      <c r="D440" s="4"/>
      <c r="E440" s="17"/>
      <c r="F440" s="17"/>
      <c r="G440" s="16"/>
      <c r="H440" s="87"/>
      <c r="I440" s="4"/>
    </row>
    <row r="441" spans="1:9">
      <c r="A441" s="32"/>
      <c r="B441" s="14"/>
      <c r="C441" s="4"/>
      <c r="D441" s="4"/>
      <c r="E441" s="17"/>
      <c r="F441" s="17"/>
      <c r="G441" s="16"/>
      <c r="H441" s="87"/>
      <c r="I441" s="4"/>
    </row>
    <row r="442" spans="1:9">
      <c r="A442" s="32"/>
      <c r="B442" s="14"/>
      <c r="C442" s="4"/>
      <c r="D442" s="4"/>
      <c r="E442" s="17"/>
      <c r="F442" s="17"/>
      <c r="G442" s="16"/>
      <c r="H442" s="87"/>
      <c r="I442" s="4"/>
    </row>
    <row r="443" spans="1:9">
      <c r="A443" s="32"/>
      <c r="B443" s="14"/>
      <c r="C443" s="4"/>
      <c r="D443" s="4"/>
      <c r="E443" s="17"/>
      <c r="F443" s="17"/>
      <c r="G443" s="16"/>
      <c r="H443" s="87"/>
      <c r="I443" s="4"/>
    </row>
    <row r="444" spans="1:9">
      <c r="A444" s="32"/>
      <c r="B444" s="14"/>
      <c r="C444" s="4"/>
      <c r="D444" s="4"/>
      <c r="E444" s="17"/>
      <c r="F444" s="17"/>
      <c r="G444" s="16"/>
      <c r="H444" s="87"/>
      <c r="I444" s="4"/>
    </row>
    <row r="445" spans="1:9">
      <c r="A445" s="32"/>
      <c r="B445" s="14"/>
      <c r="C445" s="4"/>
      <c r="D445" s="4"/>
      <c r="E445" s="17"/>
      <c r="F445" s="17"/>
      <c r="G445" s="16"/>
      <c r="H445" s="87"/>
      <c r="I445" s="4"/>
    </row>
    <row r="446" spans="1:9">
      <c r="A446" s="33"/>
      <c r="B446" s="14"/>
      <c r="C446" s="4"/>
      <c r="D446" s="4"/>
      <c r="E446" s="17"/>
      <c r="F446" s="17"/>
      <c r="G446" s="16"/>
      <c r="H446" s="87"/>
      <c r="I446" s="4"/>
    </row>
    <row r="447" spans="1:9">
      <c r="A447" s="32"/>
      <c r="B447" s="14"/>
      <c r="C447" s="4"/>
      <c r="D447" s="4"/>
      <c r="E447" s="17"/>
      <c r="F447" s="17"/>
      <c r="G447" s="16"/>
      <c r="H447" s="87"/>
      <c r="I447" s="4"/>
    </row>
    <row r="448" spans="1:9">
      <c r="A448" s="32"/>
      <c r="B448" s="14"/>
      <c r="C448" s="4"/>
      <c r="D448" s="4"/>
      <c r="E448" s="17"/>
      <c r="F448" s="17"/>
      <c r="G448" s="16"/>
      <c r="H448" s="87"/>
      <c r="I448" s="4"/>
    </row>
    <row r="449" spans="1:9">
      <c r="A449" s="32"/>
      <c r="B449" s="14"/>
      <c r="C449" s="4"/>
      <c r="D449" s="4"/>
      <c r="E449" s="17"/>
      <c r="F449" s="17"/>
      <c r="G449" s="16"/>
      <c r="H449" s="87"/>
      <c r="I449" s="4"/>
    </row>
    <row r="450" spans="1:9">
      <c r="A450" s="32"/>
      <c r="B450" s="14"/>
      <c r="C450" s="4"/>
      <c r="D450" s="4"/>
      <c r="E450" s="17"/>
      <c r="F450" s="17"/>
      <c r="G450" s="16"/>
      <c r="H450" s="87"/>
      <c r="I450" s="4"/>
    </row>
    <row r="451" spans="1:9">
      <c r="A451" s="32"/>
      <c r="B451" s="14"/>
      <c r="C451" s="4"/>
      <c r="D451" s="4"/>
      <c r="E451" s="17"/>
      <c r="F451" s="17"/>
      <c r="G451" s="16"/>
      <c r="H451" s="87"/>
      <c r="I451" s="4"/>
    </row>
    <row r="452" spans="1:9">
      <c r="A452" s="32"/>
      <c r="B452" s="14"/>
      <c r="C452" s="4"/>
      <c r="D452" s="4"/>
      <c r="E452" s="17"/>
      <c r="F452" s="17"/>
      <c r="G452" s="16"/>
      <c r="H452" s="87"/>
      <c r="I452" s="4"/>
    </row>
    <row r="453" spans="1:9">
      <c r="A453" s="33"/>
      <c r="B453" s="14"/>
      <c r="C453" s="4"/>
      <c r="D453" s="4"/>
      <c r="E453" s="17"/>
      <c r="F453" s="17"/>
      <c r="G453" s="16"/>
      <c r="H453" s="87"/>
      <c r="I453" s="4"/>
    </row>
    <row r="454" spans="1:9">
      <c r="A454" s="32"/>
      <c r="B454" s="14"/>
      <c r="C454" s="4"/>
      <c r="D454" s="4"/>
      <c r="E454" s="17"/>
      <c r="F454" s="17"/>
      <c r="G454" s="16"/>
      <c r="H454" s="87"/>
      <c r="I454" s="4"/>
    </row>
    <row r="455" spans="1:9">
      <c r="A455" s="32"/>
      <c r="B455" s="14"/>
      <c r="C455" s="4"/>
      <c r="D455" s="4"/>
      <c r="E455" s="17"/>
      <c r="F455" s="17"/>
      <c r="G455" s="16"/>
      <c r="H455" s="87"/>
      <c r="I455" s="4"/>
    </row>
    <row r="456" spans="1:9">
      <c r="A456" s="32"/>
      <c r="B456" s="14"/>
      <c r="C456" s="4"/>
      <c r="D456" s="4"/>
      <c r="E456" s="17"/>
      <c r="F456" s="17"/>
      <c r="G456" s="16"/>
      <c r="H456" s="87"/>
      <c r="I456" s="4"/>
    </row>
    <row r="457" spans="1:9">
      <c r="A457" s="32"/>
      <c r="B457" s="14"/>
      <c r="C457" s="4"/>
      <c r="D457" s="4"/>
      <c r="E457" s="17"/>
      <c r="F457" s="17"/>
      <c r="G457" s="16"/>
      <c r="H457" s="87"/>
      <c r="I457" s="4"/>
    </row>
    <row r="458" spans="1:9">
      <c r="A458" s="32"/>
      <c r="B458" s="14"/>
      <c r="C458" s="4"/>
      <c r="D458" s="4"/>
      <c r="E458" s="17"/>
      <c r="F458" s="17"/>
      <c r="G458" s="16"/>
      <c r="H458" s="87"/>
      <c r="I458" s="4"/>
    </row>
    <row r="459" spans="1:9">
      <c r="A459" s="32"/>
      <c r="B459" s="14"/>
      <c r="C459" s="4"/>
      <c r="D459" s="4"/>
      <c r="E459" s="17"/>
      <c r="F459" s="17"/>
      <c r="G459" s="16"/>
      <c r="H459" s="87"/>
      <c r="I459" s="4"/>
    </row>
    <row r="460" spans="1:9">
      <c r="A460" s="33"/>
      <c r="B460" s="14"/>
      <c r="C460" s="4"/>
      <c r="D460" s="4"/>
      <c r="E460" s="17"/>
      <c r="F460" s="17"/>
      <c r="G460" s="16"/>
      <c r="H460" s="87"/>
      <c r="I460" s="4"/>
    </row>
    <row r="461" spans="1:9">
      <c r="A461" s="32"/>
      <c r="B461" s="14"/>
      <c r="C461" s="4"/>
      <c r="D461" s="4"/>
      <c r="E461" s="17"/>
      <c r="F461" s="17"/>
      <c r="G461" s="16"/>
      <c r="H461" s="87"/>
      <c r="I461" s="4"/>
    </row>
    <row r="462" spans="1:9">
      <c r="A462" s="32"/>
      <c r="B462" s="14"/>
      <c r="C462" s="4"/>
      <c r="D462" s="4"/>
      <c r="E462" s="17"/>
      <c r="F462" s="17"/>
      <c r="G462" s="16"/>
      <c r="H462" s="87"/>
      <c r="I462" s="4"/>
    </row>
    <row r="463" spans="1:9">
      <c r="A463" s="32"/>
      <c r="B463" s="14"/>
      <c r="C463" s="4"/>
      <c r="D463" s="4"/>
      <c r="E463" s="17"/>
      <c r="F463" s="17"/>
      <c r="G463" s="16"/>
      <c r="H463" s="87"/>
      <c r="I463" s="4"/>
    </row>
    <row r="464" spans="1:9">
      <c r="A464" s="32"/>
      <c r="B464" s="14"/>
      <c r="C464" s="4"/>
      <c r="D464" s="4"/>
      <c r="E464" s="17"/>
      <c r="F464" s="17"/>
      <c r="G464" s="16"/>
      <c r="H464" s="87"/>
      <c r="I464" s="4"/>
    </row>
    <row r="465" spans="1:9">
      <c r="A465" s="32"/>
      <c r="B465" s="14"/>
      <c r="C465" s="4"/>
      <c r="D465" s="4"/>
      <c r="E465" s="17"/>
      <c r="F465" s="17"/>
      <c r="G465" s="16"/>
      <c r="H465" s="87"/>
      <c r="I465" s="4"/>
    </row>
    <row r="466" spans="1:9">
      <c r="A466" s="32"/>
      <c r="B466" s="14"/>
      <c r="C466" s="4"/>
      <c r="D466" s="4"/>
      <c r="E466" s="17"/>
      <c r="F466" s="17"/>
      <c r="G466" s="16"/>
      <c r="H466" s="87"/>
      <c r="I466" s="4"/>
    </row>
    <row r="467" spans="1:9">
      <c r="A467" s="33"/>
      <c r="B467" s="14"/>
      <c r="C467" s="4"/>
      <c r="D467" s="4"/>
      <c r="E467" s="17"/>
      <c r="F467" s="17"/>
      <c r="G467" s="16"/>
      <c r="H467" s="87"/>
      <c r="I467" s="4"/>
    </row>
    <row r="468" spans="1:9">
      <c r="A468" s="32"/>
      <c r="B468" s="14"/>
      <c r="C468" s="4"/>
      <c r="D468" s="4"/>
      <c r="E468" s="17"/>
      <c r="F468" s="17"/>
      <c r="G468" s="16"/>
      <c r="H468" s="87"/>
      <c r="I468" s="4"/>
    </row>
    <row r="469" spans="1:9">
      <c r="A469" s="32"/>
      <c r="B469" s="14"/>
      <c r="C469" s="4"/>
      <c r="D469" s="4"/>
      <c r="E469" s="17"/>
      <c r="F469" s="17"/>
      <c r="G469" s="16"/>
      <c r="H469" s="87"/>
      <c r="I469" s="4"/>
    </row>
    <row r="470" spans="1:9">
      <c r="A470" s="32"/>
      <c r="B470" s="14"/>
      <c r="C470" s="4"/>
      <c r="D470" s="4"/>
      <c r="E470" s="17"/>
      <c r="F470" s="17"/>
      <c r="G470" s="16"/>
      <c r="H470" s="87"/>
      <c r="I470" s="4"/>
    </row>
    <row r="471" spans="1:9">
      <c r="A471" s="32"/>
      <c r="B471" s="14"/>
      <c r="C471" s="4"/>
      <c r="D471" s="4"/>
      <c r="E471" s="17"/>
      <c r="F471" s="17"/>
      <c r="G471" s="16"/>
      <c r="H471" s="87"/>
      <c r="I471" s="4"/>
    </row>
    <row r="472" spans="1:9">
      <c r="A472" s="32"/>
      <c r="B472" s="14"/>
      <c r="C472" s="4"/>
      <c r="D472" s="4"/>
      <c r="E472" s="17"/>
      <c r="F472" s="17"/>
      <c r="G472" s="16"/>
      <c r="H472" s="87"/>
      <c r="I472" s="4"/>
    </row>
    <row r="473" spans="1:9">
      <c r="A473" s="32"/>
      <c r="B473" s="14"/>
      <c r="C473" s="4"/>
      <c r="D473" s="4"/>
      <c r="E473" s="17"/>
      <c r="F473" s="17"/>
      <c r="G473" s="16"/>
      <c r="H473" s="87"/>
      <c r="I473" s="4"/>
    </row>
    <row r="474" spans="1:9">
      <c r="A474" s="33"/>
      <c r="B474" s="14"/>
      <c r="C474" s="4"/>
      <c r="D474" s="4"/>
      <c r="E474" s="17"/>
      <c r="F474" s="17"/>
      <c r="G474" s="16"/>
      <c r="H474" s="87"/>
      <c r="I474" s="4"/>
    </row>
    <row r="475" spans="1:9">
      <c r="A475" s="32"/>
      <c r="B475" s="14"/>
      <c r="C475" s="4"/>
      <c r="D475" s="4"/>
      <c r="E475" s="17"/>
      <c r="F475" s="17"/>
      <c r="G475" s="16"/>
      <c r="H475" s="87"/>
      <c r="I475" s="4"/>
    </row>
    <row r="476" spans="1:9">
      <c r="A476" s="32"/>
      <c r="B476" s="14"/>
      <c r="C476" s="4"/>
      <c r="D476" s="4"/>
      <c r="E476" s="17"/>
      <c r="F476" s="17"/>
      <c r="G476" s="16"/>
      <c r="H476" s="87"/>
      <c r="I476" s="4"/>
    </row>
    <row r="477" spans="1:9">
      <c r="A477" s="32"/>
      <c r="B477" s="14"/>
      <c r="C477" s="4"/>
      <c r="D477" s="4"/>
      <c r="E477" s="17"/>
      <c r="F477" s="17"/>
      <c r="G477" s="16"/>
      <c r="H477" s="87"/>
      <c r="I477" s="4"/>
    </row>
    <row r="478" spans="1:9">
      <c r="A478" s="32"/>
      <c r="B478" s="14"/>
      <c r="C478" s="4"/>
      <c r="D478" s="4"/>
      <c r="E478" s="17"/>
      <c r="F478" s="17"/>
      <c r="G478" s="16"/>
      <c r="H478" s="87"/>
      <c r="I478" s="4"/>
    </row>
    <row r="479" spans="1:9">
      <c r="A479" s="32"/>
      <c r="B479" s="14"/>
      <c r="C479" s="4"/>
      <c r="D479" s="4"/>
      <c r="E479" s="17"/>
      <c r="F479" s="17"/>
      <c r="G479" s="16"/>
      <c r="H479" s="87"/>
      <c r="I479" s="4"/>
    </row>
    <row r="480" spans="1:9">
      <c r="A480" s="32"/>
      <c r="B480" s="14"/>
      <c r="C480" s="4"/>
      <c r="D480" s="4"/>
      <c r="E480" s="17"/>
      <c r="F480" s="17"/>
      <c r="G480" s="16"/>
      <c r="H480" s="87"/>
      <c r="I480" s="4"/>
    </row>
    <row r="481" spans="1:9">
      <c r="A481" s="33"/>
      <c r="B481" s="14"/>
      <c r="C481" s="4"/>
      <c r="D481" s="4"/>
      <c r="E481" s="17"/>
      <c r="F481" s="17"/>
      <c r="G481" s="16"/>
      <c r="H481" s="87"/>
      <c r="I481" s="4"/>
    </row>
    <row r="482" spans="1:9">
      <c r="A482" s="32"/>
      <c r="B482" s="14"/>
      <c r="C482" s="4"/>
      <c r="D482" s="4"/>
      <c r="E482" s="17"/>
      <c r="F482" s="17"/>
      <c r="G482" s="16"/>
      <c r="H482" s="87"/>
      <c r="I482" s="4"/>
    </row>
    <row r="483" spans="1:9">
      <c r="A483" s="32"/>
      <c r="B483" s="14"/>
      <c r="C483" s="4"/>
      <c r="D483" s="4"/>
      <c r="E483" s="17"/>
      <c r="F483" s="17"/>
      <c r="G483" s="16"/>
      <c r="H483" s="87"/>
      <c r="I483" s="4"/>
    </row>
    <row r="484" spans="1:9">
      <c r="A484" s="32"/>
      <c r="B484" s="14"/>
      <c r="C484" s="4"/>
      <c r="D484" s="4"/>
      <c r="E484" s="17"/>
      <c r="F484" s="17"/>
      <c r="G484" s="16"/>
      <c r="H484" s="87"/>
      <c r="I484" s="4"/>
    </row>
    <row r="485" spans="1:9">
      <c r="A485" s="32"/>
      <c r="B485" s="14"/>
      <c r="C485" s="4"/>
      <c r="D485" s="4"/>
      <c r="E485" s="17"/>
      <c r="F485" s="17"/>
      <c r="G485" s="16"/>
      <c r="H485" s="87"/>
      <c r="I485" s="4"/>
    </row>
    <row r="486" spans="1:9">
      <c r="A486" s="32"/>
      <c r="B486" s="14"/>
      <c r="C486" s="4"/>
      <c r="D486" s="4"/>
      <c r="E486" s="17"/>
      <c r="F486" s="17"/>
      <c r="G486" s="16"/>
      <c r="H486" s="87"/>
      <c r="I486" s="4"/>
    </row>
    <row r="487" spans="1:9">
      <c r="A487" s="32"/>
      <c r="B487" s="14"/>
      <c r="C487" s="4"/>
      <c r="D487" s="4"/>
      <c r="E487" s="17"/>
      <c r="F487" s="17"/>
      <c r="G487" s="16"/>
      <c r="H487" s="87"/>
      <c r="I487" s="4"/>
    </row>
    <row r="488" spans="1:9">
      <c r="A488" s="33"/>
      <c r="B488" s="14"/>
      <c r="C488" s="4"/>
      <c r="D488" s="4"/>
      <c r="E488" s="17"/>
      <c r="F488" s="17"/>
      <c r="G488" s="16"/>
      <c r="H488" s="87"/>
      <c r="I488" s="4"/>
    </row>
    <row r="489" spans="1:9">
      <c r="A489" s="32"/>
      <c r="B489" s="14"/>
      <c r="C489" s="4"/>
      <c r="D489" s="4"/>
      <c r="E489" s="17"/>
      <c r="F489" s="17"/>
      <c r="G489" s="16"/>
      <c r="H489" s="87"/>
      <c r="I489" s="4"/>
    </row>
    <row r="490" spans="1:9">
      <c r="A490" s="32"/>
      <c r="B490" s="14"/>
      <c r="C490" s="4"/>
      <c r="D490" s="4"/>
      <c r="E490" s="17"/>
      <c r="F490" s="17"/>
      <c r="G490" s="16"/>
      <c r="H490" s="87"/>
      <c r="I490" s="4"/>
    </row>
    <row r="491" spans="1:9">
      <c r="A491" s="32"/>
      <c r="B491" s="14"/>
      <c r="C491" s="4"/>
      <c r="D491" s="4"/>
      <c r="E491" s="17"/>
      <c r="F491" s="17"/>
      <c r="G491" s="16"/>
      <c r="H491" s="87"/>
      <c r="I491" s="4"/>
    </row>
    <row r="492" spans="1:9">
      <c r="A492" s="32"/>
      <c r="B492" s="14"/>
      <c r="C492" s="4"/>
      <c r="D492" s="4"/>
      <c r="E492" s="17"/>
      <c r="F492" s="17"/>
      <c r="G492" s="16"/>
      <c r="H492" s="87"/>
      <c r="I492" s="4"/>
    </row>
    <row r="493" spans="1:9">
      <c r="A493" s="32"/>
      <c r="B493" s="14"/>
      <c r="C493" s="4"/>
      <c r="D493" s="4"/>
      <c r="E493" s="17"/>
      <c r="F493" s="17"/>
      <c r="G493" s="16"/>
      <c r="H493" s="87"/>
      <c r="I493" s="4"/>
    </row>
    <row r="494" spans="1:9">
      <c r="A494" s="32"/>
      <c r="B494" s="14"/>
      <c r="C494" s="4"/>
      <c r="D494" s="4"/>
      <c r="E494" s="17"/>
      <c r="F494" s="17"/>
      <c r="G494" s="16"/>
      <c r="H494" s="87"/>
      <c r="I494" s="4"/>
    </row>
    <row r="495" spans="1:9">
      <c r="A495" s="33"/>
      <c r="B495" s="14"/>
      <c r="C495" s="4"/>
      <c r="D495" s="4"/>
      <c r="E495" s="17"/>
      <c r="F495" s="17"/>
      <c r="G495" s="16"/>
      <c r="H495" s="87"/>
      <c r="I495" s="4"/>
    </row>
    <row r="496" spans="1:9">
      <c r="A496" s="32"/>
      <c r="B496" s="14"/>
      <c r="C496" s="4"/>
      <c r="D496" s="4"/>
      <c r="E496" s="17"/>
      <c r="F496" s="17"/>
      <c r="G496" s="16"/>
      <c r="H496" s="87"/>
      <c r="I496" s="4"/>
    </row>
    <row r="497" spans="1:9">
      <c r="A497" s="32"/>
      <c r="B497" s="14"/>
      <c r="C497" s="4"/>
      <c r="D497" s="4"/>
      <c r="E497" s="17"/>
      <c r="F497" s="17"/>
      <c r="G497" s="16"/>
      <c r="H497" s="87"/>
      <c r="I497" s="4"/>
    </row>
    <row r="498" spans="1:9">
      <c r="A498" s="32"/>
      <c r="B498" s="14"/>
      <c r="C498" s="4"/>
      <c r="D498" s="4"/>
      <c r="E498" s="17"/>
      <c r="F498" s="17"/>
      <c r="G498" s="16"/>
      <c r="H498" s="87"/>
      <c r="I498" s="4"/>
    </row>
    <row r="499" spans="1:9">
      <c r="A499" s="32"/>
      <c r="B499" s="14"/>
      <c r="C499" s="4"/>
      <c r="D499" s="4"/>
      <c r="E499" s="17"/>
      <c r="F499" s="17"/>
      <c r="G499" s="16"/>
      <c r="H499" s="87"/>
      <c r="I499" s="4"/>
    </row>
    <row r="500" spans="1:9">
      <c r="A500" s="32"/>
      <c r="B500" s="14"/>
      <c r="C500" s="4"/>
      <c r="D500" s="4"/>
      <c r="E500" s="17"/>
      <c r="F500" s="17"/>
      <c r="G500" s="16"/>
      <c r="H500" s="87"/>
      <c r="I500" s="4"/>
    </row>
    <row r="501" spans="1:9">
      <c r="A501" s="32"/>
      <c r="B501" s="14"/>
      <c r="C501" s="4"/>
      <c r="D501" s="4"/>
      <c r="E501" s="17"/>
      <c r="F501" s="17"/>
      <c r="G501" s="16"/>
      <c r="H501" s="87"/>
      <c r="I501" s="4"/>
    </row>
    <row r="502" spans="1:9">
      <c r="A502" s="33"/>
      <c r="B502" s="14"/>
      <c r="C502" s="4"/>
      <c r="D502" s="4"/>
      <c r="E502" s="17"/>
      <c r="F502" s="17"/>
      <c r="G502" s="16"/>
      <c r="H502" s="87"/>
      <c r="I502" s="4"/>
    </row>
    <row r="503" spans="1:9">
      <c r="A503" s="32"/>
      <c r="B503" s="14"/>
      <c r="C503" s="4"/>
      <c r="D503" s="4"/>
      <c r="E503" s="17"/>
      <c r="F503" s="17"/>
      <c r="G503" s="16"/>
      <c r="H503" s="87"/>
      <c r="I503" s="4"/>
    </row>
    <row r="504" spans="1:9">
      <c r="A504" s="32"/>
      <c r="B504" s="14"/>
      <c r="C504" s="4"/>
      <c r="D504" s="4"/>
      <c r="E504" s="17"/>
      <c r="F504" s="17"/>
      <c r="G504" s="16"/>
      <c r="H504" s="87"/>
      <c r="I504" s="4"/>
    </row>
    <row r="505" spans="1:9">
      <c r="A505" s="32"/>
      <c r="B505" s="14"/>
      <c r="C505" s="4"/>
      <c r="D505" s="4"/>
      <c r="E505" s="17"/>
      <c r="F505" s="17"/>
      <c r="G505" s="16"/>
      <c r="H505" s="87"/>
      <c r="I505" s="4"/>
    </row>
    <row r="506" spans="1:9">
      <c r="A506" s="32"/>
      <c r="B506" s="14"/>
      <c r="C506" s="4"/>
      <c r="D506" s="4"/>
      <c r="E506" s="17"/>
      <c r="F506" s="17"/>
      <c r="G506" s="16"/>
      <c r="H506" s="87"/>
      <c r="I506" s="4"/>
    </row>
    <row r="507" spans="1:9">
      <c r="A507" s="32"/>
      <c r="B507" s="14"/>
      <c r="C507" s="4"/>
      <c r="D507" s="4"/>
      <c r="E507" s="17"/>
      <c r="F507" s="17"/>
      <c r="G507" s="16"/>
      <c r="H507" s="87"/>
      <c r="I507" s="4"/>
    </row>
    <row r="508" spans="1:9">
      <c r="A508" s="32"/>
      <c r="B508" s="14"/>
      <c r="C508" s="4"/>
      <c r="D508" s="4"/>
      <c r="E508" s="17"/>
      <c r="F508" s="17"/>
      <c r="G508" s="16"/>
      <c r="H508" s="87"/>
      <c r="I508" s="4"/>
    </row>
    <row r="509" spans="1:9">
      <c r="A509" s="33"/>
      <c r="B509" s="14"/>
      <c r="C509" s="4"/>
      <c r="D509" s="4"/>
      <c r="E509" s="17"/>
      <c r="F509" s="17"/>
      <c r="G509" s="16"/>
      <c r="H509" s="87"/>
      <c r="I509" s="4"/>
    </row>
    <row r="510" spans="1:9">
      <c r="A510" s="32"/>
      <c r="B510" s="14"/>
      <c r="C510" s="4"/>
      <c r="D510" s="4"/>
      <c r="E510" s="17"/>
      <c r="F510" s="17"/>
      <c r="G510" s="16"/>
      <c r="H510" s="87"/>
      <c r="I510" s="4"/>
    </row>
    <row r="511" spans="1:9">
      <c r="A511" s="32"/>
      <c r="B511" s="14"/>
      <c r="C511" s="4"/>
      <c r="D511" s="4"/>
      <c r="E511" s="17"/>
      <c r="F511" s="17"/>
      <c r="G511" s="16"/>
      <c r="H511" s="87"/>
      <c r="I511" s="4"/>
    </row>
    <row r="512" spans="1:9">
      <c r="A512" s="32"/>
      <c r="B512" s="14"/>
      <c r="C512" s="4"/>
      <c r="D512" s="4"/>
      <c r="E512" s="17"/>
      <c r="F512" s="17"/>
      <c r="G512" s="16"/>
      <c r="H512" s="87"/>
      <c r="I512" s="4"/>
    </row>
    <row r="513" spans="1:9">
      <c r="A513" s="32"/>
      <c r="B513" s="14"/>
      <c r="C513" s="4"/>
      <c r="D513" s="4"/>
      <c r="E513" s="17"/>
      <c r="F513" s="17"/>
      <c r="G513" s="16"/>
      <c r="H513" s="87"/>
      <c r="I513" s="4"/>
    </row>
    <row r="514" spans="1:9">
      <c r="A514" s="32"/>
      <c r="B514" s="14"/>
      <c r="C514" s="4"/>
      <c r="D514" s="4"/>
      <c r="E514" s="17"/>
      <c r="F514" s="17"/>
      <c r="G514" s="16"/>
      <c r="H514" s="87"/>
      <c r="I514" s="4"/>
    </row>
    <row r="515" spans="1:9">
      <c r="A515" s="32"/>
      <c r="B515" s="14"/>
      <c r="C515" s="4"/>
      <c r="D515" s="4"/>
      <c r="E515" s="17"/>
      <c r="F515" s="17"/>
      <c r="G515" s="16"/>
      <c r="H515" s="87"/>
      <c r="I515" s="4"/>
    </row>
    <row r="516" spans="1:9">
      <c r="A516" s="33"/>
      <c r="B516" s="14"/>
      <c r="C516" s="4"/>
      <c r="D516" s="4"/>
      <c r="E516" s="17"/>
      <c r="F516" s="17"/>
      <c r="G516" s="16"/>
      <c r="H516" s="87"/>
      <c r="I516" s="4"/>
    </row>
    <row r="517" spans="1:9">
      <c r="A517" s="32"/>
      <c r="B517" s="14"/>
      <c r="C517" s="4"/>
      <c r="D517" s="4"/>
      <c r="E517" s="17"/>
      <c r="F517" s="17"/>
      <c r="G517" s="16"/>
      <c r="H517" s="87"/>
      <c r="I517" s="4"/>
    </row>
    <row r="518" spans="1:9">
      <c r="A518" s="32"/>
      <c r="B518" s="14"/>
      <c r="C518" s="4"/>
      <c r="D518" s="4"/>
      <c r="E518" s="17"/>
      <c r="F518" s="17"/>
      <c r="G518" s="16"/>
      <c r="H518" s="87"/>
      <c r="I518" s="4"/>
    </row>
    <row r="519" spans="1:9">
      <c r="A519" s="32"/>
      <c r="B519" s="14"/>
      <c r="C519" s="4"/>
      <c r="D519" s="4"/>
      <c r="E519" s="17"/>
      <c r="F519" s="17"/>
      <c r="G519" s="16"/>
      <c r="H519" s="87"/>
      <c r="I519" s="4"/>
    </row>
    <row r="520" spans="1:9">
      <c r="A520" s="32"/>
      <c r="B520" s="14"/>
      <c r="C520" s="4"/>
      <c r="D520" s="4"/>
      <c r="E520" s="17"/>
      <c r="F520" s="17"/>
      <c r="G520" s="16"/>
      <c r="H520" s="87"/>
      <c r="I520" s="4"/>
    </row>
    <row r="521" spans="1:9">
      <c r="A521" s="32"/>
      <c r="B521" s="14"/>
      <c r="C521" s="4"/>
      <c r="D521" s="4"/>
      <c r="E521" s="17"/>
      <c r="F521" s="17"/>
      <c r="G521" s="16"/>
      <c r="H521" s="87"/>
      <c r="I521" s="4"/>
    </row>
    <row r="522" spans="1:9">
      <c r="A522" s="32"/>
      <c r="B522" s="14"/>
      <c r="C522" s="4"/>
      <c r="D522" s="4"/>
      <c r="E522" s="17"/>
      <c r="F522" s="17"/>
      <c r="G522" s="16"/>
      <c r="H522" s="87"/>
      <c r="I522" s="4"/>
    </row>
    <row r="523" spans="1:9">
      <c r="A523" s="33"/>
      <c r="B523" s="14"/>
      <c r="C523" s="4"/>
      <c r="D523" s="4"/>
      <c r="E523" s="17"/>
      <c r="F523" s="17"/>
      <c r="G523" s="16"/>
      <c r="H523" s="87"/>
      <c r="I523" s="4"/>
    </row>
    <row r="524" spans="1:9">
      <c r="A524" s="32"/>
      <c r="B524" s="14"/>
      <c r="C524" s="4"/>
      <c r="D524" s="4"/>
      <c r="E524" s="17"/>
      <c r="F524" s="17"/>
      <c r="G524" s="16"/>
      <c r="H524" s="87"/>
      <c r="I524" s="4"/>
    </row>
    <row r="525" spans="1:9">
      <c r="A525" s="32"/>
      <c r="B525" s="14"/>
      <c r="C525" s="4"/>
      <c r="D525" s="4"/>
      <c r="E525" s="17"/>
      <c r="F525" s="17"/>
      <c r="G525" s="16"/>
      <c r="H525" s="87"/>
      <c r="I525" s="4"/>
    </row>
    <row r="526" spans="1:9">
      <c r="A526" s="32"/>
      <c r="B526" s="14"/>
      <c r="C526" s="4"/>
      <c r="D526" s="4"/>
      <c r="E526" s="17"/>
      <c r="F526" s="17"/>
      <c r="G526" s="16"/>
      <c r="H526" s="87"/>
      <c r="I526" s="4"/>
    </row>
    <row r="527" spans="1:9">
      <c r="A527" s="32"/>
      <c r="B527" s="14"/>
      <c r="C527" s="4"/>
      <c r="D527" s="4"/>
      <c r="E527" s="17"/>
      <c r="F527" s="17"/>
      <c r="G527" s="16"/>
      <c r="H527" s="87"/>
      <c r="I527" s="4"/>
    </row>
    <row r="528" spans="1:9">
      <c r="A528" s="32"/>
      <c r="B528" s="14"/>
      <c r="C528" s="4"/>
      <c r="D528" s="4"/>
      <c r="E528" s="17"/>
      <c r="F528" s="17"/>
      <c r="G528" s="16"/>
      <c r="H528" s="87"/>
      <c r="I528" s="4"/>
    </row>
    <row r="529" spans="1:9">
      <c r="A529" s="32"/>
      <c r="B529" s="14"/>
      <c r="C529" s="4"/>
      <c r="D529" s="4"/>
      <c r="E529" s="17"/>
      <c r="F529" s="17"/>
      <c r="G529" s="16"/>
      <c r="H529" s="87"/>
      <c r="I529" s="4"/>
    </row>
    <row r="530" spans="1:9">
      <c r="A530" s="33"/>
      <c r="B530" s="14"/>
      <c r="C530" s="4"/>
      <c r="D530" s="4"/>
      <c r="E530" s="17"/>
      <c r="F530" s="17"/>
      <c r="G530" s="16"/>
      <c r="H530" s="87"/>
      <c r="I530" s="4"/>
    </row>
    <row r="531" spans="1:9">
      <c r="A531" s="32"/>
      <c r="B531" s="14"/>
      <c r="C531" s="4"/>
      <c r="D531" s="4"/>
      <c r="E531" s="17"/>
      <c r="F531" s="17"/>
      <c r="G531" s="16"/>
      <c r="H531" s="87"/>
      <c r="I531" s="4"/>
    </row>
    <row r="532" spans="1:9">
      <c r="A532" s="32"/>
      <c r="B532" s="14"/>
      <c r="C532" s="4"/>
      <c r="D532" s="4"/>
      <c r="E532" s="17"/>
      <c r="F532" s="17"/>
      <c r="G532" s="16"/>
      <c r="H532" s="87"/>
      <c r="I532" s="4"/>
    </row>
    <row r="533" spans="1:9">
      <c r="A533" s="32"/>
      <c r="B533" s="14"/>
      <c r="C533" s="4"/>
      <c r="D533" s="4"/>
      <c r="E533" s="17"/>
      <c r="F533" s="17"/>
      <c r="G533" s="16"/>
      <c r="H533" s="87"/>
      <c r="I533" s="4"/>
    </row>
    <row r="534" spans="1:9">
      <c r="A534" s="32"/>
      <c r="B534" s="14"/>
      <c r="C534" s="4"/>
      <c r="D534" s="4"/>
      <c r="E534" s="17"/>
      <c r="F534" s="17"/>
      <c r="G534" s="16"/>
      <c r="H534" s="87"/>
      <c r="I534" s="4"/>
    </row>
    <row r="535" spans="1:9">
      <c r="A535" s="32"/>
      <c r="B535" s="14"/>
      <c r="C535" s="4"/>
      <c r="D535" s="4"/>
      <c r="E535" s="17"/>
      <c r="F535" s="17"/>
      <c r="G535" s="16"/>
      <c r="H535" s="87"/>
      <c r="I535" s="4"/>
    </row>
    <row r="536" spans="1:9">
      <c r="A536" s="32"/>
      <c r="B536" s="14"/>
      <c r="C536" s="4"/>
      <c r="D536" s="4"/>
      <c r="E536" s="17"/>
      <c r="F536" s="17"/>
      <c r="G536" s="16"/>
      <c r="H536" s="87"/>
      <c r="I536" s="4"/>
    </row>
    <row r="537" spans="1:9">
      <c r="A537" s="33"/>
      <c r="B537" s="14"/>
      <c r="C537" s="4"/>
      <c r="D537" s="4"/>
      <c r="E537" s="17"/>
      <c r="F537" s="17"/>
      <c r="G537" s="16"/>
      <c r="H537" s="87"/>
      <c r="I537" s="4"/>
    </row>
    <row r="538" spans="1:9">
      <c r="A538" s="32"/>
      <c r="B538" s="14"/>
      <c r="C538" s="4"/>
      <c r="D538" s="4"/>
      <c r="E538" s="17"/>
      <c r="F538" s="17"/>
      <c r="G538" s="16"/>
      <c r="H538" s="87"/>
      <c r="I538" s="4"/>
    </row>
    <row r="539" spans="1:9">
      <c r="A539" s="32"/>
      <c r="B539" s="14"/>
      <c r="C539" s="4"/>
      <c r="D539" s="4"/>
      <c r="E539" s="17"/>
      <c r="F539" s="17"/>
      <c r="G539" s="16"/>
      <c r="H539" s="87"/>
      <c r="I539" s="4"/>
    </row>
    <row r="540" spans="1:9">
      <c r="A540" s="32"/>
      <c r="B540" s="14"/>
      <c r="C540" s="4"/>
      <c r="D540" s="4"/>
      <c r="E540" s="17"/>
      <c r="F540" s="17"/>
      <c r="G540" s="16"/>
      <c r="H540" s="87"/>
      <c r="I540" s="4"/>
    </row>
    <row r="541" spans="1:9">
      <c r="A541" s="32"/>
      <c r="B541" s="14"/>
      <c r="C541" s="4"/>
      <c r="D541" s="4"/>
      <c r="E541" s="17"/>
      <c r="F541" s="17"/>
      <c r="G541" s="16"/>
      <c r="H541" s="87"/>
      <c r="I541" s="4"/>
    </row>
    <row r="542" spans="1:9">
      <c r="A542" s="32"/>
      <c r="B542" s="14"/>
      <c r="C542" s="4"/>
      <c r="D542" s="4"/>
      <c r="E542" s="17"/>
      <c r="F542" s="17"/>
      <c r="G542" s="16"/>
      <c r="H542" s="87"/>
      <c r="I542" s="4"/>
    </row>
    <row r="543" spans="1:9">
      <c r="A543" s="32"/>
      <c r="B543" s="14"/>
      <c r="C543" s="4"/>
      <c r="D543" s="4"/>
      <c r="E543" s="17"/>
      <c r="F543" s="17"/>
      <c r="G543" s="16"/>
      <c r="H543" s="87"/>
      <c r="I543" s="4"/>
    </row>
    <row r="544" spans="1:9">
      <c r="A544" s="33"/>
      <c r="B544" s="14"/>
      <c r="C544" s="4"/>
      <c r="D544" s="4"/>
      <c r="E544" s="17"/>
      <c r="F544" s="17"/>
      <c r="G544" s="16"/>
      <c r="H544" s="87"/>
      <c r="I544" s="4"/>
    </row>
    <row r="545" spans="1:9">
      <c r="A545" s="32"/>
      <c r="B545" s="14"/>
      <c r="C545" s="4"/>
      <c r="D545" s="4"/>
      <c r="E545" s="17"/>
      <c r="F545" s="17"/>
      <c r="G545" s="16"/>
      <c r="H545" s="87"/>
      <c r="I545" s="4"/>
    </row>
    <row r="546" spans="1:9">
      <c r="A546" s="32"/>
      <c r="B546" s="14"/>
      <c r="C546" s="4"/>
      <c r="D546" s="4"/>
      <c r="E546" s="17"/>
      <c r="F546" s="17"/>
      <c r="G546" s="16"/>
      <c r="H546" s="87"/>
      <c r="I546" s="4"/>
    </row>
    <row r="547" spans="1:9">
      <c r="A547" s="32"/>
      <c r="B547" s="14"/>
      <c r="C547" s="4"/>
      <c r="D547" s="4"/>
      <c r="E547" s="17"/>
      <c r="F547" s="17"/>
      <c r="G547" s="16"/>
      <c r="H547" s="87"/>
      <c r="I547" s="4"/>
    </row>
    <row r="548" spans="1:9">
      <c r="A548" s="32"/>
      <c r="B548" s="14"/>
      <c r="C548" s="4"/>
      <c r="D548" s="4"/>
      <c r="E548" s="17"/>
      <c r="F548" s="17"/>
      <c r="G548" s="16"/>
      <c r="H548" s="87"/>
      <c r="I548" s="4"/>
    </row>
    <row r="549" spans="1:9">
      <c r="A549" s="32"/>
      <c r="B549" s="14"/>
      <c r="C549" s="4"/>
      <c r="D549" s="4"/>
      <c r="E549" s="17"/>
      <c r="F549" s="17"/>
      <c r="G549" s="16"/>
      <c r="H549" s="87"/>
      <c r="I549" s="4"/>
    </row>
    <row r="550" spans="1:9">
      <c r="A550" s="32"/>
      <c r="B550" s="14"/>
      <c r="C550" s="4"/>
      <c r="D550" s="4"/>
      <c r="E550" s="17"/>
      <c r="F550" s="17"/>
      <c r="G550" s="16"/>
      <c r="H550" s="87"/>
      <c r="I550" s="4"/>
    </row>
    <row r="551" spans="1:9">
      <c r="A551" s="33"/>
      <c r="B551" s="14"/>
      <c r="C551" s="4"/>
      <c r="D551" s="4"/>
      <c r="E551" s="17"/>
      <c r="F551" s="17"/>
      <c r="G551" s="16"/>
      <c r="H551" s="87"/>
      <c r="I551" s="4"/>
    </row>
    <row r="552" spans="1:9">
      <c r="A552" s="32"/>
      <c r="B552" s="14"/>
      <c r="C552" s="4"/>
      <c r="D552" s="4"/>
      <c r="E552" s="17"/>
      <c r="F552" s="17"/>
      <c r="G552" s="16"/>
      <c r="H552" s="87"/>
      <c r="I552" s="4"/>
    </row>
    <row r="553" spans="1:9">
      <c r="A553" s="32"/>
      <c r="B553" s="14"/>
      <c r="C553" s="4"/>
      <c r="D553" s="4"/>
      <c r="E553" s="17"/>
      <c r="F553" s="17"/>
      <c r="G553" s="16"/>
      <c r="H553" s="87"/>
      <c r="I553" s="4"/>
    </row>
    <row r="554" spans="1:9">
      <c r="A554" s="32"/>
      <c r="B554" s="14"/>
      <c r="C554" s="4"/>
      <c r="D554" s="4"/>
      <c r="E554" s="17"/>
      <c r="F554" s="17"/>
      <c r="G554" s="16"/>
      <c r="H554" s="87"/>
      <c r="I554" s="4"/>
    </row>
    <row r="555" spans="1:9">
      <c r="A555" s="32"/>
      <c r="B555" s="14"/>
      <c r="C555" s="4"/>
      <c r="D555" s="4"/>
      <c r="E555" s="17"/>
      <c r="F555" s="17"/>
      <c r="G555" s="16"/>
      <c r="H555" s="87"/>
      <c r="I555" s="4"/>
    </row>
    <row r="556" spans="1:9">
      <c r="A556" s="32"/>
      <c r="B556" s="14"/>
      <c r="C556" s="4"/>
      <c r="D556" s="4"/>
      <c r="E556" s="17"/>
      <c r="F556" s="17"/>
      <c r="G556" s="16"/>
      <c r="H556" s="87"/>
      <c r="I556" s="4"/>
    </row>
    <row r="557" spans="1:9">
      <c r="A557" s="32"/>
      <c r="B557" s="14"/>
      <c r="C557" s="4"/>
      <c r="D557" s="4"/>
      <c r="E557" s="17"/>
      <c r="F557" s="17"/>
      <c r="G557" s="16"/>
      <c r="H557" s="87"/>
      <c r="I557" s="4"/>
    </row>
    <row r="558" spans="1:9">
      <c r="A558" s="33"/>
      <c r="B558" s="14"/>
      <c r="C558" s="4"/>
      <c r="D558" s="4"/>
      <c r="E558" s="17"/>
      <c r="F558" s="17"/>
      <c r="G558" s="16"/>
      <c r="H558" s="87"/>
      <c r="I558" s="4"/>
    </row>
    <row r="559" spans="1:9">
      <c r="A559" s="32"/>
      <c r="B559" s="14"/>
      <c r="C559" s="4"/>
      <c r="D559" s="4"/>
      <c r="E559" s="17"/>
      <c r="F559" s="17"/>
      <c r="G559" s="16"/>
      <c r="H559" s="87"/>
      <c r="I559" s="4"/>
    </row>
    <row r="560" spans="1:9">
      <c r="A560" s="32"/>
      <c r="B560" s="14"/>
      <c r="C560" s="4"/>
      <c r="D560" s="4"/>
      <c r="E560" s="17"/>
      <c r="F560" s="17"/>
      <c r="G560" s="16"/>
      <c r="H560" s="87"/>
      <c r="I560" s="4"/>
    </row>
    <row r="561" spans="1:9">
      <c r="A561" s="32"/>
      <c r="B561" s="14"/>
      <c r="C561" s="4"/>
      <c r="D561" s="4"/>
      <c r="E561" s="17"/>
      <c r="F561" s="17"/>
      <c r="G561" s="16"/>
      <c r="H561" s="87"/>
      <c r="I561" s="4"/>
    </row>
    <row r="562" spans="1:9">
      <c r="A562" s="32"/>
      <c r="B562" s="14"/>
      <c r="C562" s="4"/>
      <c r="D562" s="4"/>
      <c r="E562" s="17"/>
      <c r="F562" s="17"/>
      <c r="G562" s="16"/>
      <c r="H562" s="87"/>
      <c r="I562" s="4"/>
    </row>
    <row r="563" spans="1:9">
      <c r="A563" s="32"/>
      <c r="B563" s="14"/>
      <c r="C563" s="4"/>
      <c r="D563" s="4"/>
      <c r="E563" s="17"/>
      <c r="F563" s="17"/>
      <c r="G563" s="16"/>
      <c r="H563" s="87"/>
      <c r="I563" s="4"/>
    </row>
    <row r="564" spans="1:9">
      <c r="A564" s="32"/>
      <c r="B564" s="14"/>
      <c r="C564" s="4"/>
      <c r="D564" s="4"/>
      <c r="E564" s="17"/>
      <c r="F564" s="17"/>
      <c r="G564" s="16"/>
      <c r="H564" s="87"/>
      <c r="I564" s="4"/>
    </row>
    <row r="565" spans="1:9">
      <c r="A565" s="33"/>
      <c r="B565" s="14"/>
      <c r="C565" s="4"/>
      <c r="D565" s="4"/>
      <c r="E565" s="17"/>
      <c r="F565" s="17"/>
      <c r="G565" s="16"/>
      <c r="H565" s="87"/>
      <c r="I565" s="4"/>
    </row>
    <row r="566" spans="1:9">
      <c r="A566" s="32"/>
      <c r="B566" s="14"/>
      <c r="C566" s="4"/>
      <c r="D566" s="4"/>
      <c r="E566" s="17"/>
      <c r="F566" s="17"/>
      <c r="G566" s="16"/>
      <c r="H566" s="87"/>
      <c r="I566" s="4"/>
    </row>
    <row r="567" spans="1:9">
      <c r="A567" s="32"/>
      <c r="B567" s="14"/>
      <c r="C567" s="4"/>
      <c r="D567" s="4"/>
      <c r="E567" s="17"/>
      <c r="F567" s="17"/>
      <c r="G567" s="16"/>
      <c r="H567" s="87"/>
      <c r="I567" s="4"/>
    </row>
    <row r="568" spans="1:9">
      <c r="A568" s="32"/>
      <c r="B568" s="14"/>
      <c r="C568" s="4"/>
      <c r="D568" s="4"/>
      <c r="E568" s="17"/>
      <c r="F568" s="17"/>
      <c r="G568" s="16"/>
      <c r="H568" s="87"/>
      <c r="I568" s="4"/>
    </row>
    <row r="569" spans="1:9">
      <c r="A569" s="32"/>
      <c r="B569" s="14"/>
      <c r="C569" s="4"/>
      <c r="D569" s="4"/>
      <c r="E569" s="17"/>
      <c r="F569" s="17"/>
      <c r="G569" s="16"/>
      <c r="H569" s="87"/>
      <c r="I569" s="4"/>
    </row>
    <row r="570" spans="1:9">
      <c r="A570" s="32"/>
      <c r="B570" s="14"/>
      <c r="C570" s="4"/>
      <c r="D570" s="4"/>
      <c r="E570" s="17"/>
      <c r="F570" s="17"/>
      <c r="G570" s="16"/>
      <c r="H570" s="87"/>
      <c r="I570" s="4"/>
    </row>
    <row r="571" spans="1:9">
      <c r="A571" s="32"/>
      <c r="B571" s="14"/>
      <c r="C571" s="4"/>
      <c r="D571" s="4"/>
      <c r="E571" s="17"/>
      <c r="F571" s="17"/>
      <c r="G571" s="16"/>
      <c r="H571" s="87"/>
      <c r="I571" s="4"/>
    </row>
    <row r="572" spans="1:9">
      <c r="A572" s="33"/>
      <c r="B572" s="14"/>
      <c r="C572" s="4"/>
      <c r="D572" s="4"/>
      <c r="E572" s="17"/>
      <c r="F572" s="17"/>
      <c r="G572" s="16"/>
      <c r="H572" s="87"/>
      <c r="I572" s="4"/>
    </row>
    <row r="573" spans="1:9">
      <c r="A573" s="32"/>
      <c r="B573" s="14"/>
      <c r="C573" s="4"/>
      <c r="D573" s="4"/>
      <c r="E573" s="17"/>
      <c r="F573" s="17"/>
      <c r="G573" s="16"/>
      <c r="H573" s="87"/>
      <c r="I573" s="4"/>
    </row>
    <row r="574" spans="1:9">
      <c r="A574" s="32"/>
      <c r="B574" s="14"/>
      <c r="C574" s="4"/>
      <c r="D574" s="4"/>
      <c r="E574" s="17"/>
      <c r="F574" s="17"/>
      <c r="G574" s="16"/>
      <c r="H574" s="87"/>
      <c r="I574" s="4"/>
    </row>
    <row r="575" spans="1:9">
      <c r="A575" s="32"/>
      <c r="B575" s="14"/>
      <c r="C575" s="4"/>
      <c r="D575" s="4"/>
      <c r="E575" s="17"/>
      <c r="F575" s="17"/>
      <c r="G575" s="16"/>
      <c r="H575" s="87"/>
      <c r="I575" s="4"/>
    </row>
    <row r="576" spans="1:9">
      <c r="A576" s="32"/>
      <c r="B576" s="14"/>
      <c r="C576" s="4"/>
      <c r="D576" s="4"/>
      <c r="E576" s="17"/>
      <c r="F576" s="17"/>
      <c r="G576" s="16"/>
      <c r="H576" s="87"/>
      <c r="I576" s="4"/>
    </row>
    <row r="577" spans="1:9">
      <c r="A577" s="32"/>
      <c r="B577" s="14"/>
      <c r="C577" s="4"/>
      <c r="D577" s="4"/>
      <c r="E577" s="17"/>
      <c r="F577" s="17"/>
      <c r="G577" s="16"/>
      <c r="H577" s="87"/>
      <c r="I577" s="4"/>
    </row>
    <row r="578" spans="1:9">
      <c r="A578" s="32"/>
      <c r="B578" s="14"/>
      <c r="C578" s="4"/>
      <c r="D578" s="4"/>
      <c r="E578" s="17"/>
      <c r="F578" s="17"/>
      <c r="G578" s="16"/>
      <c r="H578" s="87"/>
      <c r="I578" s="4"/>
    </row>
    <row r="579" spans="1:9">
      <c r="A579" s="33"/>
      <c r="B579" s="14"/>
      <c r="C579" s="4"/>
      <c r="D579" s="4"/>
      <c r="E579" s="17"/>
      <c r="F579" s="17"/>
      <c r="G579" s="16"/>
      <c r="H579" s="87"/>
      <c r="I579" s="4"/>
    </row>
    <row r="580" spans="1:9">
      <c r="A580" s="32"/>
      <c r="B580" s="14"/>
      <c r="C580" s="4"/>
      <c r="D580" s="4"/>
      <c r="E580" s="17"/>
      <c r="F580" s="17"/>
      <c r="G580" s="16"/>
      <c r="H580" s="87"/>
      <c r="I580" s="4"/>
    </row>
    <row r="581" spans="1:9">
      <c r="A581" s="32"/>
      <c r="B581" s="14"/>
      <c r="C581" s="4"/>
      <c r="D581" s="4"/>
      <c r="E581" s="17"/>
      <c r="F581" s="17"/>
      <c r="G581" s="16"/>
      <c r="H581" s="87"/>
      <c r="I581" s="4"/>
    </row>
    <row r="582" spans="1:9">
      <c r="A582" s="32"/>
      <c r="B582" s="14"/>
      <c r="C582" s="4"/>
      <c r="D582" s="4"/>
      <c r="E582" s="17"/>
      <c r="F582" s="17"/>
      <c r="G582" s="16"/>
      <c r="H582" s="87"/>
      <c r="I582" s="4"/>
    </row>
    <row r="583" spans="1:9">
      <c r="A583" s="32"/>
      <c r="B583" s="14"/>
      <c r="C583" s="4"/>
      <c r="D583" s="4"/>
      <c r="E583" s="17"/>
      <c r="F583" s="17"/>
      <c r="G583" s="16"/>
      <c r="H583" s="87"/>
      <c r="I583" s="4"/>
    </row>
    <row r="584" spans="1:9">
      <c r="A584" s="32"/>
      <c r="B584" s="14"/>
      <c r="C584" s="4"/>
      <c r="D584" s="4"/>
      <c r="E584" s="17"/>
      <c r="F584" s="17"/>
      <c r="G584" s="16"/>
      <c r="H584" s="87"/>
      <c r="I584" s="4"/>
    </row>
    <row r="585" spans="1:9">
      <c r="A585" s="32"/>
      <c r="B585" s="14"/>
      <c r="C585" s="4"/>
      <c r="D585" s="4"/>
      <c r="E585" s="17"/>
      <c r="F585" s="17"/>
      <c r="G585" s="16"/>
      <c r="H585" s="87"/>
      <c r="I585" s="4"/>
    </row>
    <row r="586" spans="1:9">
      <c r="A586" s="33"/>
      <c r="B586" s="14"/>
      <c r="C586" s="4"/>
      <c r="D586" s="4"/>
      <c r="E586" s="17"/>
      <c r="F586" s="17"/>
      <c r="G586" s="16"/>
      <c r="H586" s="87"/>
      <c r="I586" s="4"/>
    </row>
    <row r="587" spans="1:9">
      <c r="A587" s="32"/>
      <c r="B587" s="14"/>
      <c r="C587" s="4"/>
      <c r="D587" s="4"/>
      <c r="E587" s="17"/>
      <c r="F587" s="17"/>
      <c r="G587" s="16"/>
      <c r="H587" s="87"/>
      <c r="I587" s="4"/>
    </row>
    <row r="588" spans="1:9">
      <c r="A588" s="32"/>
      <c r="B588" s="14"/>
      <c r="C588" s="4"/>
      <c r="D588" s="4"/>
      <c r="E588" s="17"/>
      <c r="F588" s="17"/>
      <c r="G588" s="16"/>
      <c r="H588" s="87"/>
      <c r="I588" s="4"/>
    </row>
    <row r="589" spans="1:9">
      <c r="A589" s="32"/>
      <c r="B589" s="14"/>
      <c r="C589" s="4"/>
      <c r="D589" s="4"/>
      <c r="E589" s="17"/>
      <c r="F589" s="17"/>
      <c r="G589" s="16"/>
      <c r="H589" s="87"/>
      <c r="I589" s="4"/>
    </row>
    <row r="590" spans="1:9">
      <c r="A590" s="32"/>
      <c r="B590" s="14"/>
      <c r="C590" s="4"/>
      <c r="D590" s="4"/>
      <c r="E590" s="17"/>
      <c r="F590" s="17"/>
      <c r="G590" s="16"/>
      <c r="H590" s="87"/>
      <c r="I590" s="4"/>
    </row>
    <row r="591" spans="1:9">
      <c r="A591" s="32"/>
      <c r="B591" s="14"/>
      <c r="C591" s="4"/>
      <c r="D591" s="4"/>
      <c r="E591" s="17"/>
      <c r="F591" s="17"/>
      <c r="G591" s="16"/>
      <c r="H591" s="87"/>
      <c r="I591" s="4"/>
    </row>
    <row r="592" spans="1:9">
      <c r="A592" s="32"/>
      <c r="B592" s="14"/>
      <c r="C592" s="4"/>
      <c r="D592" s="4"/>
      <c r="E592" s="17"/>
      <c r="F592" s="17"/>
      <c r="G592" s="16"/>
      <c r="H592" s="87"/>
      <c r="I592" s="4"/>
    </row>
    <row r="593" spans="1:9">
      <c r="A593" s="33"/>
      <c r="B593" s="14"/>
      <c r="C593" s="4"/>
      <c r="D593" s="4"/>
      <c r="E593" s="17"/>
      <c r="F593" s="17"/>
      <c r="G593" s="16"/>
      <c r="H593" s="87"/>
      <c r="I593" s="4"/>
    </row>
    <row r="594" spans="1:9">
      <c r="A594" s="32"/>
      <c r="B594" s="14"/>
      <c r="C594" s="4"/>
      <c r="D594" s="4"/>
      <c r="E594" s="17"/>
      <c r="F594" s="17"/>
      <c r="G594" s="16"/>
      <c r="H594" s="87"/>
      <c r="I594" s="4"/>
    </row>
    <row r="595" spans="1:9">
      <c r="A595" s="32"/>
      <c r="B595" s="14"/>
      <c r="C595" s="4"/>
      <c r="D595" s="4"/>
      <c r="E595" s="17"/>
      <c r="F595" s="17"/>
      <c r="G595" s="16"/>
      <c r="H595" s="87"/>
      <c r="I595" s="4"/>
    </row>
    <row r="596" spans="1:9">
      <c r="A596" s="32"/>
      <c r="B596" s="14"/>
      <c r="C596" s="4"/>
      <c r="D596" s="4"/>
      <c r="E596" s="17"/>
      <c r="F596" s="17"/>
      <c r="G596" s="16"/>
      <c r="H596" s="87"/>
      <c r="I596" s="4"/>
    </row>
    <row r="597" spans="1:9">
      <c r="A597" s="32"/>
      <c r="B597" s="14"/>
      <c r="C597" s="4"/>
      <c r="D597" s="4"/>
      <c r="E597" s="17"/>
      <c r="F597" s="17"/>
      <c r="G597" s="16"/>
      <c r="H597" s="87"/>
      <c r="I597" s="4"/>
    </row>
    <row r="598" spans="1:9">
      <c r="A598" s="32"/>
      <c r="B598" s="14"/>
      <c r="C598" s="4"/>
      <c r="D598" s="4"/>
      <c r="E598" s="17"/>
      <c r="F598" s="17"/>
      <c r="G598" s="16"/>
      <c r="H598" s="87"/>
      <c r="I598" s="4"/>
    </row>
    <row r="599" spans="1:9">
      <c r="A599" s="32"/>
      <c r="B599" s="14"/>
      <c r="C599" s="4"/>
      <c r="D599" s="4"/>
      <c r="E599" s="17"/>
      <c r="F599" s="17"/>
      <c r="G599" s="16"/>
      <c r="H599" s="87"/>
      <c r="I599" s="4"/>
    </row>
    <row r="600" spans="1:9">
      <c r="A600" s="33"/>
      <c r="B600" s="14"/>
      <c r="C600" s="4"/>
      <c r="D600" s="4"/>
      <c r="E600" s="17"/>
      <c r="F600" s="17"/>
      <c r="G600" s="16"/>
      <c r="H600" s="87"/>
      <c r="I600" s="4"/>
    </row>
    <row r="601" spans="1:9">
      <c r="A601" s="32"/>
      <c r="B601" s="14"/>
      <c r="C601" s="4"/>
      <c r="D601" s="4"/>
      <c r="E601" s="17"/>
      <c r="F601" s="17"/>
      <c r="G601" s="16"/>
      <c r="H601" s="87"/>
      <c r="I601" s="4"/>
    </row>
    <row r="602" spans="1:9">
      <c r="A602" s="32"/>
      <c r="B602" s="14"/>
      <c r="C602" s="4"/>
      <c r="D602" s="4"/>
      <c r="E602" s="17"/>
      <c r="F602" s="17"/>
      <c r="G602" s="16"/>
      <c r="H602" s="87"/>
      <c r="I602" s="4"/>
    </row>
    <row r="603" spans="1:9">
      <c r="A603" s="32"/>
      <c r="B603" s="14"/>
      <c r="C603" s="4"/>
      <c r="D603" s="4"/>
      <c r="E603" s="17"/>
      <c r="F603" s="17"/>
      <c r="G603" s="16"/>
      <c r="H603" s="87"/>
      <c r="I603" s="4"/>
    </row>
    <row r="604" spans="1:9">
      <c r="A604" s="32"/>
      <c r="B604" s="14"/>
      <c r="C604" s="4"/>
      <c r="D604" s="4"/>
      <c r="E604" s="17"/>
      <c r="F604" s="17"/>
      <c r="G604" s="16"/>
      <c r="H604" s="87"/>
      <c r="I604" s="4"/>
    </row>
    <row r="605" spans="1:9">
      <c r="A605" s="32"/>
      <c r="B605" s="14"/>
      <c r="C605" s="4"/>
      <c r="D605" s="4"/>
      <c r="E605" s="17"/>
      <c r="F605" s="17"/>
      <c r="G605" s="16"/>
      <c r="H605" s="87"/>
      <c r="I605" s="4"/>
    </row>
    <row r="606" spans="1:9">
      <c r="A606" s="32"/>
      <c r="B606" s="14"/>
      <c r="C606" s="4"/>
      <c r="D606" s="4"/>
      <c r="E606" s="17"/>
      <c r="F606" s="17"/>
      <c r="G606" s="16"/>
      <c r="H606" s="87"/>
      <c r="I606" s="4"/>
    </row>
    <row r="607" spans="1:9">
      <c r="A607" s="33"/>
      <c r="B607" s="14"/>
      <c r="C607" s="4"/>
      <c r="D607" s="4"/>
      <c r="E607" s="17"/>
      <c r="F607" s="17"/>
      <c r="G607" s="16"/>
      <c r="H607" s="87"/>
      <c r="I607" s="4"/>
    </row>
    <row r="608" spans="1:9">
      <c r="A608" s="32"/>
      <c r="B608" s="14"/>
      <c r="C608" s="4"/>
      <c r="D608" s="4"/>
      <c r="E608" s="17"/>
      <c r="F608" s="17"/>
      <c r="G608" s="16"/>
      <c r="H608" s="87"/>
      <c r="I608" s="4"/>
    </row>
    <row r="609" spans="1:9">
      <c r="A609" s="32"/>
      <c r="B609" s="14"/>
      <c r="C609" s="4"/>
      <c r="D609" s="4"/>
      <c r="E609" s="17"/>
      <c r="F609" s="17"/>
      <c r="G609" s="16"/>
      <c r="H609" s="87"/>
      <c r="I609" s="4"/>
    </row>
    <row r="610" spans="1:9">
      <c r="A610" s="32"/>
      <c r="B610" s="14"/>
      <c r="C610" s="4"/>
      <c r="D610" s="4"/>
      <c r="E610" s="17"/>
      <c r="F610" s="17"/>
      <c r="G610" s="16"/>
      <c r="H610" s="87"/>
      <c r="I610" s="4"/>
    </row>
    <row r="611" spans="1:9">
      <c r="A611" s="32"/>
      <c r="B611" s="14"/>
      <c r="C611" s="4"/>
      <c r="D611" s="4"/>
      <c r="E611" s="17"/>
      <c r="F611" s="17"/>
      <c r="G611" s="16"/>
      <c r="H611" s="87"/>
      <c r="I611" s="4"/>
    </row>
    <row r="612" spans="1:9">
      <c r="A612" s="32"/>
      <c r="B612" s="14"/>
      <c r="C612" s="4"/>
      <c r="D612" s="4"/>
      <c r="E612" s="17"/>
      <c r="F612" s="17"/>
      <c r="G612" s="16"/>
      <c r="H612" s="87"/>
      <c r="I612" s="4"/>
    </row>
    <row r="613" spans="1:9">
      <c r="A613" s="32"/>
      <c r="B613" s="14"/>
      <c r="C613" s="4"/>
      <c r="D613" s="4"/>
      <c r="E613" s="17"/>
      <c r="F613" s="17"/>
      <c r="G613" s="16"/>
      <c r="H613" s="87"/>
      <c r="I613" s="4"/>
    </row>
    <row r="614" spans="1:9">
      <c r="A614" s="33"/>
      <c r="B614" s="14"/>
      <c r="C614" s="4"/>
      <c r="D614" s="4"/>
      <c r="E614" s="17"/>
      <c r="F614" s="17"/>
      <c r="G614" s="16"/>
      <c r="H614" s="87"/>
      <c r="I614" s="4"/>
    </row>
    <row r="615" spans="1:9">
      <c r="A615" s="32"/>
      <c r="B615" s="14"/>
      <c r="C615" s="4"/>
      <c r="D615" s="4"/>
      <c r="E615" s="17"/>
      <c r="F615" s="17"/>
      <c r="G615" s="16"/>
      <c r="H615" s="87"/>
      <c r="I615" s="4"/>
    </row>
    <row r="616" spans="1:9">
      <c r="A616" s="32"/>
      <c r="B616" s="14"/>
      <c r="C616" s="4"/>
      <c r="D616" s="4"/>
      <c r="E616" s="17"/>
      <c r="F616" s="17"/>
      <c r="G616" s="16"/>
      <c r="H616" s="87"/>
      <c r="I616" s="4"/>
    </row>
    <row r="617" spans="1:9">
      <c r="A617" s="32"/>
      <c r="B617" s="14"/>
      <c r="C617" s="4"/>
      <c r="D617" s="4"/>
      <c r="E617" s="17"/>
      <c r="F617" s="17"/>
      <c r="G617" s="16"/>
      <c r="H617" s="87"/>
      <c r="I617" s="4"/>
    </row>
    <row r="618" spans="1:9">
      <c r="A618" s="32"/>
      <c r="B618" s="14"/>
      <c r="C618" s="4"/>
      <c r="D618" s="4"/>
      <c r="E618" s="17"/>
      <c r="F618" s="17"/>
      <c r="G618" s="16"/>
      <c r="H618" s="87"/>
      <c r="I618" s="4"/>
    </row>
    <row r="619" spans="1:9">
      <c r="A619" s="32"/>
      <c r="B619" s="14"/>
      <c r="C619" s="4"/>
      <c r="D619" s="4"/>
      <c r="E619" s="17"/>
      <c r="F619" s="17"/>
      <c r="G619" s="16"/>
      <c r="H619" s="87"/>
      <c r="I619" s="4"/>
    </row>
    <row r="620" spans="1:9">
      <c r="A620" s="32"/>
      <c r="B620" s="14"/>
      <c r="C620" s="4"/>
      <c r="D620" s="4"/>
      <c r="E620" s="17"/>
      <c r="F620" s="17"/>
      <c r="G620" s="16"/>
      <c r="H620" s="87"/>
      <c r="I620" s="4"/>
    </row>
    <row r="621" spans="1:9">
      <c r="A621" s="33"/>
      <c r="B621" s="14"/>
      <c r="C621" s="4"/>
      <c r="D621" s="4"/>
      <c r="E621" s="17"/>
      <c r="F621" s="17"/>
      <c r="G621" s="16"/>
      <c r="H621" s="87"/>
      <c r="I621" s="4"/>
    </row>
    <row r="622" spans="1:9">
      <c r="A622" s="32"/>
      <c r="B622" s="14"/>
      <c r="C622" s="4"/>
      <c r="D622" s="4"/>
      <c r="E622" s="17"/>
      <c r="F622" s="17"/>
      <c r="G622" s="16"/>
      <c r="H622" s="87"/>
      <c r="I622" s="4"/>
    </row>
    <row r="623" spans="1:9">
      <c r="A623" s="32"/>
      <c r="B623" s="14"/>
      <c r="C623" s="4"/>
      <c r="D623" s="4"/>
      <c r="E623" s="17"/>
      <c r="F623" s="17"/>
      <c r="G623" s="16"/>
      <c r="H623" s="87"/>
      <c r="I623" s="4"/>
    </row>
    <row r="624" spans="1:9">
      <c r="A624" s="32"/>
      <c r="B624" s="14"/>
      <c r="C624" s="4"/>
      <c r="D624" s="4"/>
      <c r="E624" s="17"/>
      <c r="F624" s="17"/>
      <c r="G624" s="16"/>
      <c r="H624" s="87"/>
      <c r="I624" s="4"/>
    </row>
    <row r="625" spans="1:9">
      <c r="A625" s="32"/>
      <c r="B625" s="14"/>
      <c r="C625" s="4"/>
      <c r="D625" s="4"/>
      <c r="E625" s="17"/>
      <c r="F625" s="17"/>
      <c r="G625" s="16"/>
      <c r="H625" s="87"/>
      <c r="I625" s="4"/>
    </row>
    <row r="626" spans="1:9">
      <c r="A626" s="32"/>
      <c r="B626" s="14"/>
      <c r="C626" s="4"/>
      <c r="D626" s="4"/>
      <c r="E626" s="17"/>
      <c r="F626" s="17"/>
      <c r="G626" s="16"/>
      <c r="H626" s="87"/>
      <c r="I626" s="4"/>
    </row>
    <row r="627" spans="1:9">
      <c r="A627" s="32"/>
      <c r="B627" s="14"/>
      <c r="C627" s="4"/>
      <c r="D627" s="4"/>
      <c r="E627" s="17"/>
      <c r="F627" s="17"/>
      <c r="G627" s="16"/>
      <c r="H627" s="87"/>
      <c r="I627" s="4"/>
    </row>
    <row r="628" spans="1:9">
      <c r="A628" s="33"/>
      <c r="B628" s="14"/>
      <c r="C628" s="4"/>
      <c r="D628" s="4"/>
      <c r="E628" s="17"/>
      <c r="F628" s="17"/>
      <c r="G628" s="16"/>
      <c r="H628" s="87"/>
      <c r="I628" s="4"/>
    </row>
    <row r="629" spans="1:9">
      <c r="A629" s="32"/>
      <c r="B629" s="14"/>
      <c r="C629" s="4"/>
      <c r="D629" s="4"/>
      <c r="E629" s="17"/>
      <c r="F629" s="17"/>
      <c r="G629" s="16"/>
      <c r="H629" s="87"/>
      <c r="I629" s="4"/>
    </row>
    <row r="630" spans="1:9">
      <c r="A630" s="32"/>
      <c r="B630" s="14"/>
      <c r="C630" s="4"/>
      <c r="D630" s="4"/>
      <c r="E630" s="17"/>
      <c r="F630" s="17"/>
      <c r="G630" s="16"/>
      <c r="H630" s="87"/>
      <c r="I630" s="4"/>
    </row>
    <row r="631" spans="1:9">
      <c r="A631" s="32"/>
      <c r="B631" s="14"/>
      <c r="C631" s="4"/>
      <c r="D631" s="4"/>
      <c r="E631" s="17"/>
      <c r="F631" s="17"/>
      <c r="G631" s="16"/>
      <c r="H631" s="87"/>
      <c r="I631" s="4"/>
    </row>
    <row r="632" spans="1:9">
      <c r="A632" s="32"/>
      <c r="B632" s="14"/>
      <c r="C632" s="4"/>
      <c r="D632" s="4"/>
      <c r="E632" s="17"/>
      <c r="F632" s="17"/>
      <c r="G632" s="16"/>
      <c r="H632" s="87"/>
      <c r="I632" s="4"/>
    </row>
    <row r="633" spans="1:9">
      <c r="A633" s="32"/>
      <c r="B633" s="14"/>
      <c r="C633" s="4"/>
      <c r="D633" s="4"/>
      <c r="E633" s="17"/>
      <c r="F633" s="17"/>
      <c r="G633" s="16"/>
      <c r="H633" s="87"/>
      <c r="I633" s="4"/>
    </row>
    <row r="634" spans="1:9">
      <c r="A634" s="32"/>
      <c r="B634" s="14"/>
      <c r="C634" s="4"/>
      <c r="D634" s="4"/>
      <c r="E634" s="17"/>
      <c r="F634" s="17"/>
      <c r="G634" s="16"/>
      <c r="H634" s="87"/>
      <c r="I634" s="4"/>
    </row>
    <row r="635" spans="1:9">
      <c r="A635" s="33"/>
      <c r="B635" s="14"/>
      <c r="C635" s="4"/>
      <c r="D635" s="4"/>
      <c r="E635" s="17"/>
      <c r="F635" s="17"/>
      <c r="G635" s="16"/>
      <c r="H635" s="87"/>
      <c r="I635" s="4"/>
    </row>
    <row r="636" spans="1:9">
      <c r="A636" s="32"/>
      <c r="B636" s="14"/>
      <c r="C636" s="4"/>
      <c r="D636" s="4"/>
      <c r="E636" s="17"/>
      <c r="F636" s="17"/>
      <c r="G636" s="16"/>
      <c r="H636" s="87"/>
      <c r="I636" s="4"/>
    </row>
    <row r="637" spans="1:9">
      <c r="A637" s="32"/>
      <c r="B637" s="14"/>
      <c r="C637" s="4"/>
      <c r="D637" s="4"/>
      <c r="E637" s="17"/>
      <c r="F637" s="17"/>
      <c r="G637" s="16"/>
      <c r="H637" s="87"/>
      <c r="I637" s="4"/>
    </row>
    <row r="638" spans="1:9">
      <c r="A638" s="32"/>
      <c r="B638" s="14"/>
      <c r="C638" s="4"/>
      <c r="D638" s="4"/>
      <c r="E638" s="17"/>
      <c r="F638" s="17"/>
      <c r="G638" s="16"/>
      <c r="H638" s="87"/>
      <c r="I638" s="4"/>
    </row>
    <row r="639" spans="1:9">
      <c r="A639" s="32"/>
      <c r="B639" s="14"/>
      <c r="C639" s="4"/>
      <c r="D639" s="4"/>
      <c r="E639" s="17"/>
      <c r="F639" s="17"/>
      <c r="G639" s="16"/>
      <c r="H639" s="87"/>
      <c r="I639" s="4"/>
    </row>
    <row r="640" spans="1:9">
      <c r="A640" s="32"/>
      <c r="B640" s="14"/>
      <c r="C640" s="4"/>
      <c r="D640" s="4"/>
      <c r="E640" s="17"/>
      <c r="F640" s="17"/>
      <c r="G640" s="16"/>
      <c r="H640" s="87"/>
      <c r="I640" s="4"/>
    </row>
    <row r="641" spans="1:9">
      <c r="A641" s="32"/>
      <c r="B641" s="14"/>
      <c r="C641" s="4"/>
      <c r="D641" s="4"/>
      <c r="E641" s="17"/>
      <c r="F641" s="17"/>
      <c r="G641" s="16"/>
      <c r="H641" s="87"/>
      <c r="I641" s="4"/>
    </row>
    <row r="642" spans="1:9">
      <c r="A642" s="33"/>
      <c r="B642" s="14"/>
      <c r="C642" s="4"/>
      <c r="D642" s="4"/>
      <c r="E642" s="17"/>
      <c r="F642" s="17"/>
      <c r="G642" s="16"/>
      <c r="H642" s="87"/>
      <c r="I642" s="4"/>
    </row>
    <row r="643" spans="1:9">
      <c r="A643" s="32"/>
      <c r="B643" s="14"/>
      <c r="C643" s="4"/>
      <c r="D643" s="4"/>
      <c r="E643" s="17"/>
      <c r="F643" s="17"/>
      <c r="G643" s="16"/>
      <c r="H643" s="87"/>
      <c r="I643" s="4"/>
    </row>
    <row r="644" spans="1:9">
      <c r="A644" s="32"/>
      <c r="B644" s="14"/>
      <c r="C644" s="4"/>
      <c r="D644" s="4"/>
      <c r="E644" s="17"/>
      <c r="F644" s="17"/>
      <c r="G644" s="16"/>
      <c r="H644" s="87"/>
      <c r="I644" s="4"/>
    </row>
    <row r="645" spans="1:9">
      <c r="A645" s="32"/>
      <c r="B645" s="14"/>
      <c r="C645" s="4"/>
      <c r="D645" s="4"/>
      <c r="E645" s="17"/>
      <c r="F645" s="17"/>
      <c r="G645" s="16"/>
      <c r="H645" s="87"/>
      <c r="I645" s="4"/>
    </row>
    <row r="646" spans="1:9">
      <c r="A646" s="32"/>
      <c r="B646" s="14"/>
      <c r="C646" s="4"/>
      <c r="D646" s="4"/>
      <c r="E646" s="17"/>
      <c r="F646" s="17"/>
      <c r="G646" s="16"/>
      <c r="H646" s="87"/>
      <c r="I646" s="4"/>
    </row>
    <row r="647" spans="1:9">
      <c r="A647" s="32"/>
      <c r="B647" s="14"/>
      <c r="C647" s="4"/>
      <c r="D647" s="4"/>
      <c r="E647" s="17"/>
      <c r="F647" s="17"/>
      <c r="G647" s="16"/>
      <c r="H647" s="87"/>
      <c r="I647" s="4"/>
    </row>
    <row r="648" spans="1:9">
      <c r="A648" s="32"/>
      <c r="B648" s="14"/>
      <c r="C648" s="4"/>
      <c r="D648" s="4"/>
      <c r="E648" s="17"/>
      <c r="F648" s="17"/>
      <c r="G648" s="16"/>
      <c r="H648" s="87"/>
      <c r="I648" s="4"/>
    </row>
    <row r="649" spans="1:9">
      <c r="A649" s="33"/>
      <c r="B649" s="14"/>
      <c r="C649" s="4"/>
      <c r="D649" s="4"/>
      <c r="E649" s="17"/>
      <c r="F649" s="17"/>
      <c r="G649" s="16"/>
      <c r="H649" s="87"/>
      <c r="I649" s="4"/>
    </row>
    <row r="650" spans="1:9">
      <c r="A650" s="32"/>
      <c r="B650" s="14"/>
      <c r="C650" s="4"/>
      <c r="D650" s="4"/>
      <c r="E650" s="17"/>
      <c r="F650" s="17"/>
      <c r="G650" s="16"/>
      <c r="H650" s="87"/>
      <c r="I650" s="4"/>
    </row>
    <row r="651" spans="1:9">
      <c r="A651" s="32"/>
      <c r="B651" s="14"/>
      <c r="C651" s="4"/>
      <c r="D651" s="4"/>
      <c r="E651" s="17"/>
      <c r="F651" s="17"/>
      <c r="G651" s="16"/>
      <c r="H651" s="87"/>
      <c r="I651" s="4"/>
    </row>
    <row r="652" spans="1:9">
      <c r="A652" s="32"/>
      <c r="B652" s="14"/>
      <c r="C652" s="4"/>
      <c r="D652" s="4"/>
      <c r="E652" s="17"/>
      <c r="F652" s="17"/>
      <c r="G652" s="16"/>
      <c r="H652" s="87"/>
      <c r="I652" s="4"/>
    </row>
    <row r="653" spans="1:9">
      <c r="A653" s="32"/>
      <c r="B653" s="14"/>
      <c r="C653" s="4"/>
      <c r="D653" s="4"/>
      <c r="E653" s="17"/>
      <c r="F653" s="17"/>
      <c r="G653" s="16"/>
      <c r="H653" s="87"/>
      <c r="I653" s="4"/>
    </row>
    <row r="654" spans="1:9">
      <c r="A654" s="32"/>
      <c r="B654" s="14"/>
      <c r="C654" s="4"/>
      <c r="D654" s="4"/>
      <c r="E654" s="17"/>
      <c r="F654" s="17"/>
      <c r="G654" s="16"/>
      <c r="H654" s="87"/>
      <c r="I654" s="4"/>
    </row>
    <row r="655" spans="1:9">
      <c r="A655" s="32"/>
      <c r="B655" s="14"/>
      <c r="C655" s="4"/>
      <c r="D655" s="4"/>
      <c r="E655" s="17"/>
      <c r="F655" s="17"/>
      <c r="G655" s="16"/>
      <c r="H655" s="87"/>
      <c r="I655" s="4"/>
    </row>
    <row r="656" spans="1:9">
      <c r="A656" s="33"/>
      <c r="B656" s="14"/>
      <c r="C656" s="4"/>
      <c r="D656" s="4"/>
      <c r="E656" s="17"/>
      <c r="F656" s="17"/>
      <c r="G656" s="16"/>
      <c r="H656" s="87"/>
      <c r="I656" s="4"/>
    </row>
    <row r="657" spans="1:9">
      <c r="A657" s="32"/>
      <c r="B657" s="14"/>
      <c r="C657" s="4"/>
      <c r="D657" s="4"/>
      <c r="E657" s="17"/>
      <c r="F657" s="17"/>
      <c r="G657" s="16"/>
      <c r="H657" s="87"/>
      <c r="I657" s="4"/>
    </row>
    <row r="658" spans="1:9">
      <c r="A658" s="32"/>
      <c r="B658" s="14"/>
      <c r="C658" s="4"/>
      <c r="D658" s="4"/>
      <c r="E658" s="17"/>
      <c r="F658" s="17"/>
      <c r="G658" s="16"/>
      <c r="H658" s="87"/>
      <c r="I658" s="4"/>
    </row>
    <row r="659" spans="1:9">
      <c r="A659" s="32"/>
      <c r="B659" s="14"/>
      <c r="C659" s="4"/>
      <c r="D659" s="4"/>
      <c r="E659" s="17"/>
      <c r="F659" s="17"/>
      <c r="G659" s="16"/>
      <c r="H659" s="87"/>
      <c r="I659" s="4"/>
    </row>
    <row r="660" spans="1:9">
      <c r="A660" s="32"/>
      <c r="B660" s="14"/>
      <c r="C660" s="4"/>
      <c r="D660" s="4"/>
      <c r="E660" s="17"/>
      <c r="F660" s="17"/>
      <c r="G660" s="16"/>
      <c r="H660" s="87"/>
      <c r="I660" s="4"/>
    </row>
    <row r="661" spans="1:9">
      <c r="A661" s="32"/>
      <c r="B661" s="14"/>
      <c r="C661" s="4"/>
      <c r="D661" s="4"/>
      <c r="E661" s="17"/>
      <c r="F661" s="17"/>
      <c r="G661" s="16"/>
      <c r="H661" s="87"/>
      <c r="I661" s="4"/>
    </row>
    <row r="662" spans="1:9">
      <c r="A662" s="32"/>
      <c r="B662" s="14"/>
      <c r="C662" s="4"/>
      <c r="D662" s="4"/>
      <c r="E662" s="17"/>
      <c r="F662" s="17"/>
      <c r="G662" s="16"/>
      <c r="H662" s="87"/>
      <c r="I662" s="4"/>
    </row>
    <row r="663" spans="1:9">
      <c r="A663" s="33"/>
      <c r="B663" s="14"/>
      <c r="C663" s="4"/>
      <c r="D663" s="4"/>
      <c r="E663" s="17"/>
      <c r="F663" s="17"/>
      <c r="G663" s="16"/>
      <c r="H663" s="87"/>
      <c r="I663" s="4"/>
    </row>
    <row r="664" spans="1:9">
      <c r="A664" s="32"/>
      <c r="B664" s="14"/>
      <c r="C664" s="4"/>
      <c r="D664" s="4"/>
      <c r="E664" s="17"/>
      <c r="F664" s="17"/>
      <c r="G664" s="16"/>
      <c r="H664" s="87"/>
      <c r="I664" s="4"/>
    </row>
    <row r="665" spans="1:9">
      <c r="A665" s="32"/>
      <c r="B665" s="14"/>
      <c r="C665" s="4"/>
      <c r="D665" s="4"/>
      <c r="E665" s="17"/>
      <c r="F665" s="17"/>
      <c r="G665" s="16"/>
      <c r="H665" s="87"/>
      <c r="I665" s="4"/>
    </row>
    <row r="666" spans="1:9">
      <c r="A666" s="32"/>
      <c r="B666" s="14"/>
      <c r="C666" s="4"/>
      <c r="D666" s="4"/>
      <c r="E666" s="17"/>
      <c r="F666" s="17"/>
      <c r="G666" s="16"/>
      <c r="H666" s="87"/>
      <c r="I666" s="4"/>
    </row>
    <row r="667" spans="1:9">
      <c r="A667" s="32"/>
      <c r="B667" s="14"/>
      <c r="C667" s="4"/>
      <c r="D667" s="4"/>
      <c r="E667" s="17"/>
      <c r="F667" s="17"/>
      <c r="G667" s="16"/>
      <c r="H667" s="87"/>
      <c r="I667" s="4"/>
    </row>
    <row r="668" spans="1:9">
      <c r="A668" s="32"/>
      <c r="B668" s="14"/>
      <c r="C668" s="4"/>
      <c r="D668" s="4"/>
      <c r="E668" s="17"/>
      <c r="F668" s="17"/>
      <c r="G668" s="16"/>
      <c r="H668" s="87"/>
      <c r="I668" s="4"/>
    </row>
    <row r="669" spans="1:9">
      <c r="A669" s="32"/>
      <c r="B669" s="14"/>
      <c r="C669" s="4"/>
      <c r="D669" s="4"/>
      <c r="E669" s="17"/>
      <c r="F669" s="17"/>
      <c r="G669" s="16"/>
      <c r="H669" s="87"/>
      <c r="I669" s="4"/>
    </row>
    <row r="670" spans="1:9">
      <c r="A670" s="33"/>
      <c r="B670" s="14"/>
      <c r="C670" s="4"/>
      <c r="D670" s="4"/>
      <c r="E670" s="17"/>
      <c r="F670" s="17"/>
      <c r="G670" s="16"/>
      <c r="H670" s="87"/>
      <c r="I670" s="4"/>
    </row>
    <row r="671" spans="1:9">
      <c r="A671" s="32"/>
      <c r="B671" s="14"/>
      <c r="C671" s="4"/>
      <c r="D671" s="4"/>
      <c r="E671" s="17"/>
      <c r="F671" s="17"/>
      <c r="G671" s="16"/>
      <c r="H671" s="87"/>
      <c r="I671" s="4"/>
    </row>
    <row r="672" spans="1:9">
      <c r="A672" s="32"/>
      <c r="B672" s="14"/>
      <c r="C672" s="4"/>
      <c r="D672" s="4"/>
      <c r="E672" s="17"/>
      <c r="F672" s="17"/>
      <c r="G672" s="16"/>
      <c r="H672" s="87"/>
      <c r="I672" s="4"/>
    </row>
    <row r="673" spans="1:9">
      <c r="A673" s="32"/>
      <c r="B673" s="14"/>
      <c r="C673" s="4"/>
      <c r="D673" s="4"/>
      <c r="E673" s="17"/>
      <c r="F673" s="17"/>
      <c r="G673" s="16"/>
      <c r="H673" s="87"/>
      <c r="I673" s="4"/>
    </row>
    <row r="674" spans="1:9">
      <c r="A674" s="32"/>
      <c r="B674" s="14"/>
      <c r="C674" s="4"/>
      <c r="D674" s="4"/>
      <c r="E674" s="17"/>
      <c r="F674" s="17"/>
      <c r="G674" s="16"/>
      <c r="H674" s="87"/>
      <c r="I674" s="4"/>
    </row>
    <row r="675" spans="1:9">
      <c r="A675" s="32"/>
      <c r="B675" s="14"/>
      <c r="C675" s="4"/>
      <c r="D675" s="4"/>
      <c r="E675" s="17"/>
      <c r="F675" s="17"/>
      <c r="G675" s="16"/>
      <c r="H675" s="87"/>
      <c r="I675" s="4"/>
    </row>
    <row r="676" spans="1:9">
      <c r="A676" s="32"/>
      <c r="B676" s="14"/>
      <c r="C676" s="4"/>
      <c r="D676" s="4"/>
      <c r="E676" s="17"/>
      <c r="F676" s="17"/>
      <c r="G676" s="16"/>
      <c r="H676" s="87"/>
      <c r="I676" s="4"/>
    </row>
    <row r="677" spans="1:9">
      <c r="A677" s="33"/>
      <c r="B677" s="14"/>
      <c r="C677" s="4"/>
      <c r="D677" s="4"/>
      <c r="E677" s="17"/>
      <c r="F677" s="17"/>
      <c r="G677" s="16"/>
      <c r="H677" s="87"/>
      <c r="I677" s="4"/>
    </row>
    <row r="678" spans="1:9">
      <c r="A678" s="32"/>
      <c r="B678" s="14"/>
      <c r="C678" s="4"/>
      <c r="D678" s="4"/>
      <c r="E678" s="17"/>
      <c r="F678" s="17"/>
      <c r="G678" s="16"/>
      <c r="H678" s="87"/>
      <c r="I678" s="4"/>
    </row>
    <row r="679" spans="1:9">
      <c r="A679" s="32"/>
      <c r="B679" s="14"/>
      <c r="C679" s="4"/>
      <c r="D679" s="4"/>
      <c r="E679" s="17"/>
      <c r="F679" s="17"/>
      <c r="G679" s="16"/>
      <c r="H679" s="87"/>
      <c r="I679" s="4"/>
    </row>
    <row r="680" spans="1:9">
      <c r="A680" s="32"/>
      <c r="B680" s="14"/>
      <c r="C680" s="4"/>
      <c r="D680" s="4"/>
      <c r="E680" s="17"/>
      <c r="F680" s="17"/>
      <c r="G680" s="16"/>
      <c r="H680" s="87"/>
      <c r="I680" s="4"/>
    </row>
    <row r="681" spans="1:9">
      <c r="A681" s="32"/>
      <c r="B681" s="14"/>
      <c r="C681" s="4"/>
      <c r="D681" s="4"/>
      <c r="E681" s="17"/>
      <c r="F681" s="17"/>
      <c r="G681" s="16"/>
      <c r="H681" s="87"/>
      <c r="I681" s="4"/>
    </row>
    <row r="682" spans="1:9">
      <c r="A682" s="32"/>
      <c r="B682" s="14"/>
      <c r="C682" s="4"/>
      <c r="D682" s="4"/>
      <c r="E682" s="17"/>
      <c r="F682" s="17"/>
      <c r="G682" s="16"/>
      <c r="H682" s="87"/>
      <c r="I682" s="4"/>
    </row>
    <row r="683" spans="1:9">
      <c r="A683" s="32"/>
      <c r="B683" s="14"/>
      <c r="C683" s="4"/>
      <c r="D683" s="4"/>
      <c r="E683" s="17"/>
      <c r="F683" s="17"/>
      <c r="G683" s="16"/>
      <c r="H683" s="87"/>
      <c r="I683" s="4"/>
    </row>
    <row r="684" spans="1:9">
      <c r="A684" s="33"/>
      <c r="B684" s="14"/>
      <c r="C684" s="4"/>
      <c r="D684" s="4"/>
      <c r="E684" s="17"/>
      <c r="F684" s="17"/>
      <c r="G684" s="16"/>
      <c r="H684" s="87"/>
      <c r="I684" s="4"/>
    </row>
    <row r="685" spans="1:9">
      <c r="A685" s="32"/>
      <c r="B685" s="14"/>
      <c r="C685" s="4"/>
      <c r="D685" s="4"/>
      <c r="E685" s="17"/>
      <c r="F685" s="17"/>
      <c r="G685" s="16"/>
      <c r="H685" s="87"/>
      <c r="I685" s="4"/>
    </row>
    <row r="686" spans="1:9">
      <c r="A686" s="32"/>
      <c r="B686" s="14"/>
      <c r="C686" s="4"/>
      <c r="D686" s="4"/>
      <c r="E686" s="17"/>
      <c r="F686" s="17"/>
      <c r="G686" s="16"/>
      <c r="H686" s="87"/>
      <c r="I686" s="4"/>
    </row>
    <row r="687" spans="1:9">
      <c r="A687" s="32"/>
      <c r="B687" s="14"/>
      <c r="C687" s="4"/>
      <c r="D687" s="4"/>
      <c r="E687" s="17"/>
      <c r="F687" s="17"/>
      <c r="G687" s="16"/>
      <c r="H687" s="87"/>
      <c r="I687" s="4"/>
    </row>
    <row r="688" spans="1:9">
      <c r="A688" s="32"/>
      <c r="B688" s="14"/>
      <c r="C688" s="4"/>
      <c r="D688" s="4"/>
      <c r="E688" s="17"/>
      <c r="F688" s="17"/>
      <c r="G688" s="16"/>
      <c r="H688" s="87"/>
      <c r="I688" s="4"/>
    </row>
    <row r="689" spans="1:9">
      <c r="A689" s="32"/>
      <c r="B689" s="14"/>
      <c r="C689" s="4"/>
      <c r="D689" s="4"/>
      <c r="E689" s="17"/>
      <c r="F689" s="17"/>
      <c r="G689" s="16"/>
      <c r="H689" s="87"/>
      <c r="I689" s="4"/>
    </row>
    <row r="690" spans="1:9">
      <c r="A690" s="32"/>
      <c r="B690" s="14"/>
      <c r="C690" s="4"/>
      <c r="D690" s="4"/>
      <c r="E690" s="17"/>
      <c r="F690" s="17"/>
      <c r="G690" s="16"/>
      <c r="H690" s="87"/>
      <c r="I690" s="4"/>
    </row>
    <row r="691" spans="1:9">
      <c r="A691" s="33"/>
      <c r="B691" s="14"/>
      <c r="C691" s="4"/>
      <c r="D691" s="4"/>
      <c r="E691" s="17"/>
      <c r="F691" s="17"/>
      <c r="G691" s="16"/>
      <c r="H691" s="87"/>
      <c r="I691" s="4"/>
    </row>
    <row r="692" spans="1:9">
      <c r="A692" s="32"/>
      <c r="B692" s="14"/>
      <c r="C692" s="4"/>
      <c r="D692" s="4"/>
      <c r="E692" s="17"/>
      <c r="F692" s="17"/>
      <c r="G692" s="16"/>
      <c r="H692" s="87"/>
      <c r="I692" s="4"/>
    </row>
    <row r="693" spans="1:9">
      <c r="A693" s="32"/>
      <c r="B693" s="14"/>
      <c r="C693" s="4"/>
      <c r="D693" s="4"/>
      <c r="E693" s="17"/>
      <c r="F693" s="17"/>
      <c r="G693" s="16"/>
      <c r="H693" s="87"/>
      <c r="I693" s="4"/>
    </row>
    <row r="694" spans="1:9">
      <c r="A694" s="32"/>
      <c r="B694" s="14"/>
      <c r="C694" s="4"/>
      <c r="D694" s="4"/>
      <c r="E694" s="17"/>
      <c r="F694" s="17"/>
      <c r="G694" s="16"/>
      <c r="H694" s="87"/>
      <c r="I694" s="4"/>
    </row>
    <row r="695" spans="1:9">
      <c r="A695" s="32"/>
      <c r="B695" s="14"/>
      <c r="C695" s="4"/>
      <c r="D695" s="4"/>
      <c r="E695" s="17"/>
      <c r="F695" s="17"/>
      <c r="G695" s="16"/>
      <c r="H695" s="87"/>
      <c r="I695" s="4"/>
    </row>
    <row r="696" spans="1:9">
      <c r="A696" s="32"/>
      <c r="B696" s="14"/>
      <c r="C696" s="4"/>
      <c r="D696" s="4"/>
      <c r="E696" s="17"/>
      <c r="F696" s="17"/>
      <c r="G696" s="16"/>
      <c r="H696" s="87"/>
      <c r="I696" s="4"/>
    </row>
    <row r="697" spans="1:9">
      <c r="A697" s="32"/>
      <c r="B697" s="14"/>
      <c r="C697" s="4"/>
      <c r="D697" s="4"/>
      <c r="E697" s="17"/>
      <c r="F697" s="17"/>
      <c r="G697" s="16"/>
      <c r="H697" s="87"/>
      <c r="I697" s="4"/>
    </row>
    <row r="698" spans="1:9">
      <c r="A698" s="33"/>
      <c r="B698" s="14"/>
      <c r="C698" s="4"/>
      <c r="D698" s="4"/>
      <c r="E698" s="17"/>
      <c r="F698" s="17"/>
      <c r="G698" s="16"/>
      <c r="H698" s="87"/>
      <c r="I698" s="4"/>
    </row>
    <row r="699" spans="1:9">
      <c r="A699" s="32"/>
      <c r="B699" s="14"/>
      <c r="C699" s="4"/>
      <c r="D699" s="4"/>
      <c r="E699" s="17"/>
      <c r="F699" s="17"/>
      <c r="G699" s="16"/>
      <c r="H699" s="87"/>
      <c r="I699" s="4"/>
    </row>
    <row r="700" spans="1:9">
      <c r="A700" s="32"/>
      <c r="B700" s="14"/>
      <c r="C700" s="4"/>
      <c r="D700" s="4"/>
      <c r="E700" s="17"/>
      <c r="F700" s="17"/>
      <c r="G700" s="16"/>
      <c r="H700" s="87"/>
      <c r="I700" s="4"/>
    </row>
    <row r="701" spans="1:9">
      <c r="A701" s="32"/>
      <c r="B701" s="14"/>
      <c r="C701" s="4"/>
      <c r="D701" s="4"/>
      <c r="E701" s="17"/>
      <c r="F701" s="17"/>
      <c r="G701" s="16"/>
      <c r="H701" s="87"/>
      <c r="I701" s="4"/>
    </row>
    <row r="702" spans="1:9">
      <c r="A702" s="32"/>
      <c r="B702" s="14"/>
      <c r="C702" s="4"/>
      <c r="D702" s="4"/>
      <c r="E702" s="17"/>
      <c r="F702" s="17"/>
      <c r="G702" s="16"/>
      <c r="H702" s="87"/>
      <c r="I702" s="4"/>
    </row>
    <row r="703" spans="1:9">
      <c r="A703" s="32"/>
      <c r="B703" s="14"/>
      <c r="C703" s="4"/>
      <c r="D703" s="4"/>
      <c r="E703" s="17"/>
      <c r="F703" s="17"/>
      <c r="G703" s="16"/>
      <c r="H703" s="87"/>
      <c r="I703" s="4"/>
    </row>
    <row r="704" spans="1:9">
      <c r="A704" s="32"/>
      <c r="B704" s="14"/>
      <c r="C704" s="4"/>
      <c r="D704" s="4"/>
      <c r="E704" s="17"/>
      <c r="F704" s="17"/>
      <c r="G704" s="16"/>
      <c r="H704" s="87"/>
      <c r="I704" s="4"/>
    </row>
    <row r="705" spans="1:9">
      <c r="A705" s="33"/>
      <c r="B705" s="14"/>
      <c r="C705" s="4"/>
      <c r="D705" s="4"/>
      <c r="E705" s="17"/>
      <c r="F705" s="17"/>
      <c r="G705" s="16"/>
      <c r="H705" s="87"/>
      <c r="I705" s="4"/>
    </row>
    <row r="706" spans="1:9">
      <c r="A706" s="32"/>
      <c r="B706" s="14"/>
      <c r="C706" s="4"/>
      <c r="D706" s="4"/>
      <c r="E706" s="17"/>
      <c r="F706" s="17"/>
      <c r="G706" s="16"/>
      <c r="H706" s="87"/>
      <c r="I706" s="4"/>
    </row>
    <row r="707" spans="1:9">
      <c r="A707" s="32"/>
      <c r="B707" s="14"/>
      <c r="C707" s="4"/>
      <c r="D707" s="4"/>
      <c r="E707" s="17"/>
      <c r="F707" s="17"/>
      <c r="G707" s="16"/>
      <c r="H707" s="87"/>
      <c r="I707" s="4"/>
    </row>
    <row r="708" spans="1:9">
      <c r="A708" s="32"/>
      <c r="B708" s="14"/>
      <c r="C708" s="4"/>
      <c r="D708" s="4"/>
      <c r="E708" s="17"/>
      <c r="F708" s="17"/>
      <c r="G708" s="16"/>
      <c r="H708" s="87"/>
      <c r="I708" s="4"/>
    </row>
    <row r="709" spans="1:9">
      <c r="A709" s="32"/>
      <c r="B709" s="14"/>
      <c r="C709" s="4"/>
      <c r="D709" s="4"/>
      <c r="E709" s="17"/>
      <c r="F709" s="17"/>
      <c r="G709" s="16"/>
      <c r="H709" s="87"/>
      <c r="I709" s="4"/>
    </row>
    <row r="710" spans="1:9">
      <c r="A710" s="32"/>
      <c r="B710" s="14"/>
      <c r="C710" s="4"/>
      <c r="D710" s="4"/>
      <c r="E710" s="17"/>
      <c r="F710" s="17"/>
      <c r="G710" s="16"/>
      <c r="H710" s="87"/>
      <c r="I710" s="4"/>
    </row>
    <row r="711" spans="1:9">
      <c r="A711" s="32"/>
      <c r="B711" s="14"/>
      <c r="C711" s="4"/>
      <c r="D711" s="4"/>
      <c r="E711" s="17"/>
      <c r="F711" s="17"/>
      <c r="G711" s="16"/>
      <c r="H711" s="87"/>
      <c r="I711" s="4"/>
    </row>
    <row r="712" spans="1:9">
      <c r="A712" s="33"/>
      <c r="B712" s="14"/>
      <c r="C712" s="4"/>
      <c r="D712" s="4"/>
      <c r="E712" s="17"/>
      <c r="F712" s="17"/>
      <c r="G712" s="16"/>
      <c r="H712" s="87"/>
      <c r="I712" s="4"/>
    </row>
    <row r="713" spans="1:9">
      <c r="A713" s="32"/>
      <c r="B713" s="14"/>
      <c r="C713" s="4"/>
      <c r="D713" s="4"/>
      <c r="E713" s="17"/>
      <c r="F713" s="17"/>
      <c r="G713" s="16"/>
      <c r="H713" s="87"/>
      <c r="I713" s="4"/>
    </row>
    <row r="714" spans="1:9">
      <c r="A714" s="32"/>
      <c r="B714" s="14"/>
      <c r="C714" s="4"/>
      <c r="D714" s="4"/>
      <c r="E714" s="17"/>
      <c r="F714" s="17"/>
      <c r="G714" s="16"/>
      <c r="H714" s="87"/>
      <c r="I714" s="4"/>
    </row>
    <row r="715" spans="1:9">
      <c r="A715" s="32"/>
      <c r="B715" s="14"/>
      <c r="C715" s="4"/>
      <c r="D715" s="4"/>
      <c r="E715" s="17"/>
      <c r="F715" s="17"/>
      <c r="G715" s="16"/>
      <c r="H715" s="87"/>
      <c r="I715" s="4"/>
    </row>
    <row r="716" spans="1:9">
      <c r="A716" s="32"/>
      <c r="B716" s="14"/>
      <c r="C716" s="4"/>
      <c r="D716" s="4"/>
      <c r="E716" s="17"/>
      <c r="F716" s="17"/>
      <c r="G716" s="16"/>
      <c r="H716" s="87"/>
      <c r="I716" s="4"/>
    </row>
    <row r="717" spans="1:9">
      <c r="A717" s="32"/>
      <c r="B717" s="14"/>
      <c r="C717" s="4"/>
      <c r="D717" s="4"/>
      <c r="E717" s="17"/>
      <c r="F717" s="17"/>
      <c r="G717" s="16"/>
      <c r="H717" s="87"/>
      <c r="I717" s="4"/>
    </row>
    <row r="718" spans="1:9">
      <c r="A718" s="32"/>
      <c r="B718" s="14"/>
      <c r="C718" s="4"/>
      <c r="D718" s="4"/>
      <c r="E718" s="17"/>
      <c r="F718" s="17"/>
      <c r="G718" s="16"/>
      <c r="H718" s="87"/>
      <c r="I718" s="4"/>
    </row>
    <row r="719" spans="1:9">
      <c r="A719" s="33"/>
      <c r="B719" s="14"/>
      <c r="C719" s="4"/>
      <c r="D719" s="4"/>
      <c r="E719" s="17"/>
      <c r="F719" s="17"/>
      <c r="G719" s="16"/>
      <c r="H719" s="87"/>
      <c r="I719" s="4"/>
    </row>
    <row r="720" spans="1:9">
      <c r="A720" s="32"/>
      <c r="B720" s="14"/>
      <c r="C720" s="4"/>
      <c r="D720" s="4"/>
      <c r="E720" s="17"/>
      <c r="F720" s="17"/>
      <c r="G720" s="16"/>
      <c r="H720" s="87"/>
      <c r="I720" s="4"/>
    </row>
    <row r="721" spans="1:9">
      <c r="A721" s="32"/>
      <c r="B721" s="14"/>
      <c r="C721" s="4"/>
      <c r="D721" s="4"/>
      <c r="E721" s="17"/>
      <c r="F721" s="17"/>
      <c r="G721" s="16"/>
      <c r="H721" s="87"/>
      <c r="I721" s="4"/>
    </row>
    <row r="722" spans="1:9">
      <c r="A722" s="32"/>
      <c r="B722" s="14"/>
      <c r="C722" s="4"/>
      <c r="D722" s="4"/>
      <c r="E722" s="17"/>
      <c r="F722" s="17"/>
      <c r="G722" s="16"/>
      <c r="H722" s="87"/>
      <c r="I722" s="4"/>
    </row>
    <row r="723" spans="1:9">
      <c r="A723" s="32"/>
      <c r="B723" s="14"/>
      <c r="C723" s="4"/>
      <c r="D723" s="4"/>
      <c r="E723" s="17"/>
      <c r="F723" s="17"/>
      <c r="G723" s="16"/>
      <c r="H723" s="87"/>
      <c r="I723" s="4"/>
    </row>
    <row r="724" spans="1:9">
      <c r="A724" s="32"/>
      <c r="B724" s="14"/>
      <c r="C724" s="4"/>
      <c r="D724" s="4"/>
      <c r="E724" s="17"/>
      <c r="F724" s="17"/>
      <c r="G724" s="16"/>
      <c r="H724" s="87"/>
      <c r="I724" s="4"/>
    </row>
    <row r="725" spans="1:9">
      <c r="A725" s="32"/>
      <c r="B725" s="14"/>
      <c r="C725" s="4"/>
      <c r="D725" s="4"/>
      <c r="E725" s="17"/>
      <c r="F725" s="17"/>
      <c r="G725" s="16"/>
      <c r="H725" s="87"/>
      <c r="I725" s="4"/>
    </row>
    <row r="726" spans="1:9">
      <c r="A726" s="33"/>
      <c r="B726" s="14"/>
      <c r="C726" s="4"/>
      <c r="D726" s="4"/>
      <c r="E726" s="17"/>
      <c r="F726" s="17"/>
      <c r="G726" s="16"/>
      <c r="H726" s="87"/>
      <c r="I726" s="4"/>
    </row>
    <row r="727" spans="1:9">
      <c r="A727" s="32"/>
      <c r="B727" s="14"/>
      <c r="C727" s="4"/>
      <c r="D727" s="4"/>
      <c r="E727" s="17"/>
      <c r="F727" s="17"/>
      <c r="G727" s="16"/>
      <c r="H727" s="87"/>
      <c r="I727" s="4"/>
    </row>
    <row r="728" spans="1:9">
      <c r="A728" s="32"/>
      <c r="B728" s="14"/>
      <c r="C728" s="4"/>
      <c r="D728" s="4"/>
      <c r="E728" s="17"/>
      <c r="F728" s="17"/>
      <c r="G728" s="16"/>
      <c r="H728" s="87"/>
      <c r="I728" s="4"/>
    </row>
    <row r="729" spans="1:9">
      <c r="A729" s="32"/>
      <c r="B729" s="14"/>
      <c r="C729" s="4"/>
      <c r="D729" s="4"/>
      <c r="E729" s="17"/>
      <c r="F729" s="17"/>
      <c r="G729" s="16"/>
      <c r="H729" s="87"/>
      <c r="I729" s="4"/>
    </row>
    <row r="730" spans="1:9">
      <c r="A730" s="32"/>
      <c r="B730" s="14"/>
      <c r="C730" s="4"/>
      <c r="D730" s="4"/>
      <c r="E730" s="17"/>
      <c r="F730" s="17"/>
      <c r="G730" s="16"/>
      <c r="H730" s="87"/>
      <c r="I730" s="4"/>
    </row>
    <row r="731" spans="1:9">
      <c r="A731" s="32"/>
      <c r="B731" s="14"/>
      <c r="C731" s="4"/>
      <c r="D731" s="4"/>
      <c r="E731" s="17"/>
      <c r="F731" s="17"/>
      <c r="G731" s="16"/>
      <c r="H731" s="87"/>
      <c r="I731" s="4"/>
    </row>
    <row r="732" spans="1:9">
      <c r="A732" s="32"/>
      <c r="B732" s="14"/>
      <c r="C732" s="4"/>
      <c r="D732" s="4"/>
      <c r="E732" s="17"/>
      <c r="F732" s="17"/>
      <c r="G732" s="16"/>
      <c r="H732" s="87"/>
      <c r="I732" s="4"/>
    </row>
    <row r="733" spans="1:9">
      <c r="A733" s="33"/>
      <c r="B733" s="14"/>
      <c r="C733" s="4"/>
      <c r="D733" s="4"/>
      <c r="E733" s="17"/>
      <c r="F733" s="17"/>
      <c r="G733" s="16"/>
      <c r="H733" s="87"/>
      <c r="I733" s="4"/>
    </row>
    <row r="734" spans="1:9">
      <c r="A734" s="32"/>
      <c r="B734" s="14"/>
      <c r="C734" s="4"/>
      <c r="D734" s="4"/>
      <c r="E734" s="17"/>
      <c r="F734" s="17"/>
      <c r="G734" s="16"/>
      <c r="H734" s="87"/>
      <c r="I734" s="4"/>
    </row>
    <row r="735" spans="1:9">
      <c r="A735" s="32"/>
      <c r="B735" s="14"/>
      <c r="C735" s="4"/>
      <c r="D735" s="4"/>
      <c r="E735" s="17"/>
      <c r="F735" s="17"/>
      <c r="G735" s="16"/>
      <c r="H735" s="87"/>
      <c r="I735" s="4"/>
    </row>
    <row r="736" spans="1:9">
      <c r="A736" s="32"/>
      <c r="B736" s="14"/>
      <c r="C736" s="4"/>
      <c r="D736" s="4"/>
      <c r="E736" s="17"/>
      <c r="F736" s="17"/>
      <c r="G736" s="16"/>
      <c r="H736" s="87"/>
      <c r="I736" s="4"/>
    </row>
    <row r="737" spans="1:9">
      <c r="A737" s="32"/>
      <c r="B737" s="14"/>
      <c r="C737" s="4"/>
      <c r="D737" s="4"/>
      <c r="E737" s="17"/>
      <c r="F737" s="17"/>
      <c r="G737" s="16"/>
      <c r="H737" s="87"/>
      <c r="I737" s="4"/>
    </row>
    <row r="738" spans="1:9">
      <c r="A738" s="32"/>
      <c r="B738" s="14"/>
      <c r="C738" s="4"/>
      <c r="D738" s="4"/>
      <c r="E738" s="17"/>
      <c r="F738" s="17"/>
      <c r="G738" s="16"/>
      <c r="H738" s="87"/>
      <c r="I738" s="4"/>
    </row>
    <row r="739" spans="1:9">
      <c r="A739" s="32"/>
      <c r="B739" s="14"/>
      <c r="C739" s="4"/>
      <c r="D739" s="4"/>
      <c r="E739" s="17"/>
      <c r="F739" s="17"/>
      <c r="G739" s="16"/>
      <c r="H739" s="87"/>
      <c r="I739" s="4"/>
    </row>
    <row r="740" spans="1:9">
      <c r="A740" s="33"/>
      <c r="B740" s="14"/>
      <c r="C740" s="4"/>
      <c r="D740" s="4"/>
      <c r="E740" s="17"/>
      <c r="F740" s="17"/>
      <c r="G740" s="16"/>
      <c r="H740" s="87"/>
      <c r="I740" s="4"/>
    </row>
    <row r="741" spans="1:9">
      <c r="A741" s="32"/>
      <c r="B741" s="14"/>
      <c r="C741" s="4"/>
      <c r="D741" s="4"/>
      <c r="E741" s="17"/>
      <c r="F741" s="17"/>
      <c r="G741" s="16"/>
      <c r="H741" s="87"/>
      <c r="I741" s="4"/>
    </row>
    <row r="742" spans="1:9">
      <c r="A742" s="32"/>
      <c r="B742" s="14"/>
      <c r="C742" s="4"/>
      <c r="D742" s="4"/>
      <c r="E742" s="17"/>
      <c r="F742" s="17"/>
      <c r="G742" s="16"/>
      <c r="H742" s="87"/>
      <c r="I742" s="4"/>
    </row>
    <row r="743" spans="1:9">
      <c r="A743" s="32"/>
      <c r="B743" s="14"/>
      <c r="C743" s="4"/>
      <c r="D743" s="4"/>
      <c r="E743" s="17"/>
      <c r="F743" s="17"/>
      <c r="G743" s="16"/>
      <c r="H743" s="87"/>
      <c r="I743" s="4"/>
    </row>
    <row r="744" spans="1:9">
      <c r="A744" s="32"/>
      <c r="B744" s="14"/>
      <c r="C744" s="4"/>
      <c r="D744" s="4"/>
      <c r="E744" s="17"/>
      <c r="F744" s="17"/>
      <c r="G744" s="16"/>
      <c r="H744" s="87"/>
      <c r="I744" s="4"/>
    </row>
    <row r="745" spans="1:9">
      <c r="A745" s="32"/>
      <c r="B745" s="14"/>
      <c r="C745" s="4"/>
      <c r="D745" s="4"/>
      <c r="E745" s="17"/>
      <c r="F745" s="17"/>
      <c r="G745" s="16"/>
      <c r="H745" s="87"/>
      <c r="I745" s="4"/>
    </row>
    <row r="746" spans="1:9">
      <c r="A746" s="32"/>
      <c r="B746" s="14"/>
      <c r="C746" s="4"/>
      <c r="D746" s="4"/>
      <c r="E746" s="17"/>
      <c r="F746" s="17"/>
      <c r="G746" s="16"/>
      <c r="H746" s="87"/>
      <c r="I746" s="4"/>
    </row>
    <row r="747" spans="1:9">
      <c r="A747" s="33"/>
      <c r="B747" s="14"/>
      <c r="C747" s="4"/>
      <c r="D747" s="4"/>
      <c r="E747" s="17"/>
      <c r="F747" s="17"/>
      <c r="G747" s="16"/>
      <c r="H747" s="87"/>
      <c r="I747" s="4"/>
    </row>
    <row r="748" spans="1:9">
      <c r="A748" s="32"/>
      <c r="B748" s="14"/>
      <c r="C748" s="4"/>
      <c r="D748" s="4"/>
      <c r="E748" s="17"/>
      <c r="F748" s="17"/>
      <c r="G748" s="16"/>
      <c r="H748" s="87"/>
      <c r="I748" s="4"/>
    </row>
    <row r="749" spans="1:9">
      <c r="A749" s="32"/>
      <c r="B749" s="14"/>
      <c r="C749" s="4"/>
      <c r="D749" s="4"/>
      <c r="E749" s="17"/>
      <c r="F749" s="17"/>
      <c r="G749" s="16"/>
      <c r="H749" s="87"/>
      <c r="I749" s="4"/>
    </row>
    <row r="750" spans="1:9">
      <c r="A750" s="32"/>
      <c r="B750" s="14"/>
      <c r="C750" s="4"/>
      <c r="D750" s="4"/>
      <c r="E750" s="17"/>
      <c r="F750" s="17"/>
      <c r="G750" s="16"/>
      <c r="H750" s="87"/>
      <c r="I750" s="4"/>
    </row>
    <row r="751" spans="1:9">
      <c r="A751" s="32"/>
      <c r="B751" s="14"/>
      <c r="C751" s="4"/>
      <c r="D751" s="4"/>
      <c r="E751" s="17"/>
      <c r="F751" s="17"/>
      <c r="G751" s="16"/>
      <c r="H751" s="87"/>
      <c r="I751" s="4"/>
    </row>
    <row r="752" spans="1:9">
      <c r="A752" s="32"/>
      <c r="B752" s="14"/>
      <c r="C752" s="4"/>
      <c r="D752" s="4"/>
      <c r="E752" s="17"/>
      <c r="F752" s="17"/>
      <c r="G752" s="16"/>
      <c r="H752" s="87"/>
      <c r="I752" s="4"/>
    </row>
    <row r="753" spans="1:9">
      <c r="A753" s="32"/>
      <c r="B753" s="14"/>
      <c r="C753" s="4"/>
      <c r="D753" s="4"/>
      <c r="E753" s="17"/>
      <c r="F753" s="17"/>
      <c r="G753" s="16"/>
      <c r="H753" s="87"/>
      <c r="I753" s="4"/>
    </row>
    <row r="754" spans="1:9">
      <c r="A754" s="33"/>
      <c r="B754" s="14"/>
      <c r="C754" s="4"/>
      <c r="D754" s="4"/>
      <c r="E754" s="17"/>
      <c r="F754" s="17"/>
      <c r="G754" s="16"/>
      <c r="H754" s="87"/>
      <c r="I754" s="4"/>
    </row>
    <row r="755" spans="1:9">
      <c r="A755" s="32"/>
      <c r="B755" s="14"/>
      <c r="C755" s="4"/>
      <c r="D755" s="4"/>
      <c r="E755" s="17"/>
      <c r="F755" s="17"/>
      <c r="G755" s="16"/>
      <c r="H755" s="87"/>
      <c r="I755" s="4"/>
    </row>
    <row r="756" spans="1:9">
      <c r="A756" s="32"/>
      <c r="B756" s="14"/>
      <c r="C756" s="4"/>
      <c r="D756" s="4"/>
      <c r="E756" s="17"/>
      <c r="F756" s="17"/>
      <c r="G756" s="16"/>
      <c r="H756" s="87"/>
      <c r="I756" s="4"/>
    </row>
    <row r="757" spans="1:9">
      <c r="A757" s="32"/>
      <c r="B757" s="14"/>
      <c r="C757" s="4"/>
      <c r="D757" s="4"/>
      <c r="E757" s="17"/>
      <c r="F757" s="17"/>
      <c r="G757" s="16"/>
      <c r="H757" s="87"/>
      <c r="I757" s="4"/>
    </row>
    <row r="758" spans="1:9">
      <c r="A758" s="32"/>
      <c r="B758" s="14"/>
      <c r="C758" s="4"/>
      <c r="D758" s="4"/>
      <c r="E758" s="17"/>
      <c r="F758" s="17"/>
      <c r="G758" s="16"/>
      <c r="H758" s="87"/>
      <c r="I758" s="4"/>
    </row>
    <row r="759" spans="1:9">
      <c r="A759" s="32"/>
      <c r="B759" s="14"/>
      <c r="C759" s="4"/>
      <c r="D759" s="4"/>
      <c r="E759" s="17"/>
      <c r="F759" s="17"/>
      <c r="G759" s="16"/>
      <c r="H759" s="87"/>
      <c r="I759" s="4"/>
    </row>
    <row r="760" spans="1:9">
      <c r="A760" s="32"/>
      <c r="B760" s="14"/>
      <c r="C760" s="4"/>
      <c r="D760" s="4"/>
      <c r="E760" s="17"/>
      <c r="F760" s="17"/>
      <c r="G760" s="16"/>
      <c r="H760" s="87"/>
      <c r="I760" s="4"/>
    </row>
    <row r="761" spans="1:9">
      <c r="A761" s="33"/>
      <c r="B761" s="14"/>
      <c r="C761" s="4"/>
      <c r="D761" s="4"/>
      <c r="E761" s="17"/>
      <c r="F761" s="17"/>
      <c r="G761" s="16"/>
      <c r="H761" s="87"/>
      <c r="I761" s="4"/>
    </row>
    <row r="762" spans="1:9">
      <c r="A762" s="32"/>
      <c r="B762" s="14"/>
      <c r="C762" s="4"/>
      <c r="D762" s="4"/>
      <c r="E762" s="17"/>
      <c r="F762" s="17"/>
      <c r="G762" s="16"/>
      <c r="H762" s="87"/>
      <c r="I762" s="4"/>
    </row>
    <row r="763" spans="1:9">
      <c r="A763" s="32"/>
      <c r="B763" s="14"/>
      <c r="C763" s="4"/>
      <c r="D763" s="4"/>
      <c r="E763" s="17"/>
      <c r="F763" s="17"/>
      <c r="G763" s="16"/>
      <c r="H763" s="87"/>
      <c r="I763" s="4"/>
    </row>
    <row r="764" spans="1:9">
      <c r="A764" s="32"/>
      <c r="B764" s="14"/>
      <c r="C764" s="4"/>
      <c r="D764" s="4"/>
      <c r="E764" s="17"/>
      <c r="F764" s="17"/>
      <c r="G764" s="16"/>
      <c r="H764" s="87"/>
      <c r="I764" s="4"/>
    </row>
    <row r="765" spans="1:9">
      <c r="A765" s="32"/>
      <c r="B765" s="14"/>
      <c r="C765" s="4"/>
      <c r="D765" s="4"/>
      <c r="E765" s="17"/>
      <c r="F765" s="17"/>
      <c r="G765" s="16"/>
      <c r="H765" s="87"/>
      <c r="I765" s="4"/>
    </row>
    <row r="766" spans="1:9">
      <c r="A766" s="32"/>
      <c r="B766" s="14"/>
      <c r="C766" s="4"/>
      <c r="D766" s="4"/>
      <c r="E766" s="17"/>
      <c r="F766" s="17"/>
      <c r="G766" s="16"/>
      <c r="H766" s="87"/>
      <c r="I766" s="4"/>
    </row>
    <row r="767" spans="1:9">
      <c r="A767" s="32"/>
      <c r="B767" s="14"/>
      <c r="C767" s="4"/>
      <c r="D767" s="4"/>
      <c r="E767" s="17"/>
      <c r="F767" s="17"/>
      <c r="G767" s="16"/>
      <c r="H767" s="87"/>
      <c r="I767" s="4"/>
    </row>
    <row r="768" spans="1:9">
      <c r="A768" s="33"/>
      <c r="B768" s="14"/>
      <c r="C768" s="4"/>
      <c r="D768" s="4"/>
      <c r="E768" s="17"/>
      <c r="F768" s="17"/>
      <c r="G768" s="16"/>
      <c r="H768" s="87"/>
      <c r="I768" s="4"/>
    </row>
    <row r="769" spans="1:9">
      <c r="A769" s="32"/>
      <c r="B769" s="14"/>
      <c r="C769" s="4"/>
      <c r="D769" s="4"/>
      <c r="E769" s="17"/>
      <c r="F769" s="17"/>
      <c r="G769" s="16"/>
      <c r="H769" s="87"/>
      <c r="I769" s="4"/>
    </row>
    <row r="770" spans="1:9">
      <c r="A770" s="32"/>
      <c r="B770" s="14"/>
      <c r="C770" s="4"/>
      <c r="D770" s="4"/>
      <c r="E770" s="17"/>
      <c r="F770" s="17"/>
      <c r="G770" s="16"/>
      <c r="H770" s="87"/>
      <c r="I770" s="4"/>
    </row>
    <row r="771" spans="1:9">
      <c r="A771" s="32"/>
      <c r="B771" s="14"/>
      <c r="C771" s="4"/>
      <c r="D771" s="4"/>
      <c r="E771" s="17"/>
      <c r="F771" s="17"/>
      <c r="G771" s="16"/>
      <c r="H771" s="87"/>
      <c r="I771" s="4"/>
    </row>
    <row r="772" spans="1:9">
      <c r="A772" s="32"/>
      <c r="B772" s="14"/>
      <c r="C772" s="4"/>
      <c r="D772" s="4"/>
      <c r="E772" s="17"/>
      <c r="F772" s="17"/>
      <c r="G772" s="16"/>
      <c r="H772" s="87"/>
      <c r="I772" s="4"/>
    </row>
    <row r="773" spans="1:9">
      <c r="A773" s="32"/>
      <c r="B773" s="14"/>
      <c r="C773" s="4"/>
      <c r="D773" s="4"/>
      <c r="E773" s="17"/>
      <c r="F773" s="17"/>
      <c r="G773" s="16"/>
      <c r="H773" s="87"/>
      <c r="I773" s="4"/>
    </row>
    <row r="774" spans="1:9">
      <c r="A774" s="32"/>
      <c r="B774" s="14"/>
      <c r="C774" s="4"/>
      <c r="D774" s="4"/>
      <c r="E774" s="17"/>
      <c r="F774" s="17"/>
      <c r="G774" s="16"/>
      <c r="H774" s="87"/>
      <c r="I774" s="4"/>
    </row>
    <row r="775" spans="1:9">
      <c r="A775" s="33"/>
      <c r="B775" s="14"/>
      <c r="C775" s="4"/>
      <c r="D775" s="4"/>
      <c r="E775" s="17"/>
      <c r="F775" s="17"/>
      <c r="G775" s="16"/>
      <c r="H775" s="87"/>
      <c r="I775" s="4"/>
    </row>
    <row r="776" spans="1:9">
      <c r="A776" s="32"/>
      <c r="B776" s="14"/>
      <c r="C776" s="4"/>
      <c r="D776" s="4"/>
      <c r="E776" s="17"/>
      <c r="F776" s="17"/>
      <c r="G776" s="16"/>
      <c r="H776" s="87"/>
      <c r="I776" s="4"/>
    </row>
    <row r="777" spans="1:9">
      <c r="A777" s="32"/>
      <c r="B777" s="14"/>
      <c r="C777" s="4"/>
      <c r="D777" s="4"/>
      <c r="E777" s="17"/>
      <c r="F777" s="17"/>
      <c r="G777" s="16"/>
      <c r="H777" s="87"/>
      <c r="I777" s="4"/>
    </row>
    <row r="778" spans="1:9">
      <c r="A778" s="32"/>
      <c r="B778" s="14"/>
      <c r="C778" s="4"/>
      <c r="D778" s="4"/>
      <c r="E778" s="17"/>
      <c r="F778" s="17"/>
      <c r="G778" s="16"/>
      <c r="H778" s="87"/>
      <c r="I778" s="4"/>
    </row>
    <row r="779" spans="1:9">
      <c r="A779" s="32"/>
      <c r="B779" s="14"/>
      <c r="C779" s="4"/>
      <c r="D779" s="4"/>
      <c r="E779" s="17"/>
      <c r="F779" s="17"/>
      <c r="G779" s="16"/>
      <c r="H779" s="87"/>
      <c r="I779" s="4"/>
    </row>
    <row r="780" spans="1:9">
      <c r="A780" s="32"/>
      <c r="B780" s="14"/>
      <c r="C780" s="4"/>
      <c r="D780" s="4"/>
      <c r="E780" s="17"/>
      <c r="F780" s="17"/>
      <c r="G780" s="16"/>
      <c r="H780" s="87"/>
      <c r="I780" s="4"/>
    </row>
    <row r="781" spans="1:9">
      <c r="A781" s="32"/>
      <c r="B781" s="14"/>
      <c r="C781" s="4"/>
      <c r="D781" s="4"/>
      <c r="E781" s="17"/>
      <c r="F781" s="17"/>
      <c r="G781" s="16"/>
      <c r="H781" s="87"/>
      <c r="I781" s="4"/>
    </row>
    <row r="782" spans="1:9">
      <c r="A782" s="33"/>
      <c r="B782" s="14"/>
      <c r="C782" s="4"/>
      <c r="D782" s="4"/>
      <c r="E782" s="17"/>
      <c r="F782" s="17"/>
      <c r="G782" s="16"/>
      <c r="H782" s="87"/>
      <c r="I782" s="4"/>
    </row>
    <row r="783" spans="1:9">
      <c r="A783" s="32"/>
      <c r="B783" s="14"/>
      <c r="C783" s="4"/>
      <c r="D783" s="4"/>
      <c r="E783" s="17"/>
      <c r="F783" s="17"/>
      <c r="G783" s="16"/>
      <c r="H783" s="87"/>
      <c r="I783" s="4"/>
    </row>
    <row r="784" spans="1:9">
      <c r="A784" s="32"/>
      <c r="B784" s="14"/>
      <c r="C784" s="4"/>
      <c r="D784" s="4"/>
      <c r="E784" s="17"/>
      <c r="F784" s="17"/>
      <c r="G784" s="16"/>
      <c r="H784" s="87"/>
      <c r="I784" s="4"/>
    </row>
    <row r="785" spans="1:9">
      <c r="A785" s="32"/>
      <c r="B785" s="14"/>
      <c r="C785" s="4"/>
      <c r="D785" s="4"/>
      <c r="E785" s="17"/>
      <c r="F785" s="17"/>
      <c r="G785" s="16"/>
      <c r="H785" s="87"/>
      <c r="I785" s="4"/>
    </row>
    <row r="786" spans="1:9">
      <c r="A786" s="32"/>
      <c r="B786" s="14"/>
      <c r="C786" s="4"/>
      <c r="D786" s="4"/>
      <c r="E786" s="17"/>
      <c r="F786" s="17"/>
      <c r="G786" s="16"/>
      <c r="H786" s="87"/>
      <c r="I786" s="4"/>
    </row>
    <row r="787" spans="1:9">
      <c r="A787" s="32"/>
      <c r="B787" s="14"/>
      <c r="C787" s="4"/>
      <c r="D787" s="4"/>
      <c r="E787" s="17"/>
      <c r="F787" s="17"/>
      <c r="G787" s="16"/>
      <c r="H787" s="87"/>
      <c r="I787" s="4"/>
    </row>
    <row r="788" spans="1:9">
      <c r="A788" s="32"/>
      <c r="B788" s="14"/>
      <c r="C788" s="4"/>
      <c r="D788" s="4"/>
      <c r="E788" s="17"/>
      <c r="F788" s="17"/>
      <c r="G788" s="16"/>
      <c r="H788" s="87"/>
      <c r="I788" s="4"/>
    </row>
    <row r="789" spans="1:9">
      <c r="A789" s="33"/>
      <c r="B789" s="14"/>
      <c r="C789" s="4"/>
      <c r="D789" s="4"/>
      <c r="E789" s="17"/>
      <c r="F789" s="17"/>
      <c r="G789" s="16"/>
      <c r="H789" s="87"/>
      <c r="I789" s="4"/>
    </row>
    <row r="790" spans="1:9">
      <c r="A790" s="32"/>
      <c r="B790" s="14"/>
      <c r="C790" s="4"/>
      <c r="D790" s="4"/>
      <c r="E790" s="17"/>
      <c r="F790" s="17"/>
      <c r="G790" s="16"/>
      <c r="H790" s="87"/>
      <c r="I790" s="4"/>
    </row>
    <row r="791" spans="1:9">
      <c r="A791" s="32"/>
      <c r="B791" s="14"/>
      <c r="C791" s="4"/>
      <c r="D791" s="4"/>
      <c r="E791" s="17"/>
      <c r="F791" s="17"/>
      <c r="G791" s="16"/>
      <c r="H791" s="87"/>
      <c r="I791" s="4"/>
    </row>
    <row r="792" spans="1:9">
      <c r="A792" s="32"/>
      <c r="B792" s="14"/>
      <c r="C792" s="4"/>
      <c r="D792" s="4"/>
      <c r="E792" s="17"/>
      <c r="F792" s="17"/>
      <c r="G792" s="16"/>
      <c r="H792" s="87"/>
      <c r="I792" s="4"/>
    </row>
    <row r="793" spans="1:9">
      <c r="A793" s="32"/>
      <c r="B793" s="14"/>
      <c r="C793" s="4"/>
      <c r="D793" s="4"/>
      <c r="E793" s="17"/>
      <c r="F793" s="17"/>
      <c r="G793" s="16"/>
      <c r="H793" s="87"/>
      <c r="I793" s="4"/>
    </row>
    <row r="794" spans="1:9">
      <c r="A794" s="32"/>
      <c r="B794" s="14"/>
      <c r="C794" s="4"/>
      <c r="D794" s="4"/>
      <c r="E794" s="17"/>
      <c r="F794" s="17"/>
      <c r="G794" s="16"/>
      <c r="H794" s="87"/>
      <c r="I794" s="4"/>
    </row>
    <row r="795" spans="1:9">
      <c r="A795" s="32"/>
      <c r="B795" s="14"/>
      <c r="C795" s="4"/>
      <c r="D795" s="4"/>
      <c r="E795" s="17"/>
      <c r="F795" s="17"/>
      <c r="G795" s="16"/>
      <c r="H795" s="87"/>
      <c r="I795" s="4"/>
    </row>
    <row r="796" spans="1:9">
      <c r="A796" s="33"/>
      <c r="B796" s="14"/>
      <c r="C796" s="4"/>
      <c r="D796" s="4"/>
      <c r="E796" s="17"/>
      <c r="F796" s="17"/>
      <c r="G796" s="16"/>
      <c r="H796" s="87"/>
      <c r="I796" s="4"/>
    </row>
    <row r="797" spans="1:9">
      <c r="A797" s="32"/>
      <c r="B797" s="14"/>
      <c r="C797" s="4"/>
      <c r="D797" s="4"/>
      <c r="E797" s="17"/>
      <c r="F797" s="17"/>
      <c r="G797" s="16"/>
      <c r="H797" s="87"/>
      <c r="I797" s="4"/>
    </row>
    <row r="798" spans="1:9">
      <c r="A798" s="32"/>
      <c r="B798" s="14"/>
      <c r="C798" s="4"/>
      <c r="D798" s="4"/>
      <c r="E798" s="17"/>
      <c r="F798" s="17"/>
      <c r="G798" s="16"/>
      <c r="H798" s="87"/>
      <c r="I798" s="4"/>
    </row>
    <row r="799" spans="1:9">
      <c r="A799" s="32"/>
      <c r="B799" s="14"/>
      <c r="C799" s="4"/>
      <c r="D799" s="4"/>
      <c r="E799" s="17"/>
      <c r="F799" s="17"/>
      <c r="G799" s="16"/>
      <c r="H799" s="87"/>
      <c r="I799" s="4"/>
    </row>
    <row r="800" spans="1:9">
      <c r="A800" s="32"/>
      <c r="B800" s="14"/>
      <c r="C800" s="4"/>
      <c r="D800" s="4"/>
      <c r="E800" s="17"/>
      <c r="F800" s="17"/>
      <c r="G800" s="16"/>
      <c r="H800" s="87"/>
      <c r="I800" s="4"/>
    </row>
    <row r="801" spans="1:9">
      <c r="A801" s="32"/>
      <c r="B801" s="14"/>
      <c r="C801" s="4"/>
      <c r="D801" s="4"/>
      <c r="E801" s="17"/>
      <c r="F801" s="17"/>
      <c r="G801" s="16"/>
      <c r="H801" s="87"/>
      <c r="I801" s="4"/>
    </row>
    <row r="802" spans="1:9">
      <c r="A802" s="32"/>
      <c r="B802" s="14"/>
      <c r="C802" s="4"/>
      <c r="D802" s="4"/>
      <c r="E802" s="17"/>
      <c r="F802" s="17"/>
      <c r="G802" s="16"/>
      <c r="H802" s="87"/>
      <c r="I802" s="4"/>
    </row>
    <row r="803" spans="1:9">
      <c r="A803" s="33"/>
      <c r="B803" s="14"/>
      <c r="C803" s="4"/>
      <c r="D803" s="4"/>
      <c r="E803" s="17"/>
      <c r="F803" s="17"/>
      <c r="G803" s="16"/>
      <c r="H803" s="87"/>
      <c r="I803" s="4"/>
    </row>
    <row r="804" spans="1:9">
      <c r="A804" s="32"/>
      <c r="B804" s="14"/>
      <c r="C804" s="4"/>
      <c r="D804" s="4"/>
      <c r="E804" s="17"/>
      <c r="F804" s="17"/>
      <c r="G804" s="16"/>
      <c r="H804" s="87"/>
      <c r="I804" s="4"/>
    </row>
    <row r="805" spans="1:9">
      <c r="A805" s="32"/>
      <c r="B805" s="14"/>
      <c r="C805" s="4"/>
      <c r="D805" s="4"/>
      <c r="E805" s="17"/>
      <c r="F805" s="17"/>
      <c r="G805" s="16"/>
      <c r="H805" s="87"/>
      <c r="I805" s="4"/>
    </row>
    <row r="806" spans="1:9">
      <c r="A806" s="32"/>
      <c r="B806" s="14"/>
      <c r="C806" s="4"/>
      <c r="D806" s="4"/>
      <c r="E806" s="17"/>
      <c r="F806" s="17"/>
      <c r="G806" s="16"/>
      <c r="H806" s="87"/>
      <c r="I806" s="4"/>
    </row>
    <row r="807" spans="1:9">
      <c r="A807" s="32"/>
      <c r="B807" s="14"/>
      <c r="C807" s="4"/>
      <c r="D807" s="4"/>
      <c r="E807" s="17"/>
      <c r="F807" s="17"/>
      <c r="G807" s="16"/>
      <c r="H807" s="87"/>
      <c r="I807" s="4"/>
    </row>
    <row r="808" spans="1:9">
      <c r="A808" s="32"/>
      <c r="B808" s="14"/>
      <c r="C808" s="4"/>
      <c r="D808" s="4"/>
      <c r="E808" s="17"/>
      <c r="F808" s="17"/>
      <c r="G808" s="16"/>
      <c r="H808" s="87"/>
      <c r="I808" s="4"/>
    </row>
    <row r="809" spans="1:9">
      <c r="A809" s="32"/>
      <c r="B809" s="14"/>
      <c r="C809" s="4"/>
      <c r="D809" s="4"/>
      <c r="E809" s="17"/>
      <c r="F809" s="17"/>
      <c r="G809" s="16"/>
      <c r="H809" s="87"/>
      <c r="I809" s="4"/>
    </row>
    <row r="810" spans="1:9">
      <c r="A810" s="33"/>
      <c r="B810" s="14"/>
      <c r="C810" s="4"/>
      <c r="D810" s="4"/>
      <c r="E810" s="17"/>
      <c r="F810" s="17"/>
      <c r="G810" s="16"/>
      <c r="H810" s="87"/>
      <c r="I810" s="4"/>
    </row>
    <row r="811" spans="1:9">
      <c r="A811" s="32"/>
      <c r="B811" s="14"/>
      <c r="C811" s="4"/>
      <c r="D811" s="4"/>
      <c r="E811" s="17"/>
      <c r="F811" s="17"/>
      <c r="G811" s="16"/>
      <c r="H811" s="87"/>
      <c r="I811" s="4"/>
    </row>
    <row r="812" spans="1:9">
      <c r="A812" s="32"/>
      <c r="B812" s="14"/>
      <c r="C812" s="4"/>
      <c r="D812" s="4"/>
      <c r="E812" s="17"/>
      <c r="F812" s="17"/>
      <c r="G812" s="16"/>
      <c r="H812" s="87"/>
      <c r="I812" s="4"/>
    </row>
    <row r="813" spans="1:9">
      <c r="A813" s="32"/>
      <c r="B813" s="14"/>
      <c r="C813" s="4"/>
      <c r="D813" s="4"/>
      <c r="E813" s="17"/>
      <c r="F813" s="17"/>
      <c r="G813" s="16"/>
      <c r="H813" s="87"/>
      <c r="I813" s="4"/>
    </row>
    <row r="814" spans="1:9">
      <c r="A814" s="32"/>
      <c r="B814" s="14"/>
      <c r="C814" s="4"/>
      <c r="D814" s="4"/>
      <c r="E814" s="17"/>
      <c r="F814" s="17"/>
      <c r="G814" s="16"/>
      <c r="H814" s="87"/>
      <c r="I814" s="4"/>
    </row>
    <row r="815" spans="1:9">
      <c r="A815" s="32"/>
      <c r="B815" s="14"/>
      <c r="C815" s="4"/>
      <c r="D815" s="4"/>
      <c r="E815" s="17"/>
      <c r="F815" s="17"/>
      <c r="G815" s="16"/>
      <c r="H815" s="87"/>
      <c r="I815" s="4"/>
    </row>
    <row r="816" spans="1:9">
      <c r="A816" s="32"/>
      <c r="B816" s="14"/>
      <c r="C816" s="4"/>
      <c r="D816" s="4"/>
      <c r="E816" s="17"/>
      <c r="F816" s="17"/>
      <c r="G816" s="16"/>
      <c r="H816" s="87"/>
      <c r="I816" s="4"/>
    </row>
    <row r="817" spans="1:9">
      <c r="A817" s="33"/>
      <c r="B817" s="14"/>
      <c r="C817" s="4"/>
      <c r="D817" s="4"/>
      <c r="E817" s="17"/>
      <c r="F817" s="17"/>
      <c r="G817" s="16"/>
      <c r="H817" s="87"/>
      <c r="I817" s="4"/>
    </row>
    <row r="818" spans="1:9">
      <c r="A818" s="32"/>
      <c r="B818" s="14"/>
      <c r="C818" s="4"/>
      <c r="D818" s="4"/>
      <c r="E818" s="17"/>
      <c r="F818" s="17"/>
      <c r="G818" s="16"/>
      <c r="H818" s="87"/>
      <c r="I818" s="4"/>
    </row>
    <row r="819" spans="1:9">
      <c r="A819" s="32"/>
      <c r="B819" s="14"/>
      <c r="C819" s="4"/>
      <c r="D819" s="4"/>
      <c r="E819" s="17"/>
      <c r="F819" s="17"/>
      <c r="G819" s="16"/>
      <c r="H819" s="87"/>
      <c r="I819" s="4"/>
    </row>
    <row r="820" spans="1:9">
      <c r="A820" s="32"/>
      <c r="B820" s="14"/>
      <c r="C820" s="4"/>
      <c r="D820" s="4"/>
      <c r="E820" s="17"/>
      <c r="F820" s="17"/>
      <c r="G820" s="16"/>
      <c r="H820" s="87"/>
      <c r="I820" s="4"/>
    </row>
    <row r="821" spans="1:9">
      <c r="A821" s="32"/>
      <c r="B821" s="14"/>
      <c r="C821" s="4"/>
      <c r="D821" s="4"/>
      <c r="E821" s="17"/>
      <c r="F821" s="17"/>
      <c r="G821" s="16"/>
      <c r="H821" s="87"/>
      <c r="I821" s="4"/>
    </row>
    <row r="822" spans="1:9">
      <c r="A822" s="32"/>
      <c r="B822" s="14"/>
      <c r="C822" s="4"/>
      <c r="D822" s="4"/>
      <c r="E822" s="17"/>
      <c r="F822" s="17"/>
      <c r="G822" s="16"/>
      <c r="H822" s="87"/>
      <c r="I822" s="4"/>
    </row>
    <row r="823" spans="1:9">
      <c r="A823" s="32"/>
      <c r="B823" s="14"/>
      <c r="C823" s="4"/>
      <c r="D823" s="4"/>
      <c r="E823" s="17"/>
      <c r="F823" s="17"/>
      <c r="G823" s="16"/>
      <c r="H823" s="87"/>
      <c r="I823" s="4"/>
    </row>
    <row r="824" spans="1:9">
      <c r="A824" s="33"/>
      <c r="B824" s="14"/>
      <c r="C824" s="4"/>
      <c r="D824" s="4"/>
      <c r="E824" s="17"/>
      <c r="F824" s="17"/>
      <c r="G824" s="16"/>
      <c r="H824" s="87"/>
      <c r="I824" s="4"/>
    </row>
    <row r="825" spans="1:9">
      <c r="A825" s="32"/>
      <c r="B825" s="14"/>
      <c r="C825" s="4"/>
      <c r="D825" s="4"/>
      <c r="E825" s="17"/>
      <c r="F825" s="17"/>
      <c r="G825" s="16"/>
      <c r="H825" s="87"/>
      <c r="I825" s="4"/>
    </row>
    <row r="826" spans="1:9">
      <c r="A826" s="32"/>
      <c r="B826" s="14"/>
      <c r="C826" s="4"/>
      <c r="D826" s="4"/>
      <c r="E826" s="17"/>
      <c r="F826" s="17"/>
      <c r="G826" s="16"/>
      <c r="H826" s="87"/>
      <c r="I826" s="4"/>
    </row>
    <row r="827" spans="1:9">
      <c r="A827" s="32"/>
      <c r="B827" s="14"/>
      <c r="C827" s="4"/>
      <c r="D827" s="4"/>
      <c r="E827" s="17"/>
      <c r="F827" s="17"/>
      <c r="G827" s="16"/>
      <c r="H827" s="87"/>
      <c r="I827" s="4"/>
    </row>
    <row r="828" spans="1:9">
      <c r="A828" s="32"/>
      <c r="B828" s="14"/>
      <c r="C828" s="4"/>
      <c r="D828" s="4"/>
      <c r="E828" s="17"/>
      <c r="F828" s="17"/>
      <c r="G828" s="16"/>
      <c r="H828" s="87"/>
      <c r="I828" s="4"/>
    </row>
    <row r="829" spans="1:9">
      <c r="A829" s="32"/>
      <c r="B829" s="14"/>
      <c r="C829" s="4"/>
      <c r="D829" s="4"/>
      <c r="E829" s="17"/>
      <c r="F829" s="17"/>
      <c r="G829" s="16"/>
      <c r="H829" s="87"/>
      <c r="I829" s="4"/>
    </row>
    <row r="830" spans="1:9">
      <c r="A830" s="32"/>
      <c r="B830" s="14"/>
      <c r="C830" s="4"/>
      <c r="D830" s="4"/>
      <c r="E830" s="17"/>
      <c r="F830" s="17"/>
      <c r="G830" s="16"/>
      <c r="H830" s="87"/>
      <c r="I830" s="4"/>
    </row>
    <row r="831" spans="1:9">
      <c r="A831" s="33"/>
      <c r="B831" s="14"/>
      <c r="C831" s="4"/>
      <c r="D831" s="4"/>
      <c r="E831" s="17"/>
      <c r="F831" s="17"/>
      <c r="G831" s="16"/>
      <c r="H831" s="87"/>
      <c r="I831" s="4"/>
    </row>
    <row r="832" spans="1:9">
      <c r="A832" s="32"/>
      <c r="B832" s="14"/>
      <c r="C832" s="4"/>
      <c r="D832" s="4"/>
      <c r="E832" s="17"/>
      <c r="F832" s="17"/>
      <c r="G832" s="16"/>
      <c r="H832" s="87"/>
      <c r="I832" s="4"/>
    </row>
    <row r="833" spans="1:9">
      <c r="A833" s="32"/>
      <c r="B833" s="14"/>
      <c r="C833" s="4"/>
      <c r="D833" s="4"/>
      <c r="E833" s="17"/>
      <c r="F833" s="17"/>
      <c r="G833" s="16"/>
      <c r="H833" s="87"/>
      <c r="I833" s="4"/>
    </row>
    <row r="834" spans="1:9">
      <c r="A834" s="32"/>
      <c r="B834" s="14"/>
      <c r="C834" s="4"/>
      <c r="D834" s="4"/>
      <c r="E834" s="17"/>
      <c r="F834" s="17"/>
      <c r="G834" s="16"/>
      <c r="H834" s="87"/>
      <c r="I834" s="4"/>
    </row>
    <row r="835" spans="1:9">
      <c r="A835" s="32"/>
      <c r="B835" s="14"/>
      <c r="C835" s="4"/>
      <c r="D835" s="4"/>
      <c r="E835" s="17"/>
      <c r="F835" s="17"/>
      <c r="G835" s="16"/>
      <c r="H835" s="87"/>
      <c r="I835" s="4"/>
    </row>
    <row r="836" spans="1:9">
      <c r="A836" s="32"/>
      <c r="B836" s="14"/>
      <c r="C836" s="4"/>
      <c r="D836" s="4"/>
      <c r="E836" s="17"/>
      <c r="F836" s="17"/>
      <c r="G836" s="16"/>
      <c r="H836" s="87"/>
      <c r="I836" s="4"/>
    </row>
    <row r="837" spans="1:9">
      <c r="A837" s="32"/>
      <c r="B837" s="14"/>
      <c r="C837" s="4"/>
      <c r="D837" s="4"/>
      <c r="E837" s="17"/>
      <c r="F837" s="17"/>
      <c r="G837" s="16"/>
      <c r="H837" s="87"/>
      <c r="I837" s="4"/>
    </row>
    <row r="838" spans="1:9">
      <c r="A838" s="33"/>
      <c r="B838" s="14"/>
      <c r="C838" s="4"/>
      <c r="D838" s="4"/>
      <c r="E838" s="17"/>
      <c r="F838" s="17"/>
      <c r="G838" s="16"/>
      <c r="H838" s="87"/>
      <c r="I838" s="4"/>
    </row>
    <row r="839" spans="1:9">
      <c r="A839" s="32"/>
      <c r="B839" s="14"/>
      <c r="C839" s="4"/>
      <c r="D839" s="4"/>
      <c r="E839" s="17"/>
      <c r="F839" s="17"/>
      <c r="G839" s="16"/>
      <c r="H839" s="87"/>
      <c r="I839" s="4"/>
    </row>
    <row r="840" spans="1:9">
      <c r="A840" s="32"/>
      <c r="B840" s="14"/>
      <c r="C840" s="4"/>
      <c r="D840" s="4"/>
      <c r="E840" s="17"/>
      <c r="F840" s="17"/>
      <c r="G840" s="16"/>
      <c r="H840" s="87"/>
      <c r="I840" s="4"/>
    </row>
    <row r="841" spans="1:9">
      <c r="A841" s="32"/>
      <c r="B841" s="14"/>
      <c r="C841" s="4"/>
      <c r="D841" s="4"/>
      <c r="E841" s="17"/>
      <c r="F841" s="17"/>
      <c r="G841" s="16"/>
      <c r="H841" s="87"/>
      <c r="I841" s="4"/>
    </row>
    <row r="842" spans="1:9">
      <c r="A842" s="32"/>
      <c r="B842" s="14"/>
      <c r="C842" s="4"/>
      <c r="D842" s="4"/>
      <c r="E842" s="17"/>
      <c r="F842" s="17"/>
      <c r="G842" s="16"/>
      <c r="H842" s="87"/>
      <c r="I842" s="4"/>
    </row>
    <row r="843" spans="1:9">
      <c r="A843" s="32"/>
      <c r="B843" s="14"/>
      <c r="C843" s="4"/>
      <c r="D843" s="4"/>
      <c r="E843" s="17"/>
      <c r="F843" s="17"/>
      <c r="G843" s="16"/>
      <c r="H843" s="87"/>
      <c r="I843" s="4"/>
    </row>
    <row r="844" spans="1:9">
      <c r="A844" s="32"/>
      <c r="B844" s="14"/>
      <c r="C844" s="4"/>
      <c r="D844" s="4"/>
      <c r="E844" s="17"/>
      <c r="F844" s="17"/>
      <c r="G844" s="16"/>
      <c r="H844" s="87"/>
      <c r="I844" s="4"/>
    </row>
    <row r="845" spans="1:9">
      <c r="A845" s="33"/>
      <c r="B845" s="14"/>
      <c r="C845" s="4"/>
      <c r="D845" s="4"/>
      <c r="E845" s="17"/>
      <c r="F845" s="17"/>
      <c r="G845" s="16"/>
      <c r="H845" s="87"/>
      <c r="I845" s="4"/>
    </row>
    <row r="846" spans="1:9">
      <c r="A846" s="32"/>
      <c r="B846" s="14"/>
      <c r="C846" s="4"/>
      <c r="D846" s="4"/>
      <c r="E846" s="17"/>
      <c r="F846" s="17"/>
      <c r="G846" s="16"/>
      <c r="H846" s="87"/>
      <c r="I846" s="4"/>
    </row>
    <row r="847" spans="1:9">
      <c r="A847" s="32"/>
      <c r="B847" s="14"/>
      <c r="C847" s="4"/>
      <c r="D847" s="4"/>
      <c r="E847" s="17"/>
      <c r="F847" s="17"/>
      <c r="G847" s="16"/>
      <c r="H847" s="87"/>
      <c r="I847" s="4"/>
    </row>
    <row r="848" spans="1:9">
      <c r="A848" s="32"/>
      <c r="B848" s="14"/>
      <c r="C848" s="4"/>
      <c r="D848" s="4"/>
      <c r="E848" s="17"/>
      <c r="F848" s="17"/>
      <c r="G848" s="16"/>
      <c r="H848" s="87"/>
      <c r="I848" s="4"/>
    </row>
    <row r="849" spans="1:9">
      <c r="A849" s="32"/>
      <c r="B849" s="14"/>
      <c r="C849" s="4"/>
      <c r="D849" s="4"/>
      <c r="E849" s="17"/>
      <c r="F849" s="17"/>
      <c r="G849" s="16"/>
      <c r="H849" s="87"/>
      <c r="I849" s="4"/>
    </row>
    <row r="850" spans="1:9">
      <c r="A850" s="32"/>
      <c r="B850" s="14"/>
      <c r="C850" s="4"/>
      <c r="D850" s="4"/>
      <c r="E850" s="17"/>
      <c r="F850" s="17"/>
      <c r="G850" s="16"/>
      <c r="H850" s="87"/>
      <c r="I850" s="4"/>
    </row>
    <row r="851" spans="1:9">
      <c r="A851" s="32"/>
      <c r="B851" s="14"/>
      <c r="C851" s="4"/>
      <c r="D851" s="4"/>
      <c r="E851" s="17"/>
      <c r="F851" s="17"/>
      <c r="G851" s="16"/>
      <c r="H851" s="87"/>
      <c r="I851" s="4"/>
    </row>
    <row r="852" spans="1:9">
      <c r="A852" s="33"/>
      <c r="B852" s="14"/>
      <c r="C852" s="4"/>
      <c r="D852" s="4"/>
      <c r="E852" s="17"/>
      <c r="F852" s="17"/>
      <c r="G852" s="16"/>
      <c r="H852" s="87"/>
      <c r="I852" s="4"/>
    </row>
    <row r="853" spans="1:9">
      <c r="A853" s="32"/>
      <c r="B853" s="14"/>
      <c r="C853" s="4"/>
      <c r="D853" s="4"/>
      <c r="E853" s="17"/>
      <c r="F853" s="17"/>
      <c r="G853" s="16"/>
      <c r="H853" s="87"/>
      <c r="I853" s="4"/>
    </row>
    <row r="854" spans="1:9">
      <c r="A854" s="32"/>
      <c r="B854" s="14"/>
      <c r="C854" s="4"/>
      <c r="D854" s="4"/>
      <c r="E854" s="17"/>
      <c r="F854" s="17"/>
      <c r="G854" s="16"/>
      <c r="H854" s="87"/>
      <c r="I854" s="4"/>
    </row>
    <row r="855" spans="1:9">
      <c r="A855" s="32"/>
      <c r="B855" s="14"/>
      <c r="C855" s="4"/>
      <c r="D855" s="4"/>
      <c r="E855" s="17"/>
      <c r="F855" s="17"/>
      <c r="G855" s="16"/>
      <c r="H855" s="87"/>
      <c r="I855" s="4"/>
    </row>
    <row r="856" spans="1:9">
      <c r="A856" s="32"/>
      <c r="B856" s="14"/>
      <c r="C856" s="4"/>
      <c r="D856" s="4"/>
      <c r="E856" s="17"/>
      <c r="F856" s="17"/>
      <c r="G856" s="16"/>
      <c r="H856" s="87"/>
      <c r="I856" s="4"/>
    </row>
    <row r="857" spans="1:9">
      <c r="A857" s="32"/>
      <c r="B857" s="14"/>
      <c r="C857" s="4"/>
      <c r="D857" s="4"/>
      <c r="E857" s="17"/>
      <c r="F857" s="17"/>
      <c r="G857" s="16"/>
      <c r="H857" s="87"/>
      <c r="I857" s="4"/>
    </row>
    <row r="858" spans="1:9">
      <c r="A858" s="32"/>
      <c r="B858" s="14"/>
      <c r="C858" s="4"/>
      <c r="D858" s="4"/>
      <c r="E858" s="17"/>
      <c r="F858" s="17"/>
      <c r="G858" s="16"/>
      <c r="H858" s="87"/>
      <c r="I858" s="4"/>
    </row>
    <row r="859" spans="1:9">
      <c r="A859" s="33"/>
      <c r="B859" s="14"/>
      <c r="C859" s="4"/>
      <c r="D859" s="4"/>
      <c r="E859" s="17"/>
      <c r="F859" s="17"/>
      <c r="G859" s="16"/>
      <c r="H859" s="87"/>
      <c r="I859" s="4"/>
    </row>
    <row r="860" spans="1:9">
      <c r="A860" s="32"/>
      <c r="B860" s="14"/>
      <c r="C860" s="4"/>
      <c r="D860" s="4"/>
      <c r="E860" s="17"/>
      <c r="F860" s="17"/>
      <c r="G860" s="16"/>
      <c r="H860" s="87"/>
      <c r="I860" s="4"/>
    </row>
    <row r="861" spans="1:9">
      <c r="A861" s="32"/>
      <c r="B861" s="14"/>
      <c r="C861" s="4"/>
      <c r="D861" s="4"/>
      <c r="E861" s="17"/>
      <c r="F861" s="17"/>
      <c r="G861" s="16"/>
      <c r="H861" s="87"/>
      <c r="I861" s="4"/>
    </row>
    <row r="862" spans="1:9">
      <c r="A862" s="32"/>
      <c r="B862" s="14"/>
      <c r="C862" s="4"/>
      <c r="D862" s="4"/>
      <c r="E862" s="17"/>
      <c r="F862" s="17"/>
      <c r="G862" s="16"/>
      <c r="H862" s="87"/>
      <c r="I862" s="4"/>
    </row>
    <row r="863" spans="1:9">
      <c r="A863" s="32"/>
      <c r="B863" s="14"/>
      <c r="C863" s="4"/>
      <c r="D863" s="4"/>
      <c r="E863" s="17"/>
      <c r="F863" s="17"/>
      <c r="G863" s="16"/>
      <c r="H863" s="87"/>
      <c r="I863" s="4"/>
    </row>
    <row r="864" spans="1:9">
      <c r="A864" s="32"/>
      <c r="B864" s="14"/>
      <c r="C864" s="4"/>
      <c r="D864" s="4"/>
      <c r="E864" s="17"/>
      <c r="F864" s="17"/>
      <c r="G864" s="16"/>
      <c r="H864" s="87"/>
      <c r="I864" s="4"/>
    </row>
    <row r="865" spans="1:9">
      <c r="A865" s="32"/>
      <c r="B865" s="14"/>
      <c r="C865" s="4"/>
      <c r="D865" s="4"/>
      <c r="E865" s="17"/>
      <c r="F865" s="17"/>
      <c r="G865" s="16"/>
      <c r="H865" s="87"/>
      <c r="I865" s="4"/>
    </row>
    <row r="866" spans="1:9">
      <c r="A866" s="33"/>
      <c r="B866" s="14"/>
      <c r="C866" s="4"/>
      <c r="D866" s="4"/>
      <c r="E866" s="17"/>
      <c r="F866" s="17"/>
      <c r="G866" s="16"/>
      <c r="H866" s="87"/>
      <c r="I866" s="4"/>
    </row>
    <row r="867" spans="1:9">
      <c r="A867" s="32"/>
      <c r="B867" s="14"/>
      <c r="C867" s="4"/>
      <c r="D867" s="4"/>
      <c r="E867" s="17"/>
      <c r="F867" s="17"/>
      <c r="G867" s="16"/>
      <c r="H867" s="87"/>
      <c r="I867" s="4"/>
    </row>
    <row r="868" spans="1:9">
      <c r="A868" s="32"/>
      <c r="B868" s="14"/>
      <c r="C868" s="4"/>
      <c r="D868" s="4"/>
      <c r="E868" s="17"/>
      <c r="F868" s="17"/>
      <c r="G868" s="16"/>
      <c r="H868" s="87"/>
      <c r="I868" s="4"/>
    </row>
    <row r="869" spans="1:9">
      <c r="A869" s="32"/>
      <c r="B869" s="14"/>
      <c r="C869" s="4"/>
      <c r="D869" s="4"/>
      <c r="E869" s="17"/>
      <c r="F869" s="17"/>
      <c r="G869" s="16"/>
      <c r="H869" s="87"/>
      <c r="I869" s="4"/>
    </row>
    <row r="870" spans="1:9">
      <c r="A870" s="32"/>
      <c r="B870" s="14"/>
      <c r="C870" s="4"/>
      <c r="D870" s="4"/>
      <c r="E870" s="17"/>
      <c r="F870" s="17"/>
      <c r="G870" s="16"/>
      <c r="H870" s="87"/>
      <c r="I870" s="4"/>
    </row>
    <row r="871" spans="1:9">
      <c r="A871" s="32"/>
      <c r="B871" s="14"/>
      <c r="C871" s="4"/>
      <c r="D871" s="4"/>
      <c r="E871" s="17"/>
      <c r="F871" s="17"/>
      <c r="G871" s="16"/>
      <c r="H871" s="87"/>
      <c r="I871" s="4"/>
    </row>
    <row r="872" spans="1:9">
      <c r="A872" s="32"/>
      <c r="B872" s="14"/>
      <c r="C872" s="4"/>
      <c r="D872" s="4"/>
      <c r="E872" s="17"/>
      <c r="F872" s="17"/>
      <c r="G872" s="16"/>
      <c r="H872" s="87"/>
      <c r="I872" s="4"/>
    </row>
    <row r="873" spans="1:9">
      <c r="A873" s="33"/>
      <c r="B873" s="14"/>
      <c r="C873" s="4"/>
      <c r="D873" s="4"/>
      <c r="E873" s="17"/>
      <c r="F873" s="17"/>
      <c r="G873" s="16"/>
      <c r="H873" s="87"/>
      <c r="I873" s="4"/>
    </row>
    <row r="874" spans="1:9">
      <c r="A874" s="32"/>
      <c r="B874" s="14"/>
      <c r="C874" s="4"/>
      <c r="D874" s="4"/>
      <c r="E874" s="17"/>
      <c r="F874" s="17"/>
      <c r="G874" s="16"/>
      <c r="H874" s="87"/>
      <c r="I874" s="4"/>
    </row>
    <row r="875" spans="1:9">
      <c r="A875" s="32"/>
      <c r="B875" s="14"/>
      <c r="C875" s="4"/>
      <c r="D875" s="4"/>
      <c r="E875" s="17"/>
      <c r="F875" s="17"/>
      <c r="G875" s="16"/>
      <c r="H875" s="87"/>
      <c r="I875" s="4"/>
    </row>
    <row r="876" spans="1:9">
      <c r="A876" s="32"/>
      <c r="B876" s="14"/>
      <c r="C876" s="4"/>
      <c r="D876" s="4"/>
      <c r="E876" s="17"/>
      <c r="F876" s="17"/>
      <c r="G876" s="16"/>
      <c r="H876" s="87"/>
      <c r="I876" s="4"/>
    </row>
    <row r="877" spans="1:9">
      <c r="A877" s="32"/>
      <c r="B877" s="14"/>
      <c r="C877" s="4"/>
      <c r="D877" s="4"/>
      <c r="E877" s="17"/>
      <c r="F877" s="17"/>
      <c r="G877" s="16"/>
      <c r="H877" s="87"/>
      <c r="I877" s="4"/>
    </row>
    <row r="878" spans="1:9">
      <c r="A878" s="32"/>
      <c r="B878" s="14"/>
      <c r="C878" s="4"/>
      <c r="D878" s="4"/>
      <c r="E878" s="17"/>
      <c r="F878" s="17"/>
      <c r="G878" s="16"/>
      <c r="H878" s="87"/>
      <c r="I878" s="4"/>
    </row>
    <row r="879" spans="1:9">
      <c r="A879" s="32"/>
      <c r="B879" s="14"/>
      <c r="C879" s="4"/>
      <c r="D879" s="4"/>
      <c r="E879" s="17"/>
      <c r="F879" s="17"/>
      <c r="G879" s="16"/>
      <c r="H879" s="87"/>
      <c r="I879" s="4"/>
    </row>
    <row r="880" spans="1:9">
      <c r="A880" s="33"/>
      <c r="B880" s="14"/>
      <c r="C880" s="4"/>
      <c r="D880" s="4"/>
      <c r="E880" s="17"/>
      <c r="F880" s="17"/>
      <c r="G880" s="16"/>
      <c r="H880" s="87"/>
      <c r="I880" s="4"/>
    </row>
    <row r="881" spans="1:9">
      <c r="A881" s="32"/>
      <c r="B881" s="14"/>
      <c r="C881" s="4"/>
      <c r="D881" s="4"/>
      <c r="E881" s="17"/>
      <c r="F881" s="17"/>
      <c r="G881" s="16"/>
      <c r="H881" s="87"/>
      <c r="I881" s="4"/>
    </row>
    <row r="882" spans="1:9">
      <c r="A882" s="32"/>
      <c r="B882" s="14"/>
      <c r="C882" s="4"/>
      <c r="D882" s="4"/>
      <c r="E882" s="17"/>
      <c r="F882" s="17"/>
      <c r="G882" s="16"/>
      <c r="H882" s="87"/>
      <c r="I882" s="4"/>
    </row>
    <row r="883" spans="1:9">
      <c r="A883" s="32"/>
      <c r="B883" s="14"/>
      <c r="C883" s="4"/>
      <c r="D883" s="4"/>
      <c r="E883" s="17"/>
      <c r="F883" s="17"/>
      <c r="G883" s="16"/>
      <c r="H883" s="87"/>
      <c r="I883" s="4"/>
    </row>
    <row r="884" spans="1:9">
      <c r="A884" s="32"/>
      <c r="B884" s="14"/>
      <c r="C884" s="4"/>
      <c r="D884" s="4"/>
      <c r="E884" s="17"/>
      <c r="F884" s="17"/>
      <c r="G884" s="16"/>
      <c r="H884" s="87"/>
      <c r="I884" s="4"/>
    </row>
    <row r="885" spans="1:9">
      <c r="A885" s="32"/>
      <c r="B885" s="14"/>
      <c r="C885" s="4"/>
      <c r="D885" s="4"/>
      <c r="E885" s="17"/>
      <c r="F885" s="17"/>
      <c r="G885" s="16"/>
      <c r="H885" s="87"/>
      <c r="I885" s="4"/>
    </row>
    <row r="886" spans="1:9">
      <c r="A886" s="32"/>
      <c r="B886" s="14"/>
      <c r="C886" s="4"/>
      <c r="D886" s="4"/>
      <c r="E886" s="17"/>
      <c r="F886" s="17"/>
      <c r="G886" s="16"/>
      <c r="H886" s="87"/>
      <c r="I886" s="4"/>
    </row>
    <row r="887" spans="1:9">
      <c r="A887" s="33"/>
      <c r="B887" s="14"/>
      <c r="C887" s="4"/>
      <c r="D887" s="4"/>
      <c r="E887" s="17"/>
      <c r="F887" s="17"/>
      <c r="G887" s="16"/>
      <c r="H887" s="87"/>
      <c r="I887" s="4"/>
    </row>
    <row r="888" spans="1:9">
      <c r="A888" s="32"/>
      <c r="B888" s="14"/>
      <c r="C888" s="4"/>
      <c r="D888" s="4"/>
      <c r="E888" s="17"/>
      <c r="F888" s="17"/>
      <c r="G888" s="16"/>
      <c r="H888" s="87"/>
      <c r="I888" s="4"/>
    </row>
    <row r="889" spans="1:9">
      <c r="A889" s="32"/>
      <c r="B889" s="14"/>
      <c r="C889" s="4"/>
      <c r="D889" s="4"/>
      <c r="E889" s="17"/>
      <c r="F889" s="17"/>
      <c r="G889" s="16"/>
      <c r="H889" s="87"/>
      <c r="I889" s="4"/>
    </row>
    <row r="890" spans="1:9">
      <c r="A890" s="32"/>
      <c r="B890" s="14"/>
      <c r="C890" s="4"/>
      <c r="D890" s="4"/>
      <c r="E890" s="17"/>
      <c r="F890" s="17"/>
      <c r="G890" s="16"/>
      <c r="H890" s="87"/>
      <c r="I890" s="4"/>
    </row>
    <row r="891" spans="1:9">
      <c r="A891" s="32"/>
      <c r="B891" s="14"/>
      <c r="C891" s="4"/>
      <c r="D891" s="4"/>
      <c r="E891" s="17"/>
      <c r="F891" s="17"/>
      <c r="G891" s="16"/>
      <c r="H891" s="87"/>
      <c r="I891" s="4"/>
    </row>
    <row r="892" spans="1:9">
      <c r="A892" s="32"/>
      <c r="B892" s="14"/>
      <c r="C892" s="4"/>
      <c r="D892" s="4"/>
      <c r="E892" s="17"/>
      <c r="F892" s="17"/>
      <c r="G892" s="16"/>
      <c r="H892" s="87"/>
      <c r="I892" s="4"/>
    </row>
    <row r="893" spans="1:9">
      <c r="A893" s="32"/>
      <c r="B893" s="14"/>
      <c r="C893" s="4"/>
      <c r="D893" s="4"/>
      <c r="E893" s="17"/>
      <c r="F893" s="17"/>
      <c r="G893" s="16"/>
      <c r="H893" s="87"/>
      <c r="I893" s="4"/>
    </row>
    <row r="894" spans="1:9">
      <c r="A894" s="33"/>
      <c r="B894" s="14"/>
      <c r="C894" s="4"/>
      <c r="D894" s="4"/>
      <c r="E894" s="17"/>
      <c r="F894" s="17"/>
      <c r="G894" s="16"/>
      <c r="H894" s="87"/>
      <c r="I894" s="4"/>
    </row>
    <row r="895" spans="1:9">
      <c r="A895" s="32"/>
      <c r="B895" s="14"/>
      <c r="C895" s="4"/>
      <c r="D895" s="4"/>
      <c r="E895" s="17"/>
      <c r="F895" s="17"/>
      <c r="G895" s="16"/>
      <c r="H895" s="87"/>
      <c r="I895" s="4"/>
    </row>
    <row r="896" spans="1:9">
      <c r="A896" s="32"/>
      <c r="B896" s="14"/>
      <c r="C896" s="4"/>
      <c r="D896" s="4"/>
      <c r="E896" s="17"/>
      <c r="F896" s="17"/>
      <c r="G896" s="16"/>
      <c r="H896" s="87"/>
      <c r="I896" s="4"/>
    </row>
    <row r="897" spans="1:9">
      <c r="A897" s="32"/>
      <c r="B897" s="14"/>
      <c r="C897" s="4"/>
      <c r="D897" s="4"/>
      <c r="E897" s="17"/>
      <c r="F897" s="17"/>
      <c r="G897" s="16"/>
      <c r="H897" s="87"/>
      <c r="I897" s="4"/>
    </row>
    <row r="898" spans="1:9">
      <c r="A898" s="32"/>
      <c r="B898" s="14"/>
      <c r="C898" s="4"/>
      <c r="D898" s="4"/>
      <c r="E898" s="17"/>
      <c r="F898" s="17"/>
      <c r="G898" s="16"/>
      <c r="H898" s="87"/>
      <c r="I898" s="4"/>
    </row>
    <row r="899" spans="1:9">
      <c r="A899" s="32"/>
      <c r="B899" s="14"/>
      <c r="C899" s="4"/>
      <c r="D899" s="4"/>
      <c r="E899" s="17"/>
      <c r="F899" s="17"/>
      <c r="G899" s="16"/>
      <c r="H899" s="87"/>
      <c r="I899" s="4"/>
    </row>
    <row r="900" spans="1:9">
      <c r="A900" s="32"/>
      <c r="B900" s="14"/>
      <c r="C900" s="4"/>
      <c r="D900" s="4"/>
      <c r="E900" s="17"/>
      <c r="F900" s="17"/>
      <c r="G900" s="16"/>
      <c r="H900" s="87"/>
      <c r="I900" s="4"/>
    </row>
    <row r="901" spans="1:9">
      <c r="A901" s="33"/>
      <c r="B901" s="14"/>
      <c r="C901" s="4"/>
      <c r="D901" s="4"/>
      <c r="E901" s="17"/>
      <c r="F901" s="17"/>
      <c r="G901" s="16"/>
      <c r="H901" s="87"/>
      <c r="I901" s="4"/>
    </row>
    <row r="902" spans="1:9">
      <c r="A902" s="32"/>
      <c r="B902" s="14"/>
      <c r="C902" s="4"/>
      <c r="D902" s="4"/>
      <c r="E902" s="17"/>
      <c r="F902" s="17"/>
      <c r="G902" s="16"/>
      <c r="H902" s="87"/>
      <c r="I902" s="4"/>
    </row>
    <row r="903" spans="1:9">
      <c r="A903" s="32"/>
      <c r="B903" s="14"/>
      <c r="C903" s="4"/>
      <c r="D903" s="4"/>
      <c r="E903" s="17"/>
      <c r="F903" s="17"/>
      <c r="G903" s="16"/>
      <c r="H903" s="87"/>
      <c r="I903" s="4"/>
    </row>
    <row r="904" spans="1:9">
      <c r="A904" s="32"/>
      <c r="B904" s="14"/>
      <c r="C904" s="4"/>
      <c r="D904" s="4"/>
      <c r="E904" s="17"/>
      <c r="F904" s="17"/>
      <c r="G904" s="16"/>
      <c r="H904" s="87"/>
      <c r="I904" s="4"/>
    </row>
    <row r="905" spans="1:9">
      <c r="A905" s="32"/>
      <c r="B905" s="14"/>
      <c r="C905" s="4"/>
      <c r="D905" s="4"/>
      <c r="E905" s="17"/>
      <c r="F905" s="17"/>
      <c r="G905" s="16"/>
      <c r="H905" s="87"/>
      <c r="I905" s="4"/>
    </row>
    <row r="906" spans="1:9">
      <c r="A906" s="32"/>
      <c r="B906" s="14"/>
      <c r="C906" s="4"/>
      <c r="D906" s="4"/>
      <c r="E906" s="17"/>
      <c r="F906" s="17"/>
      <c r="G906" s="16"/>
      <c r="H906" s="87"/>
      <c r="I906" s="4"/>
    </row>
    <row r="907" spans="1:9">
      <c r="A907" s="32"/>
      <c r="B907" s="14"/>
      <c r="C907" s="4"/>
      <c r="D907" s="4"/>
      <c r="E907" s="17"/>
      <c r="F907" s="17"/>
      <c r="G907" s="16"/>
      <c r="H907" s="87"/>
      <c r="I907" s="4"/>
    </row>
    <row r="908" spans="1:9">
      <c r="A908" s="33"/>
      <c r="B908" s="14"/>
      <c r="C908" s="4"/>
      <c r="D908" s="4"/>
      <c r="E908" s="17"/>
      <c r="F908" s="17"/>
      <c r="G908" s="16"/>
      <c r="H908" s="87"/>
      <c r="I908" s="4"/>
    </row>
    <row r="909" spans="1:9">
      <c r="A909" s="32"/>
      <c r="B909" s="14"/>
      <c r="C909" s="4"/>
      <c r="D909" s="4"/>
      <c r="E909" s="17"/>
      <c r="F909" s="17"/>
      <c r="G909" s="16"/>
      <c r="H909" s="87"/>
      <c r="I909" s="4"/>
    </row>
    <row r="910" spans="1:9">
      <c r="A910" s="32"/>
      <c r="B910" s="14"/>
      <c r="C910" s="4"/>
      <c r="D910" s="4"/>
      <c r="E910" s="17"/>
      <c r="F910" s="17"/>
      <c r="G910" s="16"/>
      <c r="H910" s="87"/>
      <c r="I910" s="4"/>
    </row>
    <row r="911" spans="1:9">
      <c r="A911" s="32"/>
      <c r="B911" s="14"/>
      <c r="C911" s="4"/>
      <c r="D911" s="4"/>
      <c r="E911" s="17"/>
      <c r="F911" s="17"/>
      <c r="G911" s="16"/>
      <c r="H911" s="87"/>
      <c r="I911" s="4"/>
    </row>
    <row r="912" spans="1:9">
      <c r="A912" s="32"/>
      <c r="B912" s="14"/>
      <c r="C912" s="4"/>
      <c r="D912" s="4"/>
      <c r="E912" s="17"/>
      <c r="F912" s="17"/>
      <c r="G912" s="16"/>
      <c r="H912" s="87"/>
      <c r="I912" s="4"/>
    </row>
    <row r="913" spans="1:9">
      <c r="A913" s="32"/>
      <c r="B913" s="14"/>
      <c r="C913" s="4"/>
      <c r="D913" s="4"/>
      <c r="E913" s="17"/>
      <c r="F913" s="17"/>
      <c r="G913" s="16"/>
      <c r="H913" s="87"/>
      <c r="I913" s="4"/>
    </row>
    <row r="914" spans="1:9">
      <c r="A914" s="32"/>
      <c r="B914" s="14"/>
      <c r="C914" s="4"/>
      <c r="D914" s="4"/>
      <c r="E914" s="17"/>
      <c r="F914" s="17"/>
      <c r="G914" s="16"/>
      <c r="H914" s="87"/>
      <c r="I914" s="4"/>
    </row>
    <row r="915" spans="1:9">
      <c r="A915" s="33"/>
      <c r="B915" s="14"/>
      <c r="C915" s="4"/>
      <c r="D915" s="4"/>
      <c r="E915" s="17"/>
      <c r="F915" s="17"/>
      <c r="G915" s="16"/>
      <c r="H915" s="87"/>
      <c r="I915" s="4"/>
    </row>
    <row r="916" spans="1:9">
      <c r="A916" s="32"/>
      <c r="B916" s="14"/>
      <c r="C916" s="4"/>
      <c r="D916" s="4"/>
      <c r="E916" s="17"/>
      <c r="F916" s="17"/>
      <c r="G916" s="16"/>
      <c r="H916" s="87"/>
      <c r="I916" s="4"/>
    </row>
    <row r="917" spans="1:9">
      <c r="A917" s="32"/>
      <c r="B917" s="14"/>
      <c r="C917" s="4"/>
      <c r="D917" s="4"/>
      <c r="E917" s="17"/>
      <c r="F917" s="17"/>
      <c r="G917" s="16"/>
      <c r="H917" s="87"/>
      <c r="I917" s="4"/>
    </row>
    <row r="918" spans="1:9">
      <c r="A918" s="32"/>
      <c r="B918" s="14"/>
      <c r="C918" s="4"/>
      <c r="D918" s="4"/>
      <c r="E918" s="17"/>
      <c r="F918" s="17"/>
      <c r="G918" s="16"/>
      <c r="H918" s="87"/>
      <c r="I918" s="4"/>
    </row>
    <row r="919" spans="1:9">
      <c r="A919" s="32"/>
      <c r="B919" s="14"/>
      <c r="C919" s="4"/>
      <c r="D919" s="4"/>
      <c r="E919" s="17"/>
      <c r="F919" s="17"/>
      <c r="G919" s="16"/>
      <c r="H919" s="87"/>
      <c r="I919" s="4"/>
    </row>
    <row r="920" spans="1:9">
      <c r="A920" s="32"/>
      <c r="B920" s="14"/>
      <c r="C920" s="4"/>
      <c r="D920" s="4"/>
      <c r="E920" s="17"/>
      <c r="F920" s="17"/>
      <c r="G920" s="16"/>
      <c r="H920" s="87"/>
      <c r="I920" s="4"/>
    </row>
    <row r="921" spans="1:9">
      <c r="A921" s="32"/>
      <c r="B921" s="14"/>
      <c r="C921" s="4"/>
      <c r="D921" s="4"/>
      <c r="E921" s="17"/>
      <c r="F921" s="17"/>
      <c r="G921" s="16"/>
      <c r="H921" s="87"/>
      <c r="I921" s="4"/>
    </row>
    <row r="922" spans="1:9">
      <c r="A922" s="33"/>
      <c r="B922" s="14"/>
      <c r="C922" s="4"/>
      <c r="D922" s="4"/>
      <c r="E922" s="17"/>
      <c r="F922" s="17"/>
      <c r="G922" s="16"/>
      <c r="H922" s="87"/>
      <c r="I922" s="4"/>
    </row>
    <row r="923" spans="1:9">
      <c r="A923" s="32"/>
      <c r="B923" s="14"/>
      <c r="C923" s="4"/>
      <c r="D923" s="4"/>
      <c r="E923" s="17"/>
      <c r="F923" s="17"/>
      <c r="G923" s="16"/>
      <c r="H923" s="87"/>
      <c r="I923" s="4"/>
    </row>
    <row r="924" spans="1:9">
      <c r="A924" s="32"/>
      <c r="B924" s="14"/>
      <c r="C924" s="4"/>
      <c r="D924" s="4"/>
      <c r="E924" s="17"/>
      <c r="F924" s="17"/>
      <c r="G924" s="16"/>
      <c r="H924" s="87"/>
      <c r="I924" s="4"/>
    </row>
    <row r="925" spans="1:9">
      <c r="A925" s="32"/>
      <c r="B925" s="14"/>
      <c r="C925" s="4"/>
      <c r="D925" s="4"/>
      <c r="E925" s="17"/>
      <c r="F925" s="17"/>
      <c r="G925" s="16"/>
      <c r="H925" s="87"/>
      <c r="I925" s="4"/>
    </row>
    <row r="926" spans="1:9">
      <c r="A926" s="32"/>
      <c r="B926" s="14"/>
      <c r="C926" s="4"/>
      <c r="D926" s="4"/>
      <c r="E926" s="17"/>
      <c r="F926" s="17"/>
      <c r="G926" s="16"/>
      <c r="H926" s="87"/>
      <c r="I926" s="4"/>
    </row>
    <row r="927" spans="1:9">
      <c r="A927" s="32"/>
      <c r="B927" s="14"/>
      <c r="C927" s="4"/>
      <c r="D927" s="4"/>
      <c r="E927" s="17"/>
      <c r="F927" s="17"/>
      <c r="G927" s="16"/>
      <c r="H927" s="87"/>
      <c r="I927" s="4"/>
    </row>
    <row r="928" spans="1:9">
      <c r="A928" s="32"/>
      <c r="B928" s="14"/>
      <c r="C928" s="4"/>
      <c r="D928" s="4"/>
      <c r="E928" s="17"/>
      <c r="F928" s="17"/>
      <c r="G928" s="16"/>
      <c r="H928" s="87"/>
      <c r="I928" s="4"/>
    </row>
    <row r="929" spans="1:9">
      <c r="A929" s="33"/>
      <c r="B929" s="14"/>
      <c r="C929" s="4"/>
      <c r="D929" s="4"/>
      <c r="E929" s="17"/>
      <c r="F929" s="17"/>
      <c r="G929" s="16"/>
      <c r="H929" s="87"/>
      <c r="I929" s="4"/>
    </row>
    <row r="930" spans="1:9">
      <c r="A930" s="32"/>
      <c r="B930" s="14"/>
      <c r="C930" s="4"/>
      <c r="D930" s="4"/>
      <c r="E930" s="17"/>
      <c r="F930" s="17"/>
      <c r="G930" s="16"/>
      <c r="H930" s="87"/>
      <c r="I930" s="4"/>
    </row>
  </sheetData>
  <autoFilter ref="A1:I150"/>
  <conditionalFormatting sqref="H70:H76">
    <cfRule type="duplicateValues" dxfId="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14"/>
  <sheetViews>
    <sheetView workbookViewId="0">
      <selection activeCell="D14" sqref="D14:F14"/>
    </sheetView>
  </sheetViews>
  <sheetFormatPr defaultRowHeight="15"/>
  <sheetData>
    <row r="1" spans="1:13" ht="31.5">
      <c r="A1" s="236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</row>
    <row r="2" spans="1:13">
      <c r="A2" s="235" t="s">
        <v>424</v>
      </c>
      <c r="B2" s="235"/>
      <c r="C2" s="235"/>
      <c r="D2" s="95" t="s">
        <v>425</v>
      </c>
      <c r="E2" s="74" t="s">
        <v>426</v>
      </c>
      <c r="F2" s="74" t="s">
        <v>427</v>
      </c>
      <c r="G2" s="96" t="s">
        <v>428</v>
      </c>
      <c r="H2" s="235" t="s">
        <v>429</v>
      </c>
      <c r="I2" s="235"/>
      <c r="J2" s="235"/>
      <c r="K2" s="235"/>
      <c r="L2" s="235"/>
      <c r="M2" s="235"/>
    </row>
    <row r="3" spans="1:13" ht="15" customHeight="1">
      <c r="A3" s="235" t="s">
        <v>430</v>
      </c>
      <c r="B3" s="235"/>
      <c r="C3" s="235"/>
      <c r="D3" s="235"/>
      <c r="E3" s="235" t="s">
        <v>431</v>
      </c>
      <c r="F3" s="235"/>
      <c r="G3" s="235"/>
      <c r="H3" s="237" t="s">
        <v>432</v>
      </c>
      <c r="I3" s="237"/>
      <c r="J3" s="74" t="s">
        <v>433</v>
      </c>
      <c r="K3" s="74" t="s">
        <v>434</v>
      </c>
      <c r="L3" s="74" t="s">
        <v>435</v>
      </c>
      <c r="M3" s="74" t="s">
        <v>436</v>
      </c>
    </row>
    <row r="4" spans="1:13" ht="36" customHeight="1">
      <c r="A4" s="234" t="s">
        <v>437</v>
      </c>
      <c r="B4" s="234"/>
      <c r="C4" s="234"/>
      <c r="D4" s="234"/>
      <c r="E4" s="234"/>
      <c r="F4" s="234" t="s">
        <v>438</v>
      </c>
      <c r="G4" s="226"/>
      <c r="H4" s="10">
        <v>1</v>
      </c>
      <c r="I4" s="97" t="s">
        <v>439</v>
      </c>
      <c r="J4" s="98"/>
      <c r="K4" s="99"/>
      <c r="L4" s="100"/>
      <c r="M4" s="100"/>
    </row>
    <row r="5" spans="1:13">
      <c r="A5" s="234"/>
      <c r="B5" s="234"/>
      <c r="C5" s="234"/>
      <c r="D5" s="234"/>
      <c r="E5" s="234"/>
      <c r="F5" s="226"/>
      <c r="G5" s="226"/>
      <c r="H5" s="10">
        <v>2</v>
      </c>
      <c r="I5" s="97" t="s">
        <v>440</v>
      </c>
      <c r="J5" s="3"/>
      <c r="K5" s="3"/>
      <c r="M5" s="100"/>
    </row>
    <row r="6" spans="1:13" ht="26.25">
      <c r="A6" s="98" t="s">
        <v>441</v>
      </c>
      <c r="B6" s="235" t="s">
        <v>442</v>
      </c>
      <c r="C6" s="235"/>
      <c r="D6" s="235"/>
      <c r="E6" s="235"/>
      <c r="F6" s="226"/>
      <c r="G6" s="226"/>
      <c r="H6" s="10">
        <v>3</v>
      </c>
      <c r="I6" s="97" t="s">
        <v>443</v>
      </c>
      <c r="J6" s="98"/>
      <c r="K6" s="3"/>
      <c r="L6" s="3"/>
      <c r="M6" s="101"/>
    </row>
    <row r="7" spans="1:13" ht="26.25">
      <c r="A7" s="98"/>
      <c r="B7" s="235" t="s">
        <v>444</v>
      </c>
      <c r="C7" s="235"/>
      <c r="D7" s="235"/>
      <c r="E7" s="235"/>
      <c r="F7" s="235"/>
      <c r="G7" s="235"/>
      <c r="H7" s="10">
        <v>4</v>
      </c>
      <c r="I7" s="97" t="s">
        <v>445</v>
      </c>
      <c r="J7" s="98"/>
      <c r="K7" s="3"/>
      <c r="L7" s="98" t="s">
        <v>441</v>
      </c>
      <c r="M7" s="101"/>
    </row>
    <row r="8" spans="1:13" ht="36">
      <c r="A8" s="227"/>
      <c r="B8" s="227"/>
      <c r="C8" s="227"/>
      <c r="D8" s="227"/>
      <c r="E8" s="227"/>
      <c r="F8" s="227"/>
      <c r="G8" s="10" t="s">
        <v>446</v>
      </c>
      <c r="H8" s="10">
        <v>5</v>
      </c>
      <c r="I8" s="97" t="s">
        <v>447</v>
      </c>
      <c r="J8" s="103"/>
      <c r="K8" s="3"/>
      <c r="L8" s="103"/>
      <c r="M8" s="98"/>
    </row>
    <row r="9" spans="1:13" ht="75">
      <c r="A9" s="227" t="s">
        <v>448</v>
      </c>
      <c r="B9" s="227"/>
      <c r="C9" s="227"/>
      <c r="D9" s="231" t="s">
        <v>236</v>
      </c>
      <c r="E9" s="232"/>
      <c r="F9" s="233"/>
      <c r="G9" s="104" t="s">
        <v>449</v>
      </c>
      <c r="H9" s="226" t="s">
        <v>450</v>
      </c>
      <c r="I9" s="226"/>
      <c r="J9" s="226"/>
      <c r="K9" s="226"/>
      <c r="L9" s="226"/>
      <c r="M9" s="226"/>
    </row>
    <row r="10" spans="1:13" ht="60">
      <c r="A10" s="227" t="s">
        <v>451</v>
      </c>
      <c r="B10" s="227"/>
      <c r="C10" s="227"/>
      <c r="D10" s="228" t="str">
        <f>G9</f>
        <v>Fixture Sequence Disturbed</v>
      </c>
      <c r="E10" s="228"/>
      <c r="F10" s="228"/>
      <c r="G10" s="104" t="s">
        <v>452</v>
      </c>
      <c r="H10" s="226"/>
      <c r="I10" s="226"/>
      <c r="J10" s="226"/>
      <c r="K10" s="226"/>
      <c r="L10" s="226"/>
      <c r="M10" s="226"/>
    </row>
    <row r="11" spans="1:13" ht="75">
      <c r="A11" s="227" t="s">
        <v>453</v>
      </c>
      <c r="B11" s="227"/>
      <c r="C11" s="227"/>
      <c r="D11" s="228" t="str">
        <f>G10</f>
        <v>Duplicate Barcode Scanned</v>
      </c>
      <c r="E11" s="228"/>
      <c r="F11" s="228"/>
      <c r="G11" s="104" t="s">
        <v>454</v>
      </c>
      <c r="H11" s="226"/>
      <c r="I11" s="226"/>
      <c r="J11" s="226"/>
      <c r="K11" s="226"/>
      <c r="L11" s="226"/>
      <c r="M11" s="226"/>
    </row>
    <row r="12" spans="1:13">
      <c r="A12" s="227" t="s">
        <v>455</v>
      </c>
      <c r="B12" s="227"/>
      <c r="C12" s="227"/>
      <c r="D12" s="228"/>
      <c r="E12" s="228"/>
      <c r="F12" s="228"/>
      <c r="G12" s="104"/>
      <c r="H12" s="226" t="s">
        <v>456</v>
      </c>
      <c r="I12" s="226"/>
      <c r="J12" s="226"/>
      <c r="K12" s="226"/>
      <c r="L12" s="226"/>
      <c r="M12" s="226"/>
    </row>
    <row r="13" spans="1:13">
      <c r="A13" s="227" t="s">
        <v>457</v>
      </c>
      <c r="B13" s="227"/>
      <c r="C13" s="227"/>
      <c r="D13" s="228"/>
      <c r="E13" s="228"/>
      <c r="F13" s="228"/>
      <c r="G13" s="104"/>
      <c r="H13" s="226"/>
      <c r="I13" s="226"/>
      <c r="J13" s="226"/>
      <c r="K13" s="226"/>
      <c r="L13" s="226"/>
      <c r="M13" s="226"/>
    </row>
    <row r="14" spans="1:13" ht="15" customHeight="1">
      <c r="A14" s="229" t="s">
        <v>458</v>
      </c>
      <c r="B14" s="229"/>
      <c r="C14" s="229"/>
      <c r="D14" s="230" t="s">
        <v>459</v>
      </c>
      <c r="E14" s="230"/>
      <c r="F14" s="230"/>
      <c r="G14" s="101" t="s">
        <v>460</v>
      </c>
      <c r="H14" s="225" t="s">
        <v>461</v>
      </c>
      <c r="I14" s="225"/>
      <c r="J14" s="225"/>
      <c r="K14" s="225"/>
      <c r="L14" s="225"/>
      <c r="M14" s="225"/>
    </row>
  </sheetData>
  <mergeCells count="26">
    <mergeCell ref="A1:M1"/>
    <mergeCell ref="A2:C2"/>
    <mergeCell ref="H2:M2"/>
    <mergeCell ref="A3:D3"/>
    <mergeCell ref="E3:G3"/>
    <mergeCell ref="H3:I3"/>
    <mergeCell ref="A4:E5"/>
    <mergeCell ref="F4:G6"/>
    <mergeCell ref="B6:E6"/>
    <mergeCell ref="B7:G7"/>
    <mergeCell ref="A8:F8"/>
    <mergeCell ref="H14:M14"/>
    <mergeCell ref="H9:M11"/>
    <mergeCell ref="A10:C10"/>
    <mergeCell ref="D10:F10"/>
    <mergeCell ref="A11:C11"/>
    <mergeCell ref="D11:F11"/>
    <mergeCell ref="A12:C12"/>
    <mergeCell ref="D12:F12"/>
    <mergeCell ref="H12:M13"/>
    <mergeCell ref="A13:C13"/>
    <mergeCell ref="A14:C14"/>
    <mergeCell ref="D14:F14"/>
    <mergeCell ref="D13:F13"/>
    <mergeCell ref="A9:C9"/>
    <mergeCell ref="D9:F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119"/>
  <sheetViews>
    <sheetView workbookViewId="0">
      <selection activeCell="K8" sqref="K8"/>
    </sheetView>
  </sheetViews>
  <sheetFormatPr defaultRowHeight="45.75" customHeight="1"/>
  <cols>
    <col min="5" max="5" width="15.5703125" customWidth="1"/>
    <col min="6" max="6" width="14" customWidth="1"/>
    <col min="7" max="7" width="41.42578125" customWidth="1"/>
    <col min="9" max="9" width="24.42578125" bestFit="1" customWidth="1"/>
    <col min="10" max="10" width="3" bestFit="1" customWidth="1"/>
    <col min="11" max="11" width="3.85546875" bestFit="1" customWidth="1"/>
    <col min="12" max="12" width="7.5703125" bestFit="1" customWidth="1"/>
    <col min="13" max="13" width="5.42578125" bestFit="1" customWidth="1"/>
  </cols>
  <sheetData>
    <row r="1" spans="1:13" ht="45.75" customHeight="1">
      <c r="A1" s="107"/>
      <c r="B1" s="250" t="s">
        <v>462</v>
      </c>
      <c r="C1" s="250"/>
      <c r="D1" s="250"/>
      <c r="E1" s="250"/>
      <c r="F1" s="250"/>
      <c r="G1" s="250"/>
      <c r="H1" s="250"/>
      <c r="I1" s="251"/>
      <c r="J1" s="252" t="s">
        <v>463</v>
      </c>
      <c r="K1" s="253"/>
      <c r="L1" s="253"/>
      <c r="M1" s="254"/>
    </row>
    <row r="2" spans="1:13" ht="45.75" customHeight="1">
      <c r="A2" s="235" t="s">
        <v>464</v>
      </c>
      <c r="B2" s="235"/>
      <c r="C2" s="235"/>
      <c r="D2" s="95" t="s">
        <v>425</v>
      </c>
      <c r="E2" s="74" t="s">
        <v>465</v>
      </c>
      <c r="F2" s="74" t="s">
        <v>466</v>
      </c>
      <c r="G2" s="96" t="s">
        <v>467</v>
      </c>
      <c r="H2" s="235" t="s">
        <v>468</v>
      </c>
      <c r="I2" s="235"/>
      <c r="J2" s="235"/>
      <c r="K2" s="235"/>
      <c r="L2" s="235"/>
      <c r="M2" s="235"/>
    </row>
    <row r="3" spans="1:13" ht="45.75" customHeight="1">
      <c r="A3" s="235" t="s">
        <v>470</v>
      </c>
      <c r="B3" s="235"/>
      <c r="C3" s="235"/>
      <c r="D3" s="235"/>
      <c r="E3" s="235" t="s">
        <v>575</v>
      </c>
      <c r="F3" s="235"/>
      <c r="G3" s="235"/>
      <c r="H3" s="237" t="s">
        <v>432</v>
      </c>
      <c r="I3" s="237"/>
      <c r="J3" s="74" t="s">
        <v>433</v>
      </c>
      <c r="K3" s="74" t="s">
        <v>434</v>
      </c>
      <c r="L3" s="74" t="s">
        <v>435</v>
      </c>
      <c r="M3" s="74" t="s">
        <v>436</v>
      </c>
    </row>
    <row r="4" spans="1:13" ht="26.25" customHeight="1">
      <c r="A4" s="234" t="s">
        <v>576</v>
      </c>
      <c r="B4" s="234"/>
      <c r="C4" s="234"/>
      <c r="D4" s="234"/>
      <c r="E4" s="234"/>
      <c r="F4" s="234" t="s">
        <v>577</v>
      </c>
      <c r="G4" s="226"/>
      <c r="H4" s="10">
        <v>1</v>
      </c>
      <c r="I4" s="97" t="s">
        <v>439</v>
      </c>
      <c r="J4" s="98"/>
      <c r="K4" s="99"/>
      <c r="L4" s="100"/>
      <c r="M4" s="100"/>
    </row>
    <row r="5" spans="1:13" ht="25.5" customHeight="1">
      <c r="A5" s="234"/>
      <c r="B5" s="234"/>
      <c r="C5" s="234"/>
      <c r="D5" s="234"/>
      <c r="E5" s="234"/>
      <c r="F5" s="226"/>
      <c r="G5" s="226"/>
      <c r="H5" s="10">
        <v>2</v>
      </c>
      <c r="I5" s="97" t="s">
        <v>440</v>
      </c>
      <c r="J5" s="3"/>
      <c r="K5" s="3"/>
      <c r="M5" s="100"/>
    </row>
    <row r="6" spans="1:13" ht="27" customHeight="1">
      <c r="A6" s="98"/>
      <c r="B6" s="235" t="s">
        <v>442</v>
      </c>
      <c r="C6" s="235"/>
      <c r="D6" s="235"/>
      <c r="E6" s="235"/>
      <c r="F6" s="226"/>
      <c r="G6" s="226"/>
      <c r="H6" s="10">
        <v>3</v>
      </c>
      <c r="I6" s="97" t="s">
        <v>443</v>
      </c>
      <c r="J6" s="98"/>
      <c r="K6" s="3"/>
      <c r="L6" s="3"/>
      <c r="M6" s="101"/>
    </row>
    <row r="7" spans="1:13" ht="27.75" customHeight="1">
      <c r="A7" s="98" t="s">
        <v>441</v>
      </c>
      <c r="B7" s="235" t="s">
        <v>469</v>
      </c>
      <c r="C7" s="235"/>
      <c r="D7" s="235"/>
      <c r="E7" s="235"/>
      <c r="F7" s="235"/>
      <c r="G7" s="235"/>
      <c r="H7" s="10">
        <v>4</v>
      </c>
      <c r="I7" s="97" t="s">
        <v>445</v>
      </c>
      <c r="J7" s="98"/>
      <c r="K7" s="98"/>
      <c r="L7" s="98" t="s">
        <v>441</v>
      </c>
      <c r="M7" s="101"/>
    </row>
    <row r="8" spans="1:13" ht="30" customHeight="1">
      <c r="A8" s="227" t="s">
        <v>471</v>
      </c>
      <c r="B8" s="227"/>
      <c r="C8" s="227"/>
      <c r="D8" s="227"/>
      <c r="E8" s="227"/>
      <c r="F8" s="227"/>
      <c r="G8" s="10" t="s">
        <v>446</v>
      </c>
      <c r="H8" s="10">
        <v>5</v>
      </c>
      <c r="I8" s="97" t="s">
        <v>447</v>
      </c>
      <c r="J8" s="103"/>
      <c r="K8" s="3"/>
      <c r="L8" s="103"/>
      <c r="M8" s="98"/>
    </row>
    <row r="9" spans="1:13" ht="27.75" customHeight="1">
      <c r="A9" s="227" t="s">
        <v>448</v>
      </c>
      <c r="B9" s="227"/>
      <c r="C9" s="227"/>
      <c r="D9" s="231" t="s">
        <v>578</v>
      </c>
      <c r="E9" s="232"/>
      <c r="F9" s="233"/>
      <c r="G9" s="104" t="s">
        <v>579</v>
      </c>
      <c r="H9" s="226" t="s">
        <v>583</v>
      </c>
      <c r="I9" s="226"/>
      <c r="J9" s="226"/>
      <c r="K9" s="226"/>
      <c r="L9" s="226"/>
      <c r="M9" s="226"/>
    </row>
    <row r="10" spans="1:13" ht="27.75" customHeight="1">
      <c r="A10" s="227" t="s">
        <v>451</v>
      </c>
      <c r="B10" s="227"/>
      <c r="C10" s="227"/>
      <c r="D10" s="228" t="str">
        <f>G9</f>
        <v>Unloading jig not moving for unloading</v>
      </c>
      <c r="E10" s="228"/>
      <c r="F10" s="228"/>
      <c r="G10" s="104" t="s">
        <v>580</v>
      </c>
      <c r="H10" s="226"/>
      <c r="I10" s="226"/>
      <c r="J10" s="226"/>
      <c r="K10" s="226"/>
      <c r="L10" s="226"/>
      <c r="M10" s="226"/>
    </row>
    <row r="11" spans="1:13" ht="27.75" customHeight="1">
      <c r="A11" s="227" t="s">
        <v>453</v>
      </c>
      <c r="B11" s="227"/>
      <c r="C11" s="227"/>
      <c r="D11" s="228" t="str">
        <f>G10</f>
        <v>Jig presence confirmation not ok</v>
      </c>
      <c r="E11" s="228"/>
      <c r="F11" s="228"/>
      <c r="G11" s="104" t="s">
        <v>581</v>
      </c>
      <c r="H11" s="226"/>
      <c r="I11" s="226"/>
      <c r="J11" s="226"/>
      <c r="K11" s="226"/>
      <c r="L11" s="226"/>
      <c r="M11" s="226"/>
    </row>
    <row r="12" spans="1:13" ht="27.75" customHeight="1">
      <c r="A12" s="227" t="s">
        <v>455</v>
      </c>
      <c r="B12" s="227"/>
      <c r="C12" s="227"/>
      <c r="D12" s="228" t="str">
        <f>G11</f>
        <v>priximity found faulty</v>
      </c>
      <c r="E12" s="228"/>
      <c r="F12" s="228"/>
      <c r="G12" s="104" t="s">
        <v>582</v>
      </c>
      <c r="H12" s="234" t="s">
        <v>584</v>
      </c>
      <c r="I12" s="226"/>
      <c r="J12" s="226"/>
      <c r="K12" s="226"/>
      <c r="L12" s="226"/>
      <c r="M12" s="226"/>
    </row>
    <row r="13" spans="1:13" ht="27.75" customHeight="1">
      <c r="A13" s="227" t="s">
        <v>457</v>
      </c>
      <c r="B13" s="227"/>
      <c r="C13" s="227"/>
      <c r="D13" s="228" t="str">
        <f>G12</f>
        <v>sensor wire stretched and found short</v>
      </c>
      <c r="E13" s="228"/>
      <c r="F13" s="228"/>
      <c r="G13" s="104"/>
      <c r="H13" s="226"/>
      <c r="I13" s="226"/>
      <c r="J13" s="226"/>
      <c r="K13" s="226"/>
      <c r="L13" s="226"/>
      <c r="M13" s="226"/>
    </row>
    <row r="14" spans="1:13" ht="31.5" customHeight="1">
      <c r="A14" s="229" t="s">
        <v>458</v>
      </c>
      <c r="B14" s="229"/>
      <c r="C14" s="229"/>
      <c r="D14" s="230" t="s">
        <v>585</v>
      </c>
      <c r="E14" s="230"/>
      <c r="F14" s="230"/>
      <c r="G14" s="101" t="s">
        <v>460</v>
      </c>
      <c r="H14" s="225" t="s">
        <v>461</v>
      </c>
      <c r="I14" s="225"/>
      <c r="J14" s="225"/>
      <c r="K14" s="225"/>
      <c r="L14" s="225"/>
      <c r="M14" s="225"/>
    </row>
    <row r="15" spans="1:13" s="273" customFormat="1" ht="32.25" customHeight="1"/>
    <row r="16" spans="1:13" ht="45.75" customHeight="1">
      <c r="A16" s="107"/>
      <c r="B16" s="250" t="s">
        <v>462</v>
      </c>
      <c r="C16" s="250"/>
      <c r="D16" s="250"/>
      <c r="E16" s="250"/>
      <c r="F16" s="250"/>
      <c r="G16" s="250"/>
      <c r="H16" s="250"/>
      <c r="I16" s="251"/>
      <c r="J16" s="252" t="s">
        <v>463</v>
      </c>
      <c r="K16" s="274"/>
      <c r="L16" s="274"/>
      <c r="M16" s="275"/>
    </row>
    <row r="17" spans="1:13" ht="45.75" customHeight="1">
      <c r="A17" s="267" t="s">
        <v>587</v>
      </c>
      <c r="B17" s="268"/>
      <c r="C17" s="269"/>
      <c r="D17" s="95" t="s">
        <v>425</v>
      </c>
      <c r="E17" s="74" t="s">
        <v>588</v>
      </c>
      <c r="F17" s="74" t="s">
        <v>476</v>
      </c>
      <c r="G17" s="96" t="s">
        <v>467</v>
      </c>
      <c r="H17" s="267" t="s">
        <v>468</v>
      </c>
      <c r="I17" s="268"/>
      <c r="J17" s="268"/>
      <c r="K17" s="268"/>
      <c r="L17" s="268"/>
      <c r="M17" s="269"/>
    </row>
    <row r="18" spans="1:13" ht="45.75" customHeight="1">
      <c r="A18" s="267" t="s">
        <v>589</v>
      </c>
      <c r="B18" s="268"/>
      <c r="C18" s="268"/>
      <c r="D18" s="269"/>
      <c r="E18" s="267" t="s">
        <v>590</v>
      </c>
      <c r="F18" s="268"/>
      <c r="G18" s="269"/>
      <c r="H18" s="276" t="s">
        <v>432</v>
      </c>
      <c r="I18" s="277"/>
      <c r="J18" s="74" t="s">
        <v>433</v>
      </c>
      <c r="K18" s="74" t="s">
        <v>434</v>
      </c>
      <c r="L18" s="74" t="s">
        <v>435</v>
      </c>
      <c r="M18" s="74" t="s">
        <v>436</v>
      </c>
    </row>
    <row r="19" spans="1:13" ht="26.25" customHeight="1">
      <c r="A19" s="278" t="s">
        <v>592</v>
      </c>
      <c r="B19" s="279"/>
      <c r="C19" s="279"/>
      <c r="D19" s="279"/>
      <c r="E19" s="280"/>
      <c r="F19" s="278" t="s">
        <v>593</v>
      </c>
      <c r="G19" s="280"/>
      <c r="H19" s="102">
        <v>1</v>
      </c>
      <c r="I19" s="97" t="s">
        <v>439</v>
      </c>
      <c r="J19" s="98"/>
      <c r="K19" s="99"/>
      <c r="L19" s="100"/>
      <c r="M19" s="100"/>
    </row>
    <row r="20" spans="1:13" ht="25.5" customHeight="1">
      <c r="A20" s="281"/>
      <c r="B20" s="282"/>
      <c r="C20" s="282"/>
      <c r="D20" s="282"/>
      <c r="E20" s="283"/>
      <c r="F20" s="284"/>
      <c r="G20" s="285"/>
      <c r="H20" s="102">
        <v>2</v>
      </c>
      <c r="I20" s="97" t="s">
        <v>440</v>
      </c>
      <c r="J20" s="98"/>
      <c r="K20" s="98"/>
      <c r="L20" s="98"/>
      <c r="M20" s="100"/>
    </row>
    <row r="21" spans="1:13" ht="27" customHeight="1">
      <c r="A21" s="98"/>
      <c r="B21" s="267" t="s">
        <v>442</v>
      </c>
      <c r="C21" s="268"/>
      <c r="D21" s="268"/>
      <c r="E21" s="269"/>
      <c r="F21" s="281"/>
      <c r="G21" s="283"/>
      <c r="H21" s="102">
        <v>3</v>
      </c>
      <c r="I21" s="97" t="s">
        <v>443</v>
      </c>
      <c r="J21" s="98"/>
      <c r="K21" s="98"/>
      <c r="L21" s="98" t="s">
        <v>441</v>
      </c>
      <c r="M21" s="106"/>
    </row>
    <row r="22" spans="1:13" ht="27.75" customHeight="1">
      <c r="A22" s="98" t="s">
        <v>441</v>
      </c>
      <c r="B22" s="267" t="s">
        <v>591</v>
      </c>
      <c r="C22" s="268"/>
      <c r="D22" s="268"/>
      <c r="E22" s="268"/>
      <c r="F22" s="268"/>
      <c r="G22" s="269"/>
      <c r="H22" s="102">
        <v>4</v>
      </c>
      <c r="I22" s="97" t="s">
        <v>445</v>
      </c>
      <c r="J22" s="98"/>
      <c r="K22" s="3"/>
      <c r="L22" s="98"/>
      <c r="M22" s="106"/>
    </row>
    <row r="23" spans="1:13" ht="30" customHeight="1">
      <c r="A23" s="255" t="s">
        <v>471</v>
      </c>
      <c r="B23" s="256"/>
      <c r="C23" s="256"/>
      <c r="D23" s="256"/>
      <c r="E23" s="256"/>
      <c r="F23" s="257"/>
      <c r="G23" s="102" t="s">
        <v>446</v>
      </c>
      <c r="H23" s="102">
        <v>5</v>
      </c>
      <c r="I23" s="97" t="s">
        <v>447</v>
      </c>
      <c r="J23" s="103"/>
      <c r="K23" s="3"/>
      <c r="L23" s="103"/>
      <c r="M23" s="98"/>
    </row>
    <row r="24" spans="1:13" ht="27.75" customHeight="1">
      <c r="A24" s="255" t="s">
        <v>448</v>
      </c>
      <c r="B24" s="256"/>
      <c r="C24" s="257"/>
      <c r="D24" s="231" t="s">
        <v>594</v>
      </c>
      <c r="E24" s="232"/>
      <c r="F24" s="233"/>
      <c r="G24" s="105" t="s">
        <v>595</v>
      </c>
      <c r="H24" s="261" t="s">
        <v>598</v>
      </c>
      <c r="I24" s="262"/>
      <c r="J24" s="262"/>
      <c r="K24" s="262"/>
      <c r="L24" s="262"/>
      <c r="M24" s="263"/>
    </row>
    <row r="25" spans="1:13" ht="27.75" customHeight="1">
      <c r="A25" s="255" t="s">
        <v>451</v>
      </c>
      <c r="B25" s="256"/>
      <c r="C25" s="257"/>
      <c r="D25" s="258" t="str">
        <f>G24</f>
        <v xml:space="preserve">Bending function stopped </v>
      </c>
      <c r="E25" s="259"/>
      <c r="F25" s="260"/>
      <c r="G25" s="105" t="s">
        <v>596</v>
      </c>
      <c r="H25" s="270"/>
      <c r="I25" s="271"/>
      <c r="J25" s="271"/>
      <c r="K25" s="271"/>
      <c r="L25" s="271"/>
      <c r="M25" s="272"/>
    </row>
    <row r="26" spans="1:13" ht="27.75" customHeight="1">
      <c r="A26" s="255" t="s">
        <v>453</v>
      </c>
      <c r="B26" s="256"/>
      <c r="C26" s="257"/>
      <c r="D26" s="258" t="str">
        <f>G25</f>
        <v>Bending fixture Broken due to mishandling</v>
      </c>
      <c r="E26" s="259"/>
      <c r="F26" s="260"/>
      <c r="G26" s="105" t="s">
        <v>597</v>
      </c>
      <c r="H26" s="264"/>
      <c r="I26" s="265"/>
      <c r="J26" s="265"/>
      <c r="K26" s="265"/>
      <c r="L26" s="265"/>
      <c r="M26" s="266"/>
    </row>
    <row r="27" spans="1:13" ht="27.75" customHeight="1">
      <c r="A27" s="255" t="s">
        <v>455</v>
      </c>
      <c r="B27" s="256"/>
      <c r="C27" s="257"/>
      <c r="D27" s="258" t="str">
        <f>G26</f>
        <v>Lack of awareness</v>
      </c>
      <c r="E27" s="259"/>
      <c r="F27" s="260"/>
      <c r="G27" s="105"/>
      <c r="H27" s="261" t="s">
        <v>599</v>
      </c>
      <c r="I27" s="262"/>
      <c r="J27" s="262"/>
      <c r="K27" s="262"/>
      <c r="L27" s="262"/>
      <c r="M27" s="263"/>
    </row>
    <row r="28" spans="1:13" ht="27.75" customHeight="1">
      <c r="A28" s="255" t="s">
        <v>457</v>
      </c>
      <c r="B28" s="256"/>
      <c r="C28" s="257"/>
      <c r="D28" s="258"/>
      <c r="E28" s="259"/>
      <c r="F28" s="260"/>
      <c r="G28" s="105"/>
      <c r="H28" s="264"/>
      <c r="I28" s="265"/>
      <c r="J28" s="265"/>
      <c r="K28" s="265"/>
      <c r="L28" s="265"/>
      <c r="M28" s="266"/>
    </row>
    <row r="29" spans="1:13" ht="31.5" customHeight="1">
      <c r="A29" s="238" t="s">
        <v>458</v>
      </c>
      <c r="B29" s="239"/>
      <c r="C29" s="240"/>
      <c r="D29" s="241" t="s">
        <v>585</v>
      </c>
      <c r="E29" s="242"/>
      <c r="F29" s="243"/>
      <c r="G29" s="106" t="s">
        <v>460</v>
      </c>
      <c r="H29" s="244" t="s">
        <v>461</v>
      </c>
      <c r="I29" s="245"/>
      <c r="J29" s="245"/>
      <c r="K29" s="245"/>
      <c r="L29" s="245"/>
      <c r="M29" s="246"/>
    </row>
    <row r="30" spans="1:13" s="249" customFormat="1" ht="31.5" customHeight="1">
      <c r="A30" s="247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</row>
    <row r="31" spans="1:13" ht="45.75" customHeight="1">
      <c r="A31" s="107"/>
      <c r="B31" s="250" t="s">
        <v>462</v>
      </c>
      <c r="C31" s="250"/>
      <c r="D31" s="250"/>
      <c r="E31" s="250"/>
      <c r="F31" s="250"/>
      <c r="G31" s="250"/>
      <c r="H31" s="250"/>
      <c r="I31" s="251"/>
      <c r="J31" s="252" t="s">
        <v>463</v>
      </c>
      <c r="K31" s="274"/>
      <c r="L31" s="274"/>
      <c r="M31" s="275"/>
    </row>
    <row r="32" spans="1:13" ht="45.75" customHeight="1">
      <c r="A32" s="267" t="s">
        <v>474</v>
      </c>
      <c r="B32" s="268"/>
      <c r="C32" s="269"/>
      <c r="D32" s="95" t="s">
        <v>425</v>
      </c>
      <c r="E32" s="74" t="s">
        <v>475</v>
      </c>
      <c r="F32" s="74" t="s">
        <v>476</v>
      </c>
      <c r="G32" s="96" t="s">
        <v>477</v>
      </c>
      <c r="H32" s="267" t="s">
        <v>468</v>
      </c>
      <c r="I32" s="268"/>
      <c r="J32" s="268"/>
      <c r="K32" s="268"/>
      <c r="L32" s="268"/>
      <c r="M32" s="269"/>
    </row>
    <row r="33" spans="1:13" ht="45.75" customHeight="1">
      <c r="A33" s="267" t="s">
        <v>478</v>
      </c>
      <c r="B33" s="268"/>
      <c r="C33" s="268"/>
      <c r="D33" s="269"/>
      <c r="E33" s="267" t="s">
        <v>479</v>
      </c>
      <c r="F33" s="268"/>
      <c r="G33" s="269"/>
      <c r="H33" s="276" t="s">
        <v>432</v>
      </c>
      <c r="I33" s="277"/>
      <c r="J33" s="74" t="s">
        <v>433</v>
      </c>
      <c r="K33" s="74" t="s">
        <v>434</v>
      </c>
      <c r="L33" s="74" t="s">
        <v>435</v>
      </c>
      <c r="M33" s="74" t="s">
        <v>436</v>
      </c>
    </row>
    <row r="34" spans="1:13" ht="26.25" customHeight="1">
      <c r="A34" s="278" t="s">
        <v>480</v>
      </c>
      <c r="B34" s="279"/>
      <c r="C34" s="279"/>
      <c r="D34" s="279"/>
      <c r="E34" s="280"/>
      <c r="F34" s="278" t="s">
        <v>481</v>
      </c>
      <c r="G34" s="280"/>
      <c r="H34" s="102">
        <v>1</v>
      </c>
      <c r="I34" s="97" t="s">
        <v>439</v>
      </c>
      <c r="J34" s="98"/>
      <c r="K34" s="99"/>
      <c r="L34" s="100"/>
      <c r="M34" s="100"/>
    </row>
    <row r="35" spans="1:13" ht="25.5" customHeight="1">
      <c r="A35" s="281"/>
      <c r="B35" s="282"/>
      <c r="C35" s="282"/>
      <c r="D35" s="282"/>
      <c r="E35" s="283"/>
      <c r="F35" s="284"/>
      <c r="G35" s="285"/>
      <c r="H35" s="102">
        <v>2</v>
      </c>
      <c r="I35" s="97" t="s">
        <v>440</v>
      </c>
      <c r="J35" s="98" t="s">
        <v>441</v>
      </c>
      <c r="K35" s="98"/>
      <c r="L35" s="98"/>
      <c r="M35" s="100"/>
    </row>
    <row r="36" spans="1:13" ht="27" customHeight="1">
      <c r="A36" s="98" t="s">
        <v>441</v>
      </c>
      <c r="B36" s="267" t="s">
        <v>442</v>
      </c>
      <c r="C36" s="268"/>
      <c r="D36" s="268"/>
      <c r="E36" s="269"/>
      <c r="F36" s="281"/>
      <c r="G36" s="283"/>
      <c r="H36" s="102">
        <v>3</v>
      </c>
      <c r="I36" s="97" t="s">
        <v>443</v>
      </c>
      <c r="J36" s="98"/>
      <c r="K36" s="3"/>
      <c r="L36" s="98"/>
      <c r="M36" s="106"/>
    </row>
    <row r="37" spans="1:13" ht="27.75" customHeight="1">
      <c r="A37" s="98"/>
      <c r="B37" s="267" t="s">
        <v>444</v>
      </c>
      <c r="C37" s="268"/>
      <c r="D37" s="268"/>
      <c r="E37" s="268"/>
      <c r="F37" s="268"/>
      <c r="G37" s="269"/>
      <c r="H37" s="102">
        <v>4</v>
      </c>
      <c r="I37" s="97" t="s">
        <v>445</v>
      </c>
      <c r="J37" s="98"/>
      <c r="K37" s="3"/>
      <c r="L37" s="98"/>
      <c r="M37" s="106"/>
    </row>
    <row r="38" spans="1:13" ht="30" customHeight="1">
      <c r="A38" s="255" t="s">
        <v>471</v>
      </c>
      <c r="B38" s="256"/>
      <c r="C38" s="256"/>
      <c r="D38" s="256"/>
      <c r="E38" s="256"/>
      <c r="F38" s="257"/>
      <c r="G38" s="102" t="s">
        <v>446</v>
      </c>
      <c r="H38" s="102">
        <v>5</v>
      </c>
      <c r="I38" s="97" t="s">
        <v>447</v>
      </c>
      <c r="J38" s="103"/>
      <c r="K38" s="3"/>
      <c r="L38" s="103"/>
      <c r="M38" s="98"/>
    </row>
    <row r="39" spans="1:13" ht="27.75" customHeight="1">
      <c r="A39" s="255" t="s">
        <v>448</v>
      </c>
      <c r="B39" s="256"/>
      <c r="C39" s="257"/>
      <c r="D39" s="231" t="s">
        <v>482</v>
      </c>
      <c r="E39" s="232"/>
      <c r="F39" s="233"/>
      <c r="G39" s="105" t="s">
        <v>483</v>
      </c>
      <c r="H39" s="261" t="s">
        <v>487</v>
      </c>
      <c r="I39" s="262"/>
      <c r="J39" s="262"/>
      <c r="K39" s="262"/>
      <c r="L39" s="262"/>
      <c r="M39" s="263"/>
    </row>
    <row r="40" spans="1:13" ht="27.75" customHeight="1">
      <c r="A40" s="255" t="s">
        <v>451</v>
      </c>
      <c r="B40" s="256"/>
      <c r="C40" s="257"/>
      <c r="D40" s="258" t="str">
        <f>G39</f>
        <v>Cylinder 3 home position not confirmed into PLC.</v>
      </c>
      <c r="E40" s="259"/>
      <c r="F40" s="260"/>
      <c r="G40" s="105" t="s">
        <v>484</v>
      </c>
      <c r="H40" s="270"/>
      <c r="I40" s="271"/>
      <c r="J40" s="271"/>
      <c r="K40" s="271"/>
      <c r="L40" s="271"/>
      <c r="M40" s="272"/>
    </row>
    <row r="41" spans="1:13" ht="27.75" customHeight="1">
      <c r="A41" s="255" t="s">
        <v>453</v>
      </c>
      <c r="B41" s="256"/>
      <c r="C41" s="257"/>
      <c r="D41" s="258" t="str">
        <f>G40</f>
        <v>cylinder 3 reed switch wire broken</v>
      </c>
      <c r="E41" s="259"/>
      <c r="F41" s="260"/>
      <c r="G41" s="105" t="s">
        <v>485</v>
      </c>
      <c r="H41" s="264"/>
      <c r="I41" s="265"/>
      <c r="J41" s="265"/>
      <c r="K41" s="265"/>
      <c r="L41" s="265"/>
      <c r="M41" s="266"/>
    </row>
    <row r="42" spans="1:13" ht="27.75" customHeight="1">
      <c r="A42" s="255" t="s">
        <v>455</v>
      </c>
      <c r="B42" s="256"/>
      <c r="C42" s="257"/>
      <c r="D42" s="258" t="str">
        <f>G41</f>
        <v>over stressed while movement</v>
      </c>
      <c r="E42" s="259"/>
      <c r="F42" s="260"/>
      <c r="G42" s="105" t="s">
        <v>486</v>
      </c>
      <c r="H42" s="261" t="s">
        <v>488</v>
      </c>
      <c r="I42" s="262"/>
      <c r="J42" s="262"/>
      <c r="K42" s="262"/>
      <c r="L42" s="262"/>
      <c r="M42" s="263"/>
    </row>
    <row r="43" spans="1:13" ht="27.75" customHeight="1">
      <c r="A43" s="255" t="s">
        <v>457</v>
      </c>
      <c r="B43" s="256"/>
      <c r="C43" s="257"/>
      <c r="D43" s="258"/>
      <c r="E43" s="259"/>
      <c r="F43" s="260"/>
      <c r="G43" s="105"/>
      <c r="H43" s="264"/>
      <c r="I43" s="265"/>
      <c r="J43" s="265"/>
      <c r="K43" s="265"/>
      <c r="L43" s="265"/>
      <c r="M43" s="266"/>
    </row>
    <row r="44" spans="1:13" ht="31.5" customHeight="1">
      <c r="A44" s="238" t="s">
        <v>458</v>
      </c>
      <c r="B44" s="239"/>
      <c r="C44" s="240"/>
      <c r="D44" s="241" t="s">
        <v>585</v>
      </c>
      <c r="E44" s="242"/>
      <c r="F44" s="243"/>
      <c r="G44" s="106" t="s">
        <v>460</v>
      </c>
      <c r="H44" s="244" t="s">
        <v>461</v>
      </c>
      <c r="I44" s="245"/>
      <c r="J44" s="245"/>
      <c r="K44" s="245"/>
      <c r="L44" s="245"/>
      <c r="M44" s="246"/>
    </row>
    <row r="45" spans="1:13" s="273" customFormat="1" ht="37.5" customHeight="1"/>
    <row r="46" spans="1:13" ht="45.75" customHeight="1">
      <c r="A46" s="107"/>
      <c r="B46" s="250" t="s">
        <v>462</v>
      </c>
      <c r="C46" s="250"/>
      <c r="D46" s="250"/>
      <c r="E46" s="250"/>
      <c r="F46" s="250"/>
      <c r="G46" s="250"/>
      <c r="H46" s="250"/>
      <c r="I46" s="251"/>
      <c r="J46" s="252" t="s">
        <v>463</v>
      </c>
      <c r="K46" s="253"/>
      <c r="L46" s="253"/>
      <c r="M46" s="254"/>
    </row>
    <row r="47" spans="1:13" ht="45.75" customHeight="1">
      <c r="A47" s="235" t="s">
        <v>473</v>
      </c>
      <c r="B47" s="235"/>
      <c r="C47" s="235"/>
      <c r="D47" s="95" t="s">
        <v>425</v>
      </c>
      <c r="E47" s="74" t="s">
        <v>491</v>
      </c>
      <c r="F47" s="74" t="s">
        <v>492</v>
      </c>
      <c r="G47" s="96" t="s">
        <v>493</v>
      </c>
      <c r="H47" s="235" t="s">
        <v>468</v>
      </c>
      <c r="I47" s="235"/>
      <c r="J47" s="235"/>
      <c r="K47" s="235"/>
      <c r="L47" s="235"/>
      <c r="M47" s="235"/>
    </row>
    <row r="48" spans="1:13" ht="45.75" customHeight="1">
      <c r="A48" s="235" t="s">
        <v>472</v>
      </c>
      <c r="B48" s="235"/>
      <c r="C48" s="235"/>
      <c r="D48" s="235"/>
      <c r="E48" s="235" t="s">
        <v>490</v>
      </c>
      <c r="F48" s="235"/>
      <c r="G48" s="235"/>
      <c r="H48" s="237" t="s">
        <v>432</v>
      </c>
      <c r="I48" s="237"/>
      <c r="J48" s="74" t="s">
        <v>433</v>
      </c>
      <c r="K48" s="74" t="s">
        <v>434</v>
      </c>
      <c r="L48" s="74" t="s">
        <v>435</v>
      </c>
      <c r="M48" s="74" t="s">
        <v>436</v>
      </c>
    </row>
    <row r="49" spans="1:13" ht="26.25" customHeight="1">
      <c r="A49" s="234" t="s">
        <v>495</v>
      </c>
      <c r="B49" s="234"/>
      <c r="C49" s="234"/>
      <c r="D49" s="234"/>
      <c r="E49" s="234"/>
      <c r="F49" s="234" t="s">
        <v>494</v>
      </c>
      <c r="G49" s="226"/>
      <c r="H49" s="102">
        <v>1</v>
      </c>
      <c r="I49" s="97" t="s">
        <v>439</v>
      </c>
      <c r="J49" s="98"/>
      <c r="K49" s="99"/>
      <c r="L49" s="100"/>
      <c r="M49" s="100"/>
    </row>
    <row r="50" spans="1:13" ht="25.5" customHeight="1">
      <c r="A50" s="234"/>
      <c r="B50" s="234"/>
      <c r="C50" s="234"/>
      <c r="D50" s="234"/>
      <c r="E50" s="234"/>
      <c r="F50" s="226"/>
      <c r="G50" s="226"/>
      <c r="H50" s="102">
        <v>2</v>
      </c>
      <c r="I50" s="97" t="s">
        <v>440</v>
      </c>
      <c r="J50" s="98"/>
      <c r="K50" s="98"/>
      <c r="L50" s="98"/>
      <c r="M50" s="98" t="s">
        <v>441</v>
      </c>
    </row>
    <row r="51" spans="1:13" ht="27" customHeight="1">
      <c r="A51" s="98" t="s">
        <v>441</v>
      </c>
      <c r="B51" s="235" t="s">
        <v>442</v>
      </c>
      <c r="C51" s="235"/>
      <c r="D51" s="235"/>
      <c r="E51" s="235"/>
      <c r="F51" s="226"/>
      <c r="G51" s="226"/>
      <c r="H51" s="102">
        <v>3</v>
      </c>
      <c r="I51" s="97" t="s">
        <v>443</v>
      </c>
      <c r="J51" s="98"/>
      <c r="K51" s="3"/>
      <c r="L51" s="98"/>
      <c r="M51" s="106"/>
    </row>
    <row r="52" spans="1:13" ht="27.75" customHeight="1">
      <c r="A52" s="98"/>
      <c r="B52" s="235" t="s">
        <v>444</v>
      </c>
      <c r="C52" s="235"/>
      <c r="D52" s="235"/>
      <c r="E52" s="235"/>
      <c r="F52" s="235"/>
      <c r="G52" s="235"/>
      <c r="H52" s="102">
        <v>4</v>
      </c>
      <c r="I52" s="97" t="s">
        <v>445</v>
      </c>
      <c r="J52" s="98"/>
      <c r="K52" s="3"/>
      <c r="L52" s="98"/>
      <c r="M52" s="106"/>
    </row>
    <row r="53" spans="1:13" ht="30" customHeight="1">
      <c r="A53" s="227" t="s">
        <v>471</v>
      </c>
      <c r="B53" s="227"/>
      <c r="C53" s="227"/>
      <c r="D53" s="227"/>
      <c r="E53" s="227"/>
      <c r="F53" s="227"/>
      <c r="G53" s="102" t="s">
        <v>446</v>
      </c>
      <c r="H53" s="102">
        <v>5</v>
      </c>
      <c r="I53" s="97" t="s">
        <v>447</v>
      </c>
      <c r="J53" s="103"/>
      <c r="K53" s="3"/>
      <c r="L53" s="103"/>
      <c r="M53" s="98"/>
    </row>
    <row r="54" spans="1:13" ht="27.75" customHeight="1">
      <c r="A54" s="227" t="s">
        <v>448</v>
      </c>
      <c r="B54" s="227"/>
      <c r="C54" s="227"/>
      <c r="D54" s="231" t="s">
        <v>496</v>
      </c>
      <c r="E54" s="232"/>
      <c r="F54" s="233"/>
      <c r="G54" s="105" t="s">
        <v>497</v>
      </c>
      <c r="H54" s="226" t="s">
        <v>501</v>
      </c>
      <c r="I54" s="226"/>
      <c r="J54" s="226"/>
      <c r="K54" s="226"/>
      <c r="L54" s="226"/>
      <c r="M54" s="226"/>
    </row>
    <row r="55" spans="1:13" ht="27.75" customHeight="1">
      <c r="A55" s="227" t="s">
        <v>451</v>
      </c>
      <c r="B55" s="227"/>
      <c r="C55" s="227"/>
      <c r="D55" s="228" t="str">
        <f>G54</f>
        <v>scenned cell code not accepted by system</v>
      </c>
      <c r="E55" s="228"/>
      <c r="F55" s="228"/>
      <c r="G55" s="105" t="s">
        <v>498</v>
      </c>
      <c r="H55" s="226"/>
      <c r="I55" s="226"/>
      <c r="J55" s="226"/>
      <c r="K55" s="226"/>
      <c r="L55" s="226"/>
      <c r="M55" s="226"/>
    </row>
    <row r="56" spans="1:13" ht="27.75" customHeight="1">
      <c r="A56" s="227" t="s">
        <v>453</v>
      </c>
      <c r="B56" s="227"/>
      <c r="C56" s="227"/>
      <c r="D56" s="228" t="str">
        <f>G55</f>
        <v>cell bar code not equal as bind in BIS</v>
      </c>
      <c r="E56" s="228"/>
      <c r="F56" s="228"/>
      <c r="G56" s="105" t="s">
        <v>499</v>
      </c>
      <c r="H56" s="226"/>
      <c r="I56" s="226"/>
      <c r="J56" s="226"/>
      <c r="K56" s="226"/>
      <c r="L56" s="226"/>
      <c r="M56" s="226"/>
    </row>
    <row r="57" spans="1:13" ht="27.75" customHeight="1">
      <c r="A57" s="227" t="s">
        <v>455</v>
      </c>
      <c r="B57" s="227"/>
      <c r="C57" s="227"/>
      <c r="D57" s="228" t="str">
        <f>G56</f>
        <v>BIS setting changed</v>
      </c>
      <c r="E57" s="228"/>
      <c r="F57" s="228"/>
      <c r="G57" s="105" t="s">
        <v>500</v>
      </c>
      <c r="H57" s="226" t="s">
        <v>502</v>
      </c>
      <c r="I57" s="226"/>
      <c r="J57" s="226"/>
      <c r="K57" s="226"/>
      <c r="L57" s="226"/>
      <c r="M57" s="226"/>
    </row>
    <row r="58" spans="1:13" ht="27.75" customHeight="1">
      <c r="A58" s="227" t="s">
        <v>457</v>
      </c>
      <c r="B58" s="227"/>
      <c r="C58" s="227"/>
      <c r="D58" s="228" t="str">
        <f>G57</f>
        <v>mistakenly done due to lack of awareness</v>
      </c>
      <c r="E58" s="228"/>
      <c r="F58" s="228"/>
      <c r="G58" s="105"/>
      <c r="H58" s="226"/>
      <c r="I58" s="226"/>
      <c r="J58" s="226"/>
      <c r="K58" s="226"/>
      <c r="L58" s="226"/>
      <c r="M58" s="226"/>
    </row>
    <row r="59" spans="1:13" ht="31.5" customHeight="1">
      <c r="A59" s="229" t="s">
        <v>458</v>
      </c>
      <c r="B59" s="229"/>
      <c r="C59" s="229"/>
      <c r="D59" s="230" t="s">
        <v>585</v>
      </c>
      <c r="E59" s="230"/>
      <c r="F59" s="230"/>
      <c r="G59" s="106" t="s">
        <v>460</v>
      </c>
      <c r="H59" s="225" t="s">
        <v>461</v>
      </c>
      <c r="I59" s="225"/>
      <c r="J59" s="225"/>
      <c r="K59" s="225"/>
      <c r="L59" s="225"/>
      <c r="M59" s="225"/>
    </row>
    <row r="60" spans="1:13" s="273" customFormat="1" ht="45.75" customHeight="1"/>
    <row r="61" spans="1:13" ht="45.75" customHeight="1">
      <c r="A61" s="107"/>
      <c r="B61" s="250" t="s">
        <v>462</v>
      </c>
      <c r="C61" s="250"/>
      <c r="D61" s="250"/>
      <c r="E61" s="250"/>
      <c r="F61" s="250"/>
      <c r="G61" s="250"/>
      <c r="H61" s="250"/>
      <c r="I61" s="251"/>
      <c r="J61" s="252" t="s">
        <v>463</v>
      </c>
      <c r="K61" s="253"/>
      <c r="L61" s="253"/>
      <c r="M61" s="254"/>
    </row>
    <row r="62" spans="1:13" ht="45.75" customHeight="1">
      <c r="A62" s="235" t="s">
        <v>516</v>
      </c>
      <c r="B62" s="235"/>
      <c r="C62" s="235"/>
      <c r="D62" s="95" t="s">
        <v>425</v>
      </c>
      <c r="E62" s="74" t="s">
        <v>506</v>
      </c>
      <c r="F62" s="74" t="s">
        <v>507</v>
      </c>
      <c r="G62" s="96" t="s">
        <v>508</v>
      </c>
      <c r="H62" s="235" t="s">
        <v>468</v>
      </c>
      <c r="I62" s="235"/>
      <c r="J62" s="235"/>
      <c r="K62" s="235"/>
      <c r="L62" s="235"/>
      <c r="M62" s="235"/>
    </row>
    <row r="63" spans="1:13" ht="36" customHeight="1">
      <c r="A63" s="235" t="s">
        <v>489</v>
      </c>
      <c r="B63" s="235"/>
      <c r="C63" s="235"/>
      <c r="D63" s="235"/>
      <c r="E63" s="235" t="s">
        <v>503</v>
      </c>
      <c r="F63" s="235"/>
      <c r="G63" s="235"/>
      <c r="H63" s="237" t="s">
        <v>432</v>
      </c>
      <c r="I63" s="237"/>
      <c r="J63" s="74" t="s">
        <v>433</v>
      </c>
      <c r="K63" s="74" t="s">
        <v>434</v>
      </c>
      <c r="L63" s="74" t="s">
        <v>435</v>
      </c>
      <c r="M63" s="74" t="s">
        <v>436</v>
      </c>
    </row>
    <row r="64" spans="1:13" ht="26.25" customHeight="1">
      <c r="A64" s="234" t="s">
        <v>509</v>
      </c>
      <c r="B64" s="234"/>
      <c r="C64" s="234"/>
      <c r="D64" s="234"/>
      <c r="E64" s="234"/>
      <c r="F64" s="234" t="s">
        <v>505</v>
      </c>
      <c r="G64" s="226"/>
      <c r="H64" s="102">
        <v>1</v>
      </c>
      <c r="I64" s="97" t="s">
        <v>439</v>
      </c>
      <c r="J64" s="98"/>
      <c r="K64" s="99"/>
      <c r="L64" s="100"/>
      <c r="M64" s="100"/>
    </row>
    <row r="65" spans="1:13" ht="23.25" customHeight="1">
      <c r="A65" s="234"/>
      <c r="B65" s="234"/>
      <c r="C65" s="234"/>
      <c r="D65" s="234"/>
      <c r="E65" s="234"/>
      <c r="F65" s="226"/>
      <c r="G65" s="226"/>
      <c r="H65" s="102">
        <v>2</v>
      </c>
      <c r="I65" s="97" t="s">
        <v>440</v>
      </c>
      <c r="J65" s="98"/>
      <c r="K65" s="98"/>
      <c r="L65" s="98"/>
      <c r="M65" s="98" t="s">
        <v>441</v>
      </c>
    </row>
    <row r="66" spans="1:13" ht="27" customHeight="1">
      <c r="A66" s="98"/>
      <c r="B66" s="235" t="s">
        <v>442</v>
      </c>
      <c r="C66" s="235"/>
      <c r="D66" s="235"/>
      <c r="E66" s="235"/>
      <c r="F66" s="226"/>
      <c r="G66" s="226"/>
      <c r="H66" s="102">
        <v>3</v>
      </c>
      <c r="I66" s="97" t="s">
        <v>443</v>
      </c>
      <c r="J66" s="98"/>
      <c r="K66" s="3"/>
      <c r="L66" s="98"/>
      <c r="M66" s="106"/>
    </row>
    <row r="67" spans="1:13" ht="26.25">
      <c r="A67" s="98" t="s">
        <v>441</v>
      </c>
      <c r="B67" s="235" t="s">
        <v>504</v>
      </c>
      <c r="C67" s="235"/>
      <c r="D67" s="235"/>
      <c r="E67" s="235"/>
      <c r="F67" s="235"/>
      <c r="G67" s="235"/>
      <c r="H67" s="102">
        <v>4</v>
      </c>
      <c r="I67" s="97" t="s">
        <v>445</v>
      </c>
      <c r="J67" s="98"/>
      <c r="K67" s="3"/>
      <c r="L67" s="98"/>
      <c r="M67" s="106"/>
    </row>
    <row r="68" spans="1:13" ht="30" customHeight="1">
      <c r="A68" s="227" t="s">
        <v>471</v>
      </c>
      <c r="B68" s="227"/>
      <c r="C68" s="227"/>
      <c r="D68" s="227"/>
      <c r="E68" s="227"/>
      <c r="F68" s="227"/>
      <c r="G68" s="102" t="s">
        <v>446</v>
      </c>
      <c r="H68" s="102">
        <v>5</v>
      </c>
      <c r="I68" s="97" t="s">
        <v>447</v>
      </c>
      <c r="J68" s="103"/>
      <c r="K68" s="3"/>
      <c r="L68" s="103"/>
      <c r="M68" s="98"/>
    </row>
    <row r="69" spans="1:13" ht="27.75" customHeight="1">
      <c r="A69" s="227" t="s">
        <v>448</v>
      </c>
      <c r="B69" s="227"/>
      <c r="C69" s="227"/>
      <c r="D69" s="231" t="s">
        <v>510</v>
      </c>
      <c r="E69" s="232"/>
      <c r="F69" s="233"/>
      <c r="G69" s="105" t="s">
        <v>511</v>
      </c>
      <c r="H69" s="234" t="s">
        <v>514</v>
      </c>
      <c r="I69" s="226"/>
      <c r="J69" s="226"/>
      <c r="K69" s="226"/>
      <c r="L69" s="226"/>
      <c r="M69" s="226"/>
    </row>
    <row r="70" spans="1:13" ht="27.75" customHeight="1">
      <c r="A70" s="227" t="s">
        <v>451</v>
      </c>
      <c r="B70" s="227"/>
      <c r="C70" s="227"/>
      <c r="D70" s="228" t="str">
        <f>G69</f>
        <v>Generator high voltage not getting ON</v>
      </c>
      <c r="E70" s="228"/>
      <c r="F70" s="228"/>
      <c r="G70" s="105" t="s">
        <v>512</v>
      </c>
      <c r="H70" s="226"/>
      <c r="I70" s="226"/>
      <c r="J70" s="226"/>
      <c r="K70" s="226"/>
      <c r="L70" s="226"/>
      <c r="M70" s="226"/>
    </row>
    <row r="71" spans="1:13" ht="27.75" customHeight="1">
      <c r="A71" s="227" t="s">
        <v>453</v>
      </c>
      <c r="B71" s="227"/>
      <c r="C71" s="227"/>
      <c r="D71" s="228" t="str">
        <f>G70</f>
        <v>E07 alarm occurred</v>
      </c>
      <c r="E71" s="228"/>
      <c r="F71" s="228"/>
      <c r="G71" s="105" t="s">
        <v>513</v>
      </c>
      <c r="H71" s="226"/>
      <c r="I71" s="226"/>
      <c r="J71" s="226"/>
      <c r="K71" s="226"/>
      <c r="L71" s="226"/>
      <c r="M71" s="226"/>
    </row>
    <row r="72" spans="1:13" ht="27.75" customHeight="1">
      <c r="A72" s="227" t="s">
        <v>455</v>
      </c>
      <c r="B72" s="227"/>
      <c r="C72" s="227"/>
      <c r="D72" s="228" t="str">
        <f>G71</f>
        <v xml:space="preserve">E07 alarm triggered due to De-ionization </v>
      </c>
      <c r="E72" s="228"/>
      <c r="F72" s="228"/>
      <c r="G72" s="105"/>
      <c r="H72" s="226" t="s">
        <v>515</v>
      </c>
      <c r="I72" s="226"/>
      <c r="J72" s="226"/>
      <c r="K72" s="226"/>
      <c r="L72" s="226"/>
      <c r="M72" s="226"/>
    </row>
    <row r="73" spans="1:13" ht="27.75" customHeight="1">
      <c r="A73" s="227" t="s">
        <v>457</v>
      </c>
      <c r="B73" s="227"/>
      <c r="C73" s="227"/>
      <c r="D73" s="228"/>
      <c r="E73" s="228"/>
      <c r="F73" s="228"/>
      <c r="G73" s="105"/>
      <c r="H73" s="226"/>
      <c r="I73" s="226"/>
      <c r="J73" s="226"/>
      <c r="K73" s="226"/>
      <c r="L73" s="226"/>
      <c r="M73" s="226"/>
    </row>
    <row r="74" spans="1:13" ht="31.5" customHeight="1">
      <c r="A74" s="229" t="s">
        <v>458</v>
      </c>
      <c r="B74" s="229"/>
      <c r="C74" s="229"/>
      <c r="D74" s="230" t="s">
        <v>585</v>
      </c>
      <c r="E74" s="230"/>
      <c r="F74" s="230"/>
      <c r="G74" s="106" t="s">
        <v>460</v>
      </c>
      <c r="H74" s="225" t="s">
        <v>461</v>
      </c>
      <c r="I74" s="225"/>
      <c r="J74" s="225"/>
      <c r="K74" s="225"/>
      <c r="L74" s="225"/>
      <c r="M74" s="225"/>
    </row>
    <row r="75" spans="1:13" s="108" customFormat="1" ht="30" customHeight="1"/>
    <row r="76" spans="1:13" ht="45.75" customHeight="1">
      <c r="A76" s="107"/>
      <c r="B76" s="250" t="s">
        <v>462</v>
      </c>
      <c r="C76" s="250"/>
      <c r="D76" s="250"/>
      <c r="E76" s="250"/>
      <c r="F76" s="250"/>
      <c r="G76" s="250"/>
      <c r="H76" s="250"/>
      <c r="I76" s="251"/>
      <c r="J76" s="252" t="s">
        <v>463</v>
      </c>
      <c r="K76" s="253"/>
      <c r="L76" s="253"/>
      <c r="M76" s="254"/>
    </row>
    <row r="77" spans="1:13" ht="45.75" customHeight="1">
      <c r="A77" s="235" t="s">
        <v>517</v>
      </c>
      <c r="B77" s="235"/>
      <c r="C77" s="235"/>
      <c r="D77" s="95" t="s">
        <v>425</v>
      </c>
      <c r="E77" s="74" t="s">
        <v>518</v>
      </c>
      <c r="F77" s="74" t="s">
        <v>519</v>
      </c>
      <c r="G77" s="96" t="s">
        <v>520</v>
      </c>
      <c r="H77" s="235" t="s">
        <v>468</v>
      </c>
      <c r="I77" s="235"/>
      <c r="J77" s="235"/>
      <c r="K77" s="235"/>
      <c r="L77" s="235"/>
      <c r="M77" s="235"/>
    </row>
    <row r="78" spans="1:13" ht="36" customHeight="1">
      <c r="A78" s="235" t="s">
        <v>470</v>
      </c>
      <c r="B78" s="235"/>
      <c r="C78" s="235"/>
      <c r="D78" s="235"/>
      <c r="E78" s="235" t="s">
        <v>522</v>
      </c>
      <c r="F78" s="235"/>
      <c r="G78" s="235"/>
      <c r="H78" s="237" t="s">
        <v>432</v>
      </c>
      <c r="I78" s="237"/>
      <c r="J78" s="74" t="s">
        <v>433</v>
      </c>
      <c r="K78" s="74" t="s">
        <v>434</v>
      </c>
      <c r="L78" s="74" t="s">
        <v>435</v>
      </c>
      <c r="M78" s="74" t="s">
        <v>436</v>
      </c>
    </row>
    <row r="79" spans="1:13" ht="26.25" customHeight="1">
      <c r="A79" s="234" t="s">
        <v>523</v>
      </c>
      <c r="B79" s="234"/>
      <c r="C79" s="234"/>
      <c r="D79" s="234"/>
      <c r="E79" s="234"/>
      <c r="F79" s="234" t="s">
        <v>527</v>
      </c>
      <c r="G79" s="226"/>
      <c r="H79" s="102">
        <v>1</v>
      </c>
      <c r="I79" s="97" t="s">
        <v>439</v>
      </c>
      <c r="J79" s="98"/>
      <c r="K79" s="99"/>
      <c r="L79" s="100"/>
      <c r="M79" s="100"/>
    </row>
    <row r="80" spans="1:13" ht="29.25" customHeight="1">
      <c r="A80" s="234"/>
      <c r="B80" s="234"/>
      <c r="C80" s="234"/>
      <c r="D80" s="234"/>
      <c r="E80" s="234"/>
      <c r="F80" s="226"/>
      <c r="G80" s="226"/>
      <c r="H80" s="102">
        <v>2</v>
      </c>
      <c r="I80" s="97" t="s">
        <v>440</v>
      </c>
      <c r="J80" s="98"/>
      <c r="K80" s="98"/>
      <c r="L80" s="98"/>
      <c r="M80" s="98" t="s">
        <v>441</v>
      </c>
    </row>
    <row r="81" spans="1:13" ht="27" customHeight="1">
      <c r="A81" s="98" t="s">
        <v>441</v>
      </c>
      <c r="B81" s="235" t="s">
        <v>442</v>
      </c>
      <c r="C81" s="235"/>
      <c r="D81" s="235"/>
      <c r="E81" s="235"/>
      <c r="F81" s="226"/>
      <c r="G81" s="226"/>
      <c r="H81" s="102">
        <v>3</v>
      </c>
      <c r="I81" s="97" t="s">
        <v>443</v>
      </c>
      <c r="J81" s="98"/>
      <c r="K81" s="3"/>
      <c r="L81" s="98"/>
      <c r="M81" s="106"/>
    </row>
    <row r="82" spans="1:13" ht="26.25">
      <c r="A82" s="98"/>
      <c r="B82" s="235" t="s">
        <v>444</v>
      </c>
      <c r="C82" s="235"/>
      <c r="D82" s="235"/>
      <c r="E82" s="235"/>
      <c r="F82" s="235"/>
      <c r="G82" s="235"/>
      <c r="H82" s="102">
        <v>4</v>
      </c>
      <c r="I82" s="97" t="s">
        <v>445</v>
      </c>
      <c r="J82" s="98"/>
      <c r="K82" s="3"/>
      <c r="L82" s="98"/>
      <c r="M82" s="106"/>
    </row>
    <row r="83" spans="1:13" ht="30" customHeight="1">
      <c r="A83" s="227" t="s">
        <v>471</v>
      </c>
      <c r="B83" s="227"/>
      <c r="C83" s="227"/>
      <c r="D83" s="227"/>
      <c r="E83" s="227"/>
      <c r="F83" s="227"/>
      <c r="G83" s="102" t="s">
        <v>446</v>
      </c>
      <c r="H83" s="102">
        <v>5</v>
      </c>
      <c r="I83" s="97" t="s">
        <v>447</v>
      </c>
      <c r="J83" s="103"/>
      <c r="K83" s="3"/>
      <c r="L83" s="103"/>
      <c r="M83" s="98"/>
    </row>
    <row r="84" spans="1:13" ht="27.75" customHeight="1">
      <c r="A84" s="227" t="s">
        <v>448</v>
      </c>
      <c r="B84" s="227"/>
      <c r="C84" s="227"/>
      <c r="D84" s="231" t="s">
        <v>524</v>
      </c>
      <c r="E84" s="232"/>
      <c r="F84" s="233"/>
      <c r="G84" s="105" t="s">
        <v>525</v>
      </c>
      <c r="H84" s="234" t="s">
        <v>528</v>
      </c>
      <c r="I84" s="226"/>
      <c r="J84" s="226"/>
      <c r="K84" s="226"/>
      <c r="L84" s="226"/>
      <c r="M84" s="226"/>
    </row>
    <row r="85" spans="1:13" ht="27.75" customHeight="1">
      <c r="A85" s="227" t="s">
        <v>451</v>
      </c>
      <c r="B85" s="227"/>
      <c r="C85" s="227"/>
      <c r="D85" s="228" t="str">
        <f>G84</f>
        <v>Silicon not pasted on location</v>
      </c>
      <c r="E85" s="228"/>
      <c r="F85" s="228"/>
      <c r="G85" s="105" t="s">
        <v>526</v>
      </c>
      <c r="H85" s="226"/>
      <c r="I85" s="226"/>
      <c r="J85" s="226"/>
      <c r="K85" s="226"/>
      <c r="L85" s="226"/>
      <c r="M85" s="226"/>
    </row>
    <row r="86" spans="1:13" ht="27.75" customHeight="1">
      <c r="A86" s="227" t="s">
        <v>453</v>
      </c>
      <c r="B86" s="227"/>
      <c r="C86" s="227"/>
      <c r="D86" s="228" t="str">
        <f>G85</f>
        <v>Vacuum block jamm with glue.</v>
      </c>
      <c r="E86" s="228"/>
      <c r="F86" s="228"/>
      <c r="G86" t="s">
        <v>530</v>
      </c>
      <c r="H86" s="226"/>
      <c r="I86" s="226"/>
      <c r="J86" s="226"/>
      <c r="K86" s="226"/>
      <c r="L86" s="226"/>
      <c r="M86" s="226"/>
    </row>
    <row r="87" spans="1:13" ht="27.75" customHeight="1">
      <c r="A87" s="227" t="s">
        <v>455</v>
      </c>
      <c r="B87" s="227"/>
      <c r="C87" s="227"/>
      <c r="D87" s="228" t="str">
        <f>G86</f>
        <v>Vacuum venturi flow not of FCV not set.</v>
      </c>
      <c r="E87" s="228"/>
      <c r="F87" s="228"/>
      <c r="G87" s="105"/>
      <c r="H87" s="226" t="s">
        <v>529</v>
      </c>
      <c r="I87" s="226"/>
      <c r="J87" s="226"/>
      <c r="K87" s="226"/>
      <c r="L87" s="226"/>
      <c r="M87" s="226"/>
    </row>
    <row r="88" spans="1:13" ht="27.75" customHeight="1">
      <c r="A88" s="227" t="s">
        <v>457</v>
      </c>
      <c r="B88" s="227"/>
      <c r="C88" s="227"/>
      <c r="D88" s="228"/>
      <c r="E88" s="228"/>
      <c r="F88" s="228"/>
      <c r="G88" s="105"/>
      <c r="H88" s="226"/>
      <c r="I88" s="226"/>
      <c r="J88" s="226"/>
      <c r="K88" s="226"/>
      <c r="L88" s="226"/>
      <c r="M88" s="226"/>
    </row>
    <row r="89" spans="1:13" ht="31.5" customHeight="1">
      <c r="A89" s="229" t="s">
        <v>458</v>
      </c>
      <c r="B89" s="229"/>
      <c r="C89" s="229"/>
      <c r="D89" s="230" t="s">
        <v>585</v>
      </c>
      <c r="E89" s="230"/>
      <c r="F89" s="230"/>
      <c r="G89" s="106" t="s">
        <v>460</v>
      </c>
      <c r="H89" s="225" t="s">
        <v>461</v>
      </c>
      <c r="I89" s="225"/>
      <c r="J89" s="225"/>
      <c r="K89" s="225"/>
      <c r="L89" s="225"/>
      <c r="M89" s="225"/>
    </row>
    <row r="90" spans="1:13" s="273" customFormat="1" ht="45.75" customHeight="1"/>
    <row r="91" spans="1:13" ht="45.75" customHeight="1">
      <c r="A91" s="107"/>
      <c r="B91" s="250" t="s">
        <v>462</v>
      </c>
      <c r="C91" s="250"/>
      <c r="D91" s="250"/>
      <c r="E91" s="250"/>
      <c r="F91" s="250"/>
      <c r="G91" s="250"/>
      <c r="H91" s="250"/>
      <c r="I91" s="251"/>
      <c r="J91" s="252" t="s">
        <v>463</v>
      </c>
      <c r="K91" s="253"/>
      <c r="L91" s="253"/>
      <c r="M91" s="254"/>
    </row>
    <row r="92" spans="1:13" ht="45.75" customHeight="1">
      <c r="A92" s="235" t="s">
        <v>531</v>
      </c>
      <c r="B92" s="235"/>
      <c r="C92" s="235"/>
      <c r="D92" s="95" t="s">
        <v>425</v>
      </c>
      <c r="E92" s="74" t="s">
        <v>532</v>
      </c>
      <c r="F92" s="74" t="s">
        <v>533</v>
      </c>
      <c r="G92" s="96" t="s">
        <v>493</v>
      </c>
      <c r="H92" s="235" t="s">
        <v>468</v>
      </c>
      <c r="I92" s="235"/>
      <c r="J92" s="235"/>
      <c r="K92" s="235"/>
      <c r="L92" s="235"/>
      <c r="M92" s="235"/>
    </row>
    <row r="93" spans="1:13" ht="36" customHeight="1">
      <c r="A93" s="235" t="s">
        <v>470</v>
      </c>
      <c r="B93" s="235"/>
      <c r="C93" s="235"/>
      <c r="D93" s="235"/>
      <c r="E93" s="235" t="s">
        <v>521</v>
      </c>
      <c r="F93" s="235"/>
      <c r="G93" s="235"/>
      <c r="H93" s="237" t="s">
        <v>432</v>
      </c>
      <c r="I93" s="237"/>
      <c r="J93" s="74" t="s">
        <v>433</v>
      </c>
      <c r="K93" s="74" t="s">
        <v>434</v>
      </c>
      <c r="L93" s="74" t="s">
        <v>435</v>
      </c>
      <c r="M93" s="74" t="s">
        <v>436</v>
      </c>
    </row>
    <row r="94" spans="1:13" ht="26.25" customHeight="1">
      <c r="A94" s="234" t="s">
        <v>534</v>
      </c>
      <c r="B94" s="234"/>
      <c r="C94" s="234"/>
      <c r="D94" s="234"/>
      <c r="E94" s="234"/>
      <c r="F94" s="234" t="s">
        <v>540</v>
      </c>
      <c r="G94" s="226"/>
      <c r="H94" s="102">
        <v>1</v>
      </c>
      <c r="I94" s="97" t="s">
        <v>439</v>
      </c>
      <c r="J94" s="98"/>
      <c r="K94" s="99"/>
      <c r="L94" s="100"/>
      <c r="M94" s="100"/>
    </row>
    <row r="95" spans="1:13" ht="23.25" customHeight="1">
      <c r="A95" s="234"/>
      <c r="B95" s="234"/>
      <c r="C95" s="234"/>
      <c r="D95" s="234"/>
      <c r="E95" s="234"/>
      <c r="F95" s="226"/>
      <c r="G95" s="226"/>
      <c r="H95" s="102">
        <v>2</v>
      </c>
      <c r="I95" s="97" t="s">
        <v>440</v>
      </c>
      <c r="J95" s="98"/>
      <c r="K95" s="98"/>
      <c r="L95" s="98"/>
      <c r="M95" s="98"/>
    </row>
    <row r="96" spans="1:13" ht="27" customHeight="1">
      <c r="A96" s="98"/>
      <c r="B96" s="235" t="s">
        <v>442</v>
      </c>
      <c r="C96" s="235"/>
      <c r="D96" s="235"/>
      <c r="E96" s="235"/>
      <c r="F96" s="226"/>
      <c r="G96" s="226"/>
      <c r="H96" s="102">
        <v>3</v>
      </c>
      <c r="I96" s="97" t="s">
        <v>443</v>
      </c>
      <c r="J96" s="98"/>
      <c r="K96" s="3"/>
      <c r="L96" s="98"/>
      <c r="M96" s="106"/>
    </row>
    <row r="97" spans="1:13" ht="26.25">
      <c r="A97" s="98" t="s">
        <v>441</v>
      </c>
      <c r="B97" s="235" t="s">
        <v>535</v>
      </c>
      <c r="C97" s="235"/>
      <c r="D97" s="235"/>
      <c r="E97" s="235"/>
      <c r="F97" s="235"/>
      <c r="G97" s="235"/>
      <c r="H97" s="102">
        <v>4</v>
      </c>
      <c r="I97" s="97" t="s">
        <v>445</v>
      </c>
      <c r="J97" s="98"/>
      <c r="K97" s="3"/>
      <c r="L97" s="98"/>
      <c r="M97" s="106"/>
    </row>
    <row r="98" spans="1:13" ht="30" customHeight="1">
      <c r="A98" s="227" t="s">
        <v>471</v>
      </c>
      <c r="B98" s="227"/>
      <c r="C98" s="227"/>
      <c r="D98" s="227"/>
      <c r="E98" s="227"/>
      <c r="F98" s="227"/>
      <c r="G98" s="102" t="s">
        <v>446</v>
      </c>
      <c r="H98" s="102">
        <v>5</v>
      </c>
      <c r="I98" s="97" t="s">
        <v>447</v>
      </c>
      <c r="J98" s="103"/>
      <c r="K98" s="3"/>
      <c r="L98" s="98" t="s">
        <v>441</v>
      </c>
      <c r="M98" s="98"/>
    </row>
    <row r="99" spans="1:13" ht="27.75" customHeight="1">
      <c r="A99" s="227" t="s">
        <v>448</v>
      </c>
      <c r="B99" s="227"/>
      <c r="C99" s="227"/>
      <c r="D99" s="231" t="s">
        <v>510</v>
      </c>
      <c r="E99" s="232"/>
      <c r="F99" s="233"/>
      <c r="G99" s="105" t="s">
        <v>538</v>
      </c>
      <c r="H99" s="234" t="s">
        <v>541</v>
      </c>
      <c r="I99" s="226"/>
      <c r="J99" s="226"/>
      <c r="K99" s="226"/>
      <c r="L99" s="226"/>
      <c r="M99" s="226"/>
    </row>
    <row r="100" spans="1:13" ht="27.75" customHeight="1">
      <c r="A100" s="227" t="s">
        <v>451</v>
      </c>
      <c r="B100" s="227"/>
      <c r="C100" s="227"/>
      <c r="D100" s="228" t="str">
        <f>G99</f>
        <v>axis 2 going for picking without part</v>
      </c>
      <c r="E100" s="228"/>
      <c r="F100" s="228"/>
      <c r="G100" s="105" t="s">
        <v>537</v>
      </c>
      <c r="H100" s="226"/>
      <c r="I100" s="226"/>
      <c r="J100" s="226"/>
      <c r="K100" s="226"/>
      <c r="L100" s="226"/>
      <c r="M100" s="226"/>
    </row>
    <row r="101" spans="1:13" ht="27.75" customHeight="1">
      <c r="A101" s="227" t="s">
        <v>453</v>
      </c>
      <c r="B101" s="227"/>
      <c r="C101" s="227"/>
      <c r="D101" s="228" t="str">
        <f>G100</f>
        <v>axis 2 picking servo malfucntioning</v>
      </c>
      <c r="E101" s="228"/>
      <c r="F101" s="228"/>
      <c r="G101" s="105" t="s">
        <v>536</v>
      </c>
      <c r="H101" s="226"/>
      <c r="I101" s="226"/>
      <c r="J101" s="226"/>
      <c r="K101" s="226"/>
      <c r="L101" s="226"/>
      <c r="M101" s="226"/>
    </row>
    <row r="102" spans="1:13" ht="27.75" customHeight="1">
      <c r="A102" s="227" t="s">
        <v>455</v>
      </c>
      <c r="B102" s="227"/>
      <c r="C102" s="227"/>
      <c r="D102" s="228" t="str">
        <f>G101</f>
        <v>Part presence sensor on loading conveyor faulty</v>
      </c>
      <c r="E102" s="228"/>
      <c r="F102" s="228"/>
      <c r="G102" s="105" t="s">
        <v>539</v>
      </c>
      <c r="H102" s="226" t="s">
        <v>542</v>
      </c>
      <c r="I102" s="226"/>
      <c r="J102" s="226"/>
      <c r="K102" s="226"/>
      <c r="L102" s="226"/>
      <c r="M102" s="226"/>
    </row>
    <row r="103" spans="1:13" ht="27.75" customHeight="1">
      <c r="A103" s="227" t="s">
        <v>457</v>
      </c>
      <c r="B103" s="227"/>
      <c r="C103" s="227"/>
      <c r="D103" s="228" t="str">
        <f>G102</f>
        <v>Deterioratoin</v>
      </c>
      <c r="E103" s="228"/>
      <c r="F103" s="228"/>
      <c r="G103" s="105"/>
      <c r="H103" s="226"/>
      <c r="I103" s="226"/>
      <c r="J103" s="226"/>
      <c r="K103" s="226"/>
      <c r="L103" s="226"/>
      <c r="M103" s="226"/>
    </row>
    <row r="104" spans="1:13" ht="31.5" customHeight="1">
      <c r="A104" s="229" t="s">
        <v>458</v>
      </c>
      <c r="B104" s="229"/>
      <c r="C104" s="229"/>
      <c r="D104" s="230" t="s">
        <v>585</v>
      </c>
      <c r="E104" s="230"/>
      <c r="F104" s="230"/>
      <c r="G104" s="106" t="s">
        <v>460</v>
      </c>
      <c r="H104" s="225" t="s">
        <v>461</v>
      </c>
      <c r="I104" s="225"/>
      <c r="J104" s="225"/>
      <c r="K104" s="225"/>
      <c r="L104" s="225"/>
      <c r="M104" s="225"/>
    </row>
    <row r="105" spans="1:13" s="273" customFormat="1" ht="45.75" customHeight="1"/>
    <row r="106" spans="1:13" ht="45.75" customHeight="1">
      <c r="A106" s="107"/>
      <c r="B106" s="250" t="s">
        <v>462</v>
      </c>
      <c r="C106" s="250"/>
      <c r="D106" s="250"/>
      <c r="E106" s="250"/>
      <c r="F106" s="250"/>
      <c r="G106" s="250"/>
      <c r="H106" s="250"/>
      <c r="I106" s="251"/>
      <c r="J106" s="252" t="s">
        <v>463</v>
      </c>
      <c r="K106" s="253"/>
      <c r="L106" s="253"/>
      <c r="M106" s="254"/>
    </row>
    <row r="107" spans="1:13" ht="45.75" customHeight="1">
      <c r="A107" s="235" t="s">
        <v>543</v>
      </c>
      <c r="B107" s="235"/>
      <c r="C107" s="235"/>
      <c r="D107" s="95" t="s">
        <v>425</v>
      </c>
      <c r="E107" s="74" t="s">
        <v>532</v>
      </c>
      <c r="F107" s="74" t="s">
        <v>533</v>
      </c>
      <c r="G107" s="96" t="s">
        <v>493</v>
      </c>
      <c r="H107" s="235" t="s">
        <v>468</v>
      </c>
      <c r="I107" s="235"/>
      <c r="J107" s="235"/>
      <c r="K107" s="235"/>
      <c r="L107" s="235"/>
      <c r="M107" s="235"/>
    </row>
    <row r="108" spans="1:13" ht="36" customHeight="1">
      <c r="A108" s="235" t="s">
        <v>544</v>
      </c>
      <c r="B108" s="235"/>
      <c r="C108" s="235"/>
      <c r="D108" s="235"/>
      <c r="E108" s="235" t="s">
        <v>545</v>
      </c>
      <c r="F108" s="235"/>
      <c r="G108" s="235"/>
      <c r="H108" s="237" t="s">
        <v>432</v>
      </c>
      <c r="I108" s="237"/>
      <c r="J108" s="74" t="s">
        <v>433</v>
      </c>
      <c r="K108" s="74" t="s">
        <v>434</v>
      </c>
      <c r="L108" s="74" t="s">
        <v>435</v>
      </c>
      <c r="M108" s="74" t="s">
        <v>436</v>
      </c>
    </row>
    <row r="109" spans="1:13" ht="26.25" customHeight="1">
      <c r="A109" s="234" t="s">
        <v>546</v>
      </c>
      <c r="B109" s="234"/>
      <c r="C109" s="234"/>
      <c r="D109" s="234"/>
      <c r="E109" s="234"/>
      <c r="F109" s="234" t="s">
        <v>547</v>
      </c>
      <c r="G109" s="226"/>
      <c r="H109" s="102">
        <v>1</v>
      </c>
      <c r="I109" s="97" t="s">
        <v>439</v>
      </c>
      <c r="J109" s="98"/>
      <c r="K109" s="99"/>
      <c r="L109" s="100"/>
      <c r="M109" s="100"/>
    </row>
    <row r="110" spans="1:13" ht="23.25" customHeight="1">
      <c r="A110" s="234"/>
      <c r="B110" s="234"/>
      <c r="C110" s="234"/>
      <c r="D110" s="234"/>
      <c r="E110" s="234"/>
      <c r="F110" s="226"/>
      <c r="G110" s="226"/>
      <c r="H110" s="102">
        <v>2</v>
      </c>
      <c r="I110" s="97" t="s">
        <v>440</v>
      </c>
      <c r="J110" s="98"/>
      <c r="K110" s="98"/>
      <c r="L110" s="98"/>
      <c r="M110" s="98"/>
    </row>
    <row r="111" spans="1:13" ht="27" customHeight="1">
      <c r="A111" s="98" t="s">
        <v>441</v>
      </c>
      <c r="B111" s="235" t="s">
        <v>442</v>
      </c>
      <c r="C111" s="235"/>
      <c r="D111" s="235"/>
      <c r="E111" s="235"/>
      <c r="F111" s="226"/>
      <c r="G111" s="226"/>
      <c r="H111" s="102">
        <v>3</v>
      </c>
      <c r="I111" s="97" t="s">
        <v>443</v>
      </c>
      <c r="J111" s="98"/>
      <c r="K111" s="3"/>
      <c r="L111" s="98"/>
      <c r="M111" s="106"/>
    </row>
    <row r="112" spans="1:13" ht="26.25">
      <c r="A112" s="98"/>
      <c r="B112" s="235" t="s">
        <v>444</v>
      </c>
      <c r="C112" s="235"/>
      <c r="D112" s="235"/>
      <c r="E112" s="235"/>
      <c r="F112" s="235"/>
      <c r="G112" s="235"/>
      <c r="H112" s="102">
        <v>4</v>
      </c>
      <c r="I112" s="97" t="s">
        <v>445</v>
      </c>
      <c r="J112" s="98"/>
      <c r="K112" s="3"/>
      <c r="L112" s="98"/>
      <c r="M112" s="106"/>
    </row>
    <row r="113" spans="1:13" ht="30" customHeight="1">
      <c r="A113" s="227" t="s">
        <v>471</v>
      </c>
      <c r="B113" s="227"/>
      <c r="C113" s="227"/>
      <c r="D113" s="227"/>
      <c r="E113" s="227"/>
      <c r="F113" s="227"/>
      <c r="G113" s="102" t="s">
        <v>446</v>
      </c>
      <c r="H113" s="102">
        <v>5</v>
      </c>
      <c r="I113" s="97" t="s">
        <v>447</v>
      </c>
      <c r="J113" s="103"/>
      <c r="K113" s="3"/>
      <c r="L113" s="98" t="s">
        <v>441</v>
      </c>
      <c r="M113" s="98"/>
    </row>
    <row r="114" spans="1:13" ht="27.75" customHeight="1">
      <c r="A114" s="227" t="s">
        <v>448</v>
      </c>
      <c r="B114" s="227"/>
      <c r="C114" s="227"/>
      <c r="D114" s="231" t="s">
        <v>548</v>
      </c>
      <c r="E114" s="232"/>
      <c r="F114" s="233"/>
      <c r="G114" s="105" t="s">
        <v>549</v>
      </c>
      <c r="H114" s="234" t="s">
        <v>553</v>
      </c>
      <c r="I114" s="226"/>
      <c r="J114" s="226"/>
      <c r="K114" s="226"/>
      <c r="L114" s="226"/>
      <c r="M114" s="226"/>
    </row>
    <row r="115" spans="1:13" ht="27.75" customHeight="1">
      <c r="A115" s="227" t="s">
        <v>451</v>
      </c>
      <c r="B115" s="227"/>
      <c r="C115" s="227"/>
      <c r="D115" s="228" t="str">
        <f>G114</f>
        <v>alarm popup on HMI of screw suction.</v>
      </c>
      <c r="E115" s="228"/>
      <c r="F115" s="228"/>
      <c r="G115" s="105" t="s">
        <v>550</v>
      </c>
      <c r="H115" s="226"/>
      <c r="I115" s="226"/>
      <c r="J115" s="226"/>
      <c r="K115" s="226"/>
      <c r="L115" s="226"/>
      <c r="M115" s="226"/>
    </row>
    <row r="116" spans="1:13" ht="27.75" customHeight="1">
      <c r="A116" s="227" t="s">
        <v>453</v>
      </c>
      <c r="B116" s="227"/>
      <c r="C116" s="227"/>
      <c r="D116" s="228" t="str">
        <f>G115</f>
        <v>screw feeder rotary stopped without screw</v>
      </c>
      <c r="E116" s="228"/>
      <c r="F116" s="228"/>
      <c r="G116" s="105" t="s">
        <v>551</v>
      </c>
      <c r="H116" s="226"/>
      <c r="I116" s="226"/>
      <c r="J116" s="226"/>
      <c r="K116" s="226"/>
      <c r="L116" s="226"/>
      <c r="M116" s="226"/>
    </row>
    <row r="117" spans="1:13" ht="27.75" customHeight="1">
      <c r="A117" s="227" t="s">
        <v>455</v>
      </c>
      <c r="B117" s="227"/>
      <c r="C117" s="227"/>
      <c r="D117" s="228" t="str">
        <f>G116</f>
        <v>screw sensor presence sensor malfunctioning</v>
      </c>
      <c r="E117" s="228"/>
      <c r="F117" s="228"/>
      <c r="G117" s="105" t="s">
        <v>552</v>
      </c>
      <c r="H117" s="234" t="s">
        <v>554</v>
      </c>
      <c r="I117" s="226"/>
      <c r="J117" s="226"/>
      <c r="K117" s="226"/>
      <c r="L117" s="226"/>
      <c r="M117" s="226"/>
    </row>
    <row r="118" spans="1:13" ht="27.75" customHeight="1">
      <c r="A118" s="227" t="s">
        <v>457</v>
      </c>
      <c r="B118" s="227"/>
      <c r="C118" s="227"/>
      <c r="D118" s="228" t="str">
        <f>G117</f>
        <v>dust accumulated on transmitter/receiver</v>
      </c>
      <c r="E118" s="228"/>
      <c r="F118" s="228"/>
      <c r="G118" s="105"/>
      <c r="H118" s="226"/>
      <c r="I118" s="226"/>
      <c r="J118" s="226"/>
      <c r="K118" s="226"/>
      <c r="L118" s="226"/>
      <c r="M118" s="226"/>
    </row>
    <row r="119" spans="1:13" ht="31.5" customHeight="1">
      <c r="A119" s="229" t="s">
        <v>458</v>
      </c>
      <c r="B119" s="229"/>
      <c r="C119" s="229"/>
      <c r="D119" s="230" t="s">
        <v>585</v>
      </c>
      <c r="E119" s="230"/>
      <c r="F119" s="230"/>
      <c r="G119" s="106" t="s">
        <v>460</v>
      </c>
      <c r="H119" s="225" t="s">
        <v>461</v>
      </c>
      <c r="I119" s="225"/>
      <c r="J119" s="225"/>
      <c r="K119" s="225"/>
      <c r="L119" s="225"/>
      <c r="M119" s="225"/>
    </row>
  </sheetData>
  <mergeCells count="222">
    <mergeCell ref="D10:F10"/>
    <mergeCell ref="A11:C11"/>
    <mergeCell ref="D11:F11"/>
    <mergeCell ref="A12:C12"/>
    <mergeCell ref="D12:F12"/>
    <mergeCell ref="H12:M13"/>
    <mergeCell ref="A13:C13"/>
    <mergeCell ref="D13:F13"/>
    <mergeCell ref="A9:C9"/>
    <mergeCell ref="D9:F9"/>
    <mergeCell ref="B31:I31"/>
    <mergeCell ref="J31:M31"/>
    <mergeCell ref="A32:C32"/>
    <mergeCell ref="H32:M32"/>
    <mergeCell ref="A33:D33"/>
    <mergeCell ref="E33:G33"/>
    <mergeCell ref="H33:I33"/>
    <mergeCell ref="B1:I1"/>
    <mergeCell ref="J1:M1"/>
    <mergeCell ref="A2:C2"/>
    <mergeCell ref="H2:M2"/>
    <mergeCell ref="A3:D3"/>
    <mergeCell ref="E3:G3"/>
    <mergeCell ref="H3:I3"/>
    <mergeCell ref="A4:E5"/>
    <mergeCell ref="F4:G6"/>
    <mergeCell ref="B6:E6"/>
    <mergeCell ref="B7:G7"/>
    <mergeCell ref="A8:F8"/>
    <mergeCell ref="A14:C14"/>
    <mergeCell ref="D14:F14"/>
    <mergeCell ref="H14:M14"/>
    <mergeCell ref="H9:M11"/>
    <mergeCell ref="A10:C10"/>
    <mergeCell ref="D43:F43"/>
    <mergeCell ref="A39:C39"/>
    <mergeCell ref="D39:F39"/>
    <mergeCell ref="H39:M41"/>
    <mergeCell ref="A40:C40"/>
    <mergeCell ref="D40:F40"/>
    <mergeCell ref="A41:C41"/>
    <mergeCell ref="D41:F41"/>
    <mergeCell ref="A34:E35"/>
    <mergeCell ref="F34:G36"/>
    <mergeCell ref="B36:E36"/>
    <mergeCell ref="B37:G37"/>
    <mergeCell ref="A38:F38"/>
    <mergeCell ref="H47:M47"/>
    <mergeCell ref="A48:D48"/>
    <mergeCell ref="E48:G48"/>
    <mergeCell ref="H48:I48"/>
    <mergeCell ref="A44:C44"/>
    <mergeCell ref="D44:F44"/>
    <mergeCell ref="H44:M44"/>
    <mergeCell ref="A15:XFD15"/>
    <mergeCell ref="B46:I46"/>
    <mergeCell ref="J46:M46"/>
    <mergeCell ref="B16:I16"/>
    <mergeCell ref="J16:M16"/>
    <mergeCell ref="A17:C17"/>
    <mergeCell ref="H17:M17"/>
    <mergeCell ref="A18:D18"/>
    <mergeCell ref="E18:G18"/>
    <mergeCell ref="H18:I18"/>
    <mergeCell ref="A19:E20"/>
    <mergeCell ref="F19:G21"/>
    <mergeCell ref="B21:E21"/>
    <mergeCell ref="A42:C42"/>
    <mergeCell ref="D42:F42"/>
    <mergeCell ref="H42:M43"/>
    <mergeCell ref="A43:C43"/>
    <mergeCell ref="A59:C59"/>
    <mergeCell ref="D59:F59"/>
    <mergeCell ref="H59:M59"/>
    <mergeCell ref="A45:XFD45"/>
    <mergeCell ref="B61:I61"/>
    <mergeCell ref="J61:M61"/>
    <mergeCell ref="A57:C57"/>
    <mergeCell ref="D57:F57"/>
    <mergeCell ref="H57:M58"/>
    <mergeCell ref="A58:C58"/>
    <mergeCell ref="D58:F58"/>
    <mergeCell ref="A54:C54"/>
    <mergeCell ref="D54:F54"/>
    <mergeCell ref="H54:M56"/>
    <mergeCell ref="A55:C55"/>
    <mergeCell ref="D55:F55"/>
    <mergeCell ref="A56:C56"/>
    <mergeCell ref="D56:F56"/>
    <mergeCell ref="A49:E50"/>
    <mergeCell ref="F49:G51"/>
    <mergeCell ref="B51:E51"/>
    <mergeCell ref="B52:G52"/>
    <mergeCell ref="A53:F53"/>
    <mergeCell ref="A47:C47"/>
    <mergeCell ref="F64:G66"/>
    <mergeCell ref="B66:E66"/>
    <mergeCell ref="B67:G67"/>
    <mergeCell ref="A68:F68"/>
    <mergeCell ref="A62:C62"/>
    <mergeCell ref="H62:M62"/>
    <mergeCell ref="A63:D63"/>
    <mergeCell ref="E63:G63"/>
    <mergeCell ref="H63:I63"/>
    <mergeCell ref="A77:C77"/>
    <mergeCell ref="H77:M77"/>
    <mergeCell ref="A78:D78"/>
    <mergeCell ref="E78:G78"/>
    <mergeCell ref="H78:I78"/>
    <mergeCell ref="A74:C74"/>
    <mergeCell ref="D74:F74"/>
    <mergeCell ref="H74:M74"/>
    <mergeCell ref="A60:XFD60"/>
    <mergeCell ref="B76:I76"/>
    <mergeCell ref="J76:M76"/>
    <mergeCell ref="A72:C72"/>
    <mergeCell ref="D72:F72"/>
    <mergeCell ref="H72:M73"/>
    <mergeCell ref="A73:C73"/>
    <mergeCell ref="D73:F73"/>
    <mergeCell ref="A69:C69"/>
    <mergeCell ref="D69:F69"/>
    <mergeCell ref="H69:M71"/>
    <mergeCell ref="A70:C70"/>
    <mergeCell ref="D70:F70"/>
    <mergeCell ref="A71:C71"/>
    <mergeCell ref="D71:F71"/>
    <mergeCell ref="A64:E65"/>
    <mergeCell ref="D88:F88"/>
    <mergeCell ref="A84:C84"/>
    <mergeCell ref="D84:F84"/>
    <mergeCell ref="H84:M86"/>
    <mergeCell ref="A85:C85"/>
    <mergeCell ref="D85:F85"/>
    <mergeCell ref="A86:C86"/>
    <mergeCell ref="D86:F86"/>
    <mergeCell ref="A79:E80"/>
    <mergeCell ref="F79:G81"/>
    <mergeCell ref="B81:E81"/>
    <mergeCell ref="B82:G82"/>
    <mergeCell ref="A83:F83"/>
    <mergeCell ref="A107:C107"/>
    <mergeCell ref="H107:M107"/>
    <mergeCell ref="A104:C104"/>
    <mergeCell ref="D104:F104"/>
    <mergeCell ref="H104:M104"/>
    <mergeCell ref="A90:XFD90"/>
    <mergeCell ref="A102:C102"/>
    <mergeCell ref="D102:F102"/>
    <mergeCell ref="H102:M103"/>
    <mergeCell ref="A103:C103"/>
    <mergeCell ref="D103:F103"/>
    <mergeCell ref="A99:C99"/>
    <mergeCell ref="D99:F99"/>
    <mergeCell ref="H99:M101"/>
    <mergeCell ref="A100:C100"/>
    <mergeCell ref="D100:F100"/>
    <mergeCell ref="A101:C101"/>
    <mergeCell ref="D101:F101"/>
    <mergeCell ref="A94:E95"/>
    <mergeCell ref="F94:G96"/>
    <mergeCell ref="B96:E96"/>
    <mergeCell ref="B97:G97"/>
    <mergeCell ref="A98:F98"/>
    <mergeCell ref="A92:C92"/>
    <mergeCell ref="A119:C119"/>
    <mergeCell ref="D119:F119"/>
    <mergeCell ref="H119:M119"/>
    <mergeCell ref="A105:XFD105"/>
    <mergeCell ref="A117:C117"/>
    <mergeCell ref="D117:F117"/>
    <mergeCell ref="H117:M118"/>
    <mergeCell ref="A118:C118"/>
    <mergeCell ref="D118:F118"/>
    <mergeCell ref="B112:G112"/>
    <mergeCell ref="A113:F113"/>
    <mergeCell ref="A114:C114"/>
    <mergeCell ref="D114:F114"/>
    <mergeCell ref="H114:M116"/>
    <mergeCell ref="A115:C115"/>
    <mergeCell ref="D115:F115"/>
    <mergeCell ref="A116:C116"/>
    <mergeCell ref="D116:F116"/>
    <mergeCell ref="A108:D108"/>
    <mergeCell ref="E108:G108"/>
    <mergeCell ref="H108:I108"/>
    <mergeCell ref="A109:E110"/>
    <mergeCell ref="F109:G111"/>
    <mergeCell ref="B111:E111"/>
    <mergeCell ref="B22:G22"/>
    <mergeCell ref="A23:F23"/>
    <mergeCell ref="A24:C24"/>
    <mergeCell ref="D24:F24"/>
    <mergeCell ref="H24:M26"/>
    <mergeCell ref="A25:C25"/>
    <mergeCell ref="D25:F25"/>
    <mergeCell ref="A26:C26"/>
    <mergeCell ref="D26:F26"/>
    <mergeCell ref="A29:C29"/>
    <mergeCell ref="D29:F29"/>
    <mergeCell ref="H29:M29"/>
    <mergeCell ref="A30:XFD30"/>
    <mergeCell ref="B106:I106"/>
    <mergeCell ref="J106:M106"/>
    <mergeCell ref="A27:C27"/>
    <mergeCell ref="D27:F27"/>
    <mergeCell ref="H27:M28"/>
    <mergeCell ref="A28:C28"/>
    <mergeCell ref="D28:F28"/>
    <mergeCell ref="H92:M92"/>
    <mergeCell ref="A93:D93"/>
    <mergeCell ref="E93:G93"/>
    <mergeCell ref="H93:I93"/>
    <mergeCell ref="A89:C89"/>
    <mergeCell ref="D89:F89"/>
    <mergeCell ref="H89:M89"/>
    <mergeCell ref="B91:I91"/>
    <mergeCell ref="J91:M91"/>
    <mergeCell ref="A87:C87"/>
    <mergeCell ref="D87:F87"/>
    <mergeCell ref="H87:M88"/>
    <mergeCell ref="A88:C88"/>
  </mergeCells>
  <pageMargins left="0.7" right="0.7" top="0.75" bottom="0.75" header="0.3" footer="0.3"/>
  <pageSetup scale="1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61"/>
  <sheetViews>
    <sheetView topLeftCell="A40" workbookViewId="0">
      <selection activeCell="G63" sqref="G63"/>
    </sheetView>
  </sheetViews>
  <sheetFormatPr defaultRowHeight="45.75" customHeight="1"/>
  <cols>
    <col min="5" max="5" width="15.5703125" customWidth="1"/>
    <col min="6" max="6" width="14" customWidth="1"/>
    <col min="7" max="7" width="41.42578125" customWidth="1"/>
    <col min="9" max="9" width="24.42578125" bestFit="1" customWidth="1"/>
    <col min="10" max="10" width="3" bestFit="1" customWidth="1"/>
    <col min="11" max="11" width="3.85546875" bestFit="1" customWidth="1"/>
    <col min="12" max="12" width="7.5703125" bestFit="1" customWidth="1"/>
    <col min="13" max="13" width="5.42578125" bestFit="1" customWidth="1"/>
  </cols>
  <sheetData>
    <row r="1" spans="1:13" ht="45.75" customHeight="1">
      <c r="A1" s="107"/>
      <c r="B1" s="250" t="s">
        <v>462</v>
      </c>
      <c r="C1" s="250"/>
      <c r="D1" s="250"/>
      <c r="E1" s="250"/>
      <c r="F1" s="250"/>
      <c r="G1" s="250"/>
      <c r="H1" s="250"/>
      <c r="I1" s="251"/>
      <c r="J1" s="252" t="s">
        <v>463</v>
      </c>
      <c r="K1" s="253"/>
      <c r="L1" s="253"/>
      <c r="M1" s="254"/>
    </row>
    <row r="2" spans="1:13" ht="45.75" customHeight="1">
      <c r="A2" s="235" t="s">
        <v>555</v>
      </c>
      <c r="B2" s="235"/>
      <c r="C2" s="235"/>
      <c r="D2" s="95" t="s">
        <v>425</v>
      </c>
      <c r="E2" s="74" t="s">
        <v>556</v>
      </c>
      <c r="F2" s="74" t="s">
        <v>557</v>
      </c>
      <c r="G2" s="96" t="s">
        <v>467</v>
      </c>
      <c r="H2" s="235" t="s">
        <v>468</v>
      </c>
      <c r="I2" s="235"/>
      <c r="J2" s="235"/>
      <c r="K2" s="235"/>
      <c r="L2" s="235"/>
      <c r="M2" s="235"/>
    </row>
    <row r="3" spans="1:13" ht="45.75" customHeight="1">
      <c r="A3" s="235" t="s">
        <v>470</v>
      </c>
      <c r="B3" s="235"/>
      <c r="C3" s="235"/>
      <c r="D3" s="235"/>
      <c r="E3" s="235" t="s">
        <v>586</v>
      </c>
      <c r="F3" s="235"/>
      <c r="G3" s="235"/>
      <c r="H3" s="237" t="s">
        <v>432</v>
      </c>
      <c r="I3" s="237"/>
      <c r="J3" s="74" t="s">
        <v>433</v>
      </c>
      <c r="K3" s="74" t="s">
        <v>434</v>
      </c>
      <c r="L3" s="74" t="s">
        <v>435</v>
      </c>
      <c r="M3" s="74" t="s">
        <v>436</v>
      </c>
    </row>
    <row r="4" spans="1:13" ht="26.25" customHeight="1">
      <c r="A4" s="234" t="s">
        <v>558</v>
      </c>
      <c r="B4" s="234"/>
      <c r="C4" s="234"/>
      <c r="D4" s="234"/>
      <c r="E4" s="234"/>
      <c r="F4" s="234" t="s">
        <v>559</v>
      </c>
      <c r="G4" s="226"/>
      <c r="H4" s="102">
        <v>1</v>
      </c>
      <c r="I4" s="97" t="s">
        <v>439</v>
      </c>
      <c r="J4" s="98"/>
      <c r="K4" s="99"/>
      <c r="L4" s="100"/>
      <c r="M4" s="100"/>
    </row>
    <row r="5" spans="1:13" ht="25.5" customHeight="1">
      <c r="A5" s="234"/>
      <c r="B5" s="234"/>
      <c r="C5" s="234"/>
      <c r="D5" s="234"/>
      <c r="E5" s="234"/>
      <c r="F5" s="226"/>
      <c r="G5" s="226"/>
      <c r="H5" s="102">
        <v>2</v>
      </c>
      <c r="I5" s="97" t="s">
        <v>440</v>
      </c>
      <c r="J5" s="3"/>
      <c r="K5" s="3"/>
      <c r="M5" s="100"/>
    </row>
    <row r="6" spans="1:13" ht="27" customHeight="1">
      <c r="A6" s="98"/>
      <c r="B6" s="235" t="s">
        <v>442</v>
      </c>
      <c r="C6" s="235"/>
      <c r="D6" s="235"/>
      <c r="E6" s="235"/>
      <c r="F6" s="226"/>
      <c r="G6" s="226"/>
      <c r="H6" s="102">
        <v>3</v>
      </c>
      <c r="I6" s="97" t="s">
        <v>443</v>
      </c>
      <c r="J6" s="98"/>
      <c r="K6" s="3"/>
      <c r="L6" s="3"/>
      <c r="M6" s="106"/>
    </row>
    <row r="7" spans="1:13" ht="27.75" customHeight="1">
      <c r="A7" s="98" t="s">
        <v>441</v>
      </c>
      <c r="B7" s="235" t="s">
        <v>469</v>
      </c>
      <c r="C7" s="235"/>
      <c r="D7" s="235"/>
      <c r="E7" s="235"/>
      <c r="F7" s="235"/>
      <c r="G7" s="235"/>
      <c r="H7" s="102">
        <v>4</v>
      </c>
      <c r="I7" s="97" t="s">
        <v>445</v>
      </c>
      <c r="J7" s="98"/>
      <c r="K7" s="98"/>
      <c r="L7" s="98" t="s">
        <v>441</v>
      </c>
      <c r="M7" s="106"/>
    </row>
    <row r="8" spans="1:13" ht="30" customHeight="1">
      <c r="A8" s="227" t="s">
        <v>471</v>
      </c>
      <c r="B8" s="227"/>
      <c r="C8" s="227"/>
      <c r="D8" s="227"/>
      <c r="E8" s="227"/>
      <c r="F8" s="227"/>
      <c r="G8" s="102" t="s">
        <v>446</v>
      </c>
      <c r="H8" s="102">
        <v>5</v>
      </c>
      <c r="I8" s="97" t="s">
        <v>447</v>
      </c>
      <c r="J8" s="103"/>
      <c r="K8" s="3"/>
      <c r="L8" s="103"/>
      <c r="M8" s="98"/>
    </row>
    <row r="9" spans="1:13" ht="27.75" customHeight="1">
      <c r="A9" s="227" t="s">
        <v>448</v>
      </c>
      <c r="B9" s="227"/>
      <c r="C9" s="227"/>
      <c r="D9" s="231" t="s">
        <v>560</v>
      </c>
      <c r="E9" s="232"/>
      <c r="F9" s="233"/>
      <c r="G9" s="105" t="s">
        <v>561</v>
      </c>
      <c r="H9" s="226" t="s">
        <v>564</v>
      </c>
      <c r="I9" s="226"/>
      <c r="J9" s="226"/>
      <c r="K9" s="226"/>
      <c r="L9" s="226"/>
      <c r="M9" s="226"/>
    </row>
    <row r="10" spans="1:13" ht="27.75" customHeight="1">
      <c r="A10" s="227" t="s">
        <v>451</v>
      </c>
      <c r="B10" s="227"/>
      <c r="C10" s="227"/>
      <c r="D10" s="228" t="str">
        <f>G9</f>
        <v>Alarm of BT scan not done</v>
      </c>
      <c r="E10" s="228"/>
      <c r="F10" s="228"/>
      <c r="G10" s="105" t="s">
        <v>562</v>
      </c>
      <c r="H10" s="226"/>
      <c r="I10" s="226"/>
      <c r="J10" s="226"/>
      <c r="K10" s="226"/>
      <c r="L10" s="226"/>
      <c r="M10" s="226"/>
    </row>
    <row r="11" spans="1:13" ht="27.75" customHeight="1">
      <c r="A11" s="227" t="s">
        <v>453</v>
      </c>
      <c r="B11" s="227"/>
      <c r="C11" s="227"/>
      <c r="D11" s="228" t="str">
        <f>G10</f>
        <v>Bugs in software</v>
      </c>
      <c r="E11" s="228"/>
      <c r="F11" s="228"/>
      <c r="G11" s="105" t="s">
        <v>563</v>
      </c>
      <c r="H11" s="226"/>
      <c r="I11" s="226"/>
      <c r="J11" s="226"/>
      <c r="K11" s="226"/>
      <c r="L11" s="226"/>
      <c r="M11" s="226"/>
    </row>
    <row r="12" spans="1:13" ht="27.75" customHeight="1">
      <c r="A12" s="227" t="s">
        <v>455</v>
      </c>
      <c r="B12" s="227"/>
      <c r="C12" s="227"/>
      <c r="D12" s="228" t="str">
        <f>G11</f>
        <v>Intermittent issue observed.</v>
      </c>
      <c r="E12" s="228"/>
      <c r="F12" s="228"/>
      <c r="G12" s="105"/>
      <c r="H12" s="234" t="s">
        <v>565</v>
      </c>
      <c r="I12" s="226"/>
      <c r="J12" s="226"/>
      <c r="K12" s="226"/>
      <c r="L12" s="226"/>
      <c r="M12" s="226"/>
    </row>
    <row r="13" spans="1:13" ht="27.75" customHeight="1">
      <c r="A13" s="227" t="s">
        <v>457</v>
      </c>
      <c r="B13" s="227"/>
      <c r="C13" s="227"/>
      <c r="D13" s="228"/>
      <c r="E13" s="228"/>
      <c r="F13" s="228"/>
      <c r="G13" s="105"/>
      <c r="H13" s="226"/>
      <c r="I13" s="226"/>
      <c r="J13" s="226"/>
      <c r="K13" s="226"/>
      <c r="L13" s="226"/>
      <c r="M13" s="226"/>
    </row>
    <row r="14" spans="1:13" ht="31.5" customHeight="1">
      <c r="A14" s="229" t="s">
        <v>458</v>
      </c>
      <c r="B14" s="229"/>
      <c r="C14" s="229"/>
      <c r="D14" s="230" t="s">
        <v>459</v>
      </c>
      <c r="E14" s="230"/>
      <c r="F14" s="230"/>
      <c r="G14" s="106" t="s">
        <v>460</v>
      </c>
      <c r="H14" s="225" t="s">
        <v>461</v>
      </c>
      <c r="I14" s="225"/>
      <c r="J14" s="225"/>
      <c r="K14" s="225"/>
      <c r="L14" s="225"/>
      <c r="M14" s="225"/>
    </row>
    <row r="15" spans="1:13" s="273" customFormat="1" ht="32.25" customHeight="1"/>
    <row r="16" spans="1:13" ht="45.75" customHeight="1">
      <c r="A16" s="107"/>
      <c r="B16" s="250" t="s">
        <v>462</v>
      </c>
      <c r="C16" s="250"/>
      <c r="D16" s="250"/>
      <c r="E16" s="250"/>
      <c r="F16" s="250"/>
      <c r="G16" s="250"/>
      <c r="H16" s="250"/>
      <c r="I16" s="251"/>
      <c r="J16" s="252" t="s">
        <v>463</v>
      </c>
      <c r="K16" s="253"/>
      <c r="L16" s="253"/>
      <c r="M16" s="254"/>
    </row>
    <row r="17" spans="1:13" ht="45.75" customHeight="1">
      <c r="A17" s="235" t="s">
        <v>567</v>
      </c>
      <c r="B17" s="235"/>
      <c r="C17" s="235"/>
      <c r="D17" s="95" t="s">
        <v>425</v>
      </c>
      <c r="E17" s="74" t="s">
        <v>570</v>
      </c>
      <c r="F17" s="74" t="s">
        <v>571</v>
      </c>
      <c r="G17" s="96" t="s">
        <v>477</v>
      </c>
      <c r="H17" s="235" t="s">
        <v>468</v>
      </c>
      <c r="I17" s="235"/>
      <c r="J17" s="235"/>
      <c r="K17" s="235"/>
      <c r="L17" s="235"/>
      <c r="M17" s="235"/>
    </row>
    <row r="18" spans="1:13" ht="45.75" customHeight="1">
      <c r="A18" s="235" t="s">
        <v>568</v>
      </c>
      <c r="B18" s="235"/>
      <c r="C18" s="235"/>
      <c r="D18" s="235"/>
      <c r="E18" s="235" t="s">
        <v>569</v>
      </c>
      <c r="F18" s="235"/>
      <c r="G18" s="235"/>
      <c r="H18" s="237" t="s">
        <v>432</v>
      </c>
      <c r="I18" s="237"/>
      <c r="J18" s="74" t="s">
        <v>433</v>
      </c>
      <c r="K18" s="74" t="s">
        <v>434</v>
      </c>
      <c r="L18" s="74" t="s">
        <v>435</v>
      </c>
      <c r="M18" s="74" t="s">
        <v>436</v>
      </c>
    </row>
    <row r="19" spans="1:13" ht="26.25" customHeight="1">
      <c r="A19" s="234" t="s">
        <v>572</v>
      </c>
      <c r="B19" s="234"/>
      <c r="C19" s="234"/>
      <c r="D19" s="234"/>
      <c r="E19" s="234"/>
      <c r="F19" s="234" t="s">
        <v>573</v>
      </c>
      <c r="G19" s="226"/>
      <c r="H19" s="102">
        <v>1</v>
      </c>
      <c r="I19" s="97" t="s">
        <v>439</v>
      </c>
      <c r="J19" s="98"/>
      <c r="K19" s="99"/>
      <c r="L19" s="100"/>
      <c r="M19" s="100"/>
    </row>
    <row r="20" spans="1:13" ht="25.5" customHeight="1">
      <c r="A20" s="234"/>
      <c r="B20" s="234"/>
      <c r="C20" s="234"/>
      <c r="D20" s="234"/>
      <c r="E20" s="234"/>
      <c r="F20" s="226"/>
      <c r="G20" s="226"/>
      <c r="H20" s="102">
        <v>2</v>
      </c>
      <c r="I20" s="97" t="s">
        <v>440</v>
      </c>
      <c r="J20" s="98" t="s">
        <v>441</v>
      </c>
      <c r="K20" s="98"/>
      <c r="L20" s="98"/>
      <c r="M20" s="100"/>
    </row>
    <row r="21" spans="1:13" ht="27" customHeight="1">
      <c r="A21" s="98"/>
      <c r="B21" s="235" t="s">
        <v>442</v>
      </c>
      <c r="C21" s="235"/>
      <c r="D21" s="235"/>
      <c r="E21" s="235"/>
      <c r="F21" s="226"/>
      <c r="G21" s="226"/>
      <c r="H21" s="102">
        <v>3</v>
      </c>
      <c r="I21" s="97" t="s">
        <v>443</v>
      </c>
      <c r="J21" s="98"/>
      <c r="K21" s="3"/>
      <c r="L21" s="98"/>
      <c r="M21" s="106"/>
    </row>
    <row r="22" spans="1:13" ht="27.75" customHeight="1">
      <c r="A22" s="98" t="s">
        <v>441</v>
      </c>
      <c r="B22" s="235" t="s">
        <v>574</v>
      </c>
      <c r="C22" s="235"/>
      <c r="D22" s="235"/>
      <c r="E22" s="235"/>
      <c r="F22" s="235"/>
      <c r="G22" s="235"/>
      <c r="H22" s="102">
        <v>4</v>
      </c>
      <c r="I22" s="97" t="s">
        <v>445</v>
      </c>
      <c r="J22" s="98"/>
      <c r="K22" s="3"/>
      <c r="L22" s="98"/>
      <c r="M22" s="106"/>
    </row>
    <row r="23" spans="1:13" ht="30" customHeight="1">
      <c r="A23" s="227" t="s">
        <v>471</v>
      </c>
      <c r="B23" s="227"/>
      <c r="C23" s="227"/>
      <c r="D23" s="227"/>
      <c r="E23" s="227"/>
      <c r="F23" s="227"/>
      <c r="G23" s="102" t="s">
        <v>446</v>
      </c>
      <c r="H23" s="102">
        <v>5</v>
      </c>
      <c r="I23" s="97" t="s">
        <v>447</v>
      </c>
      <c r="J23" s="103"/>
      <c r="K23" s="3"/>
      <c r="L23" s="103"/>
      <c r="M23" s="98"/>
    </row>
    <row r="24" spans="1:13" ht="27.75" customHeight="1">
      <c r="A24" s="227" t="s">
        <v>448</v>
      </c>
      <c r="B24" s="227"/>
      <c r="C24" s="227"/>
      <c r="D24" s="231" t="s">
        <v>482</v>
      </c>
      <c r="E24" s="232"/>
      <c r="F24" s="233"/>
      <c r="G24" s="105" t="s">
        <v>483</v>
      </c>
      <c r="H24" s="226" t="s">
        <v>487</v>
      </c>
      <c r="I24" s="226"/>
      <c r="J24" s="226"/>
      <c r="K24" s="226"/>
      <c r="L24" s="226"/>
      <c r="M24" s="226"/>
    </row>
    <row r="25" spans="1:13" ht="27.75" customHeight="1">
      <c r="A25" s="227" t="s">
        <v>451</v>
      </c>
      <c r="B25" s="227"/>
      <c r="C25" s="227"/>
      <c r="D25" s="228" t="str">
        <f>G24</f>
        <v>Cylinder 3 home position not confirmed into PLC.</v>
      </c>
      <c r="E25" s="228"/>
      <c r="F25" s="228"/>
      <c r="G25" s="105" t="s">
        <v>484</v>
      </c>
      <c r="H25" s="226"/>
      <c r="I25" s="226"/>
      <c r="J25" s="226"/>
      <c r="K25" s="226"/>
      <c r="L25" s="226"/>
      <c r="M25" s="226"/>
    </row>
    <row r="26" spans="1:13" ht="27.75" customHeight="1">
      <c r="A26" s="227" t="s">
        <v>453</v>
      </c>
      <c r="B26" s="227"/>
      <c r="C26" s="227"/>
      <c r="D26" s="228" t="str">
        <f>G25</f>
        <v>cylinder 3 reed switch wire broken</v>
      </c>
      <c r="E26" s="228"/>
      <c r="F26" s="228"/>
      <c r="G26" s="105" t="s">
        <v>485</v>
      </c>
      <c r="H26" s="226"/>
      <c r="I26" s="226"/>
      <c r="J26" s="226"/>
      <c r="K26" s="226"/>
      <c r="L26" s="226"/>
      <c r="M26" s="226"/>
    </row>
    <row r="27" spans="1:13" ht="27.75" customHeight="1">
      <c r="A27" s="227" t="s">
        <v>455</v>
      </c>
      <c r="B27" s="227"/>
      <c r="C27" s="227"/>
      <c r="D27" s="228" t="str">
        <f>G26</f>
        <v>over stressed while movement</v>
      </c>
      <c r="E27" s="228"/>
      <c r="F27" s="228"/>
      <c r="G27" s="105" t="s">
        <v>486</v>
      </c>
      <c r="H27" s="226" t="s">
        <v>488</v>
      </c>
      <c r="I27" s="226"/>
      <c r="J27" s="226"/>
      <c r="K27" s="226"/>
      <c r="L27" s="226"/>
      <c r="M27" s="226"/>
    </row>
    <row r="28" spans="1:13" ht="27.75" customHeight="1">
      <c r="A28" s="227" t="s">
        <v>457</v>
      </c>
      <c r="B28" s="227"/>
      <c r="C28" s="227"/>
      <c r="D28" s="228"/>
      <c r="E28" s="228"/>
      <c r="F28" s="228"/>
      <c r="G28" s="105"/>
      <c r="H28" s="226"/>
      <c r="I28" s="226"/>
      <c r="J28" s="226"/>
      <c r="K28" s="226"/>
      <c r="L28" s="226"/>
      <c r="M28" s="226"/>
    </row>
    <row r="29" spans="1:13" ht="31.5" customHeight="1">
      <c r="A29" s="229" t="s">
        <v>458</v>
      </c>
      <c r="B29" s="229"/>
      <c r="C29" s="229"/>
      <c r="D29" s="230" t="s">
        <v>585</v>
      </c>
      <c r="E29" s="230"/>
      <c r="F29" s="230"/>
      <c r="G29" s="106" t="s">
        <v>460</v>
      </c>
      <c r="H29" s="225" t="s">
        <v>461</v>
      </c>
      <c r="I29" s="225"/>
      <c r="J29" s="225"/>
      <c r="K29" s="225"/>
      <c r="L29" s="225"/>
      <c r="M29" s="225"/>
    </row>
    <row r="30" spans="1:13" s="273" customFormat="1" ht="37.5" customHeight="1"/>
    <row r="31" spans="1:13" ht="45.75" customHeight="1">
      <c r="A31" s="107"/>
      <c r="B31" s="250" t="s">
        <v>462</v>
      </c>
      <c r="C31" s="250"/>
      <c r="D31" s="250"/>
      <c r="E31" s="250"/>
      <c r="F31" s="250"/>
      <c r="G31" s="250"/>
      <c r="H31" s="250"/>
      <c r="I31" s="251"/>
      <c r="J31" s="252" t="s">
        <v>463</v>
      </c>
      <c r="K31" s="253"/>
      <c r="L31" s="253"/>
      <c r="M31" s="254"/>
    </row>
    <row r="32" spans="1:13" ht="45.75" customHeight="1">
      <c r="A32" s="235" t="s">
        <v>566</v>
      </c>
      <c r="B32" s="235"/>
      <c r="C32" s="235"/>
      <c r="D32" s="95" t="s">
        <v>425</v>
      </c>
      <c r="E32" s="74" t="s">
        <v>556</v>
      </c>
      <c r="F32" s="74" t="s">
        <v>557</v>
      </c>
      <c r="G32" s="96" t="s">
        <v>600</v>
      </c>
      <c r="H32" s="235" t="s">
        <v>468</v>
      </c>
      <c r="I32" s="235"/>
      <c r="J32" s="235"/>
      <c r="K32" s="235"/>
      <c r="L32" s="235"/>
      <c r="M32" s="235"/>
    </row>
    <row r="33" spans="1:13" ht="45.75" customHeight="1">
      <c r="A33" s="235" t="s">
        <v>470</v>
      </c>
      <c r="B33" s="235"/>
      <c r="C33" s="235"/>
      <c r="D33" s="235"/>
      <c r="E33" s="235" t="s">
        <v>602</v>
      </c>
      <c r="F33" s="235"/>
      <c r="G33" s="235"/>
      <c r="H33" s="237" t="s">
        <v>432</v>
      </c>
      <c r="I33" s="237"/>
      <c r="J33" s="74" t="s">
        <v>433</v>
      </c>
      <c r="K33" s="74" t="s">
        <v>434</v>
      </c>
      <c r="L33" s="74" t="s">
        <v>435</v>
      </c>
      <c r="M33" s="74" t="s">
        <v>436</v>
      </c>
    </row>
    <row r="34" spans="1:13" ht="26.25" customHeight="1">
      <c r="A34" s="234" t="s">
        <v>601</v>
      </c>
      <c r="B34" s="234"/>
      <c r="C34" s="234"/>
      <c r="D34" s="234"/>
      <c r="E34" s="234"/>
      <c r="F34" s="234" t="s">
        <v>603</v>
      </c>
      <c r="G34" s="226"/>
      <c r="H34" s="102">
        <v>1</v>
      </c>
      <c r="I34" s="97" t="s">
        <v>439</v>
      </c>
      <c r="J34" s="98"/>
      <c r="K34" s="99"/>
      <c r="L34" s="100"/>
      <c r="M34" s="100"/>
    </row>
    <row r="35" spans="1:13" ht="25.5" customHeight="1">
      <c r="A35" s="234"/>
      <c r="B35" s="234"/>
      <c r="C35" s="234"/>
      <c r="D35" s="234"/>
      <c r="E35" s="234"/>
      <c r="F35" s="226"/>
      <c r="G35" s="226"/>
      <c r="H35" s="102">
        <v>2</v>
      </c>
      <c r="I35" s="97" t="s">
        <v>440</v>
      </c>
      <c r="J35" s="98"/>
      <c r="K35" s="98"/>
      <c r="L35" s="98"/>
      <c r="M35" s="98" t="s">
        <v>441</v>
      </c>
    </row>
    <row r="36" spans="1:13" ht="27" customHeight="1">
      <c r="A36" s="98" t="s">
        <v>441</v>
      </c>
      <c r="B36" s="235" t="s">
        <v>442</v>
      </c>
      <c r="C36" s="235"/>
      <c r="D36" s="235"/>
      <c r="E36" s="235"/>
      <c r="F36" s="226"/>
      <c r="G36" s="226"/>
      <c r="H36" s="102">
        <v>3</v>
      </c>
      <c r="I36" s="97" t="s">
        <v>443</v>
      </c>
      <c r="J36" s="98"/>
      <c r="K36" s="3"/>
      <c r="L36" s="98"/>
      <c r="M36" s="106"/>
    </row>
    <row r="37" spans="1:13" ht="27.75" customHeight="1">
      <c r="A37" s="98"/>
      <c r="B37" s="235" t="s">
        <v>444</v>
      </c>
      <c r="C37" s="235"/>
      <c r="D37" s="235"/>
      <c r="E37" s="235"/>
      <c r="F37" s="235"/>
      <c r="G37" s="235"/>
      <c r="H37" s="102">
        <v>4</v>
      </c>
      <c r="I37" s="97" t="s">
        <v>445</v>
      </c>
      <c r="J37" s="98"/>
      <c r="K37" s="3"/>
      <c r="L37" s="98"/>
      <c r="M37" s="106"/>
    </row>
    <row r="38" spans="1:13" ht="30" customHeight="1">
      <c r="A38" s="227" t="s">
        <v>471</v>
      </c>
      <c r="B38" s="227"/>
      <c r="C38" s="227"/>
      <c r="D38" s="227"/>
      <c r="E38" s="227"/>
      <c r="F38" s="227"/>
      <c r="G38" s="102" t="s">
        <v>446</v>
      </c>
      <c r="H38" s="102">
        <v>5</v>
      </c>
      <c r="I38" s="97" t="s">
        <v>447</v>
      </c>
      <c r="J38" s="103"/>
      <c r="K38" s="3"/>
      <c r="L38" s="103"/>
      <c r="M38" s="98"/>
    </row>
    <row r="39" spans="1:13" ht="27.75" customHeight="1">
      <c r="A39" s="227" t="s">
        <v>448</v>
      </c>
      <c r="B39" s="227"/>
      <c r="C39" s="227"/>
      <c r="D39" s="231" t="s">
        <v>605</v>
      </c>
      <c r="E39" s="232"/>
      <c r="F39" s="233"/>
      <c r="G39" s="105" t="s">
        <v>604</v>
      </c>
      <c r="H39" s="226" t="s">
        <v>609</v>
      </c>
      <c r="I39" s="226"/>
      <c r="J39" s="226"/>
      <c r="K39" s="226"/>
      <c r="L39" s="226"/>
      <c r="M39" s="226"/>
    </row>
    <row r="40" spans="1:13" ht="27.75" customHeight="1">
      <c r="A40" s="227" t="s">
        <v>451</v>
      </c>
      <c r="B40" s="227"/>
      <c r="C40" s="227"/>
      <c r="D40" s="228" t="str">
        <f>G39</f>
        <v>B0.03 input constantly high in PLC</v>
      </c>
      <c r="E40" s="228"/>
      <c r="F40" s="228"/>
      <c r="G40" s="105" t="s">
        <v>606</v>
      </c>
      <c r="H40" s="226"/>
      <c r="I40" s="226"/>
      <c r="J40" s="226"/>
      <c r="K40" s="226"/>
      <c r="L40" s="226"/>
      <c r="M40" s="226"/>
    </row>
    <row r="41" spans="1:13" ht="27.75" customHeight="1">
      <c r="A41" s="227" t="s">
        <v>453</v>
      </c>
      <c r="B41" s="227"/>
      <c r="C41" s="227"/>
      <c r="D41" s="228" t="str">
        <f>G40</f>
        <v>Input module shortings</v>
      </c>
      <c r="E41" s="228"/>
      <c r="F41" s="228"/>
      <c r="G41" s="105" t="s">
        <v>607</v>
      </c>
      <c r="H41" s="226"/>
      <c r="I41" s="226"/>
      <c r="J41" s="226"/>
      <c r="K41" s="226"/>
      <c r="L41" s="226"/>
      <c r="M41" s="226"/>
    </row>
    <row r="42" spans="1:13" ht="27.75" customHeight="1">
      <c r="A42" s="227" t="s">
        <v>455</v>
      </c>
      <c r="B42" s="227"/>
      <c r="C42" s="227"/>
      <c r="D42" s="228" t="str">
        <f>G41</f>
        <v>Tab cutting chips/foreign particle inserted</v>
      </c>
      <c r="E42" s="228"/>
      <c r="F42" s="228"/>
      <c r="G42" s="105" t="s">
        <v>608</v>
      </c>
      <c r="H42" s="226" t="s">
        <v>610</v>
      </c>
      <c r="I42" s="226"/>
      <c r="J42" s="226"/>
      <c r="K42" s="226"/>
      <c r="L42" s="226"/>
      <c r="M42" s="226"/>
    </row>
    <row r="43" spans="1:13" ht="27.75" customHeight="1">
      <c r="A43" s="227" t="s">
        <v>457</v>
      </c>
      <c r="B43" s="227"/>
      <c r="C43" s="227"/>
      <c r="D43" s="228" t="str">
        <f>G42</f>
        <v>Machine PLC not covered from foreign particls.</v>
      </c>
      <c r="E43" s="228"/>
      <c r="F43" s="228"/>
      <c r="G43" s="105"/>
      <c r="H43" s="226"/>
      <c r="I43" s="226"/>
      <c r="J43" s="226"/>
      <c r="K43" s="226"/>
      <c r="L43" s="226"/>
      <c r="M43" s="226"/>
    </row>
    <row r="44" spans="1:13" ht="31.5" customHeight="1">
      <c r="A44" s="229" t="s">
        <v>458</v>
      </c>
      <c r="B44" s="229"/>
      <c r="C44" s="229"/>
      <c r="D44" s="230" t="s">
        <v>585</v>
      </c>
      <c r="E44" s="230"/>
      <c r="F44" s="230"/>
      <c r="G44" s="106" t="s">
        <v>460</v>
      </c>
      <c r="H44" s="225" t="s">
        <v>461</v>
      </c>
      <c r="I44" s="225"/>
      <c r="J44" s="225"/>
      <c r="K44" s="225"/>
      <c r="L44" s="225"/>
      <c r="M44" s="225"/>
    </row>
    <row r="45" spans="1:13" s="273" customFormat="1" ht="45.75" customHeight="1"/>
    <row r="46" spans="1:13" ht="45.75" customHeight="1">
      <c r="A46" s="107"/>
      <c r="B46" s="250" t="s">
        <v>462</v>
      </c>
      <c r="C46" s="250"/>
      <c r="D46" s="250"/>
      <c r="E46" s="250"/>
      <c r="F46" s="250"/>
      <c r="G46" s="250"/>
      <c r="H46" s="250"/>
      <c r="I46" s="251"/>
      <c r="J46" s="252" t="s">
        <v>463</v>
      </c>
      <c r="K46" s="253"/>
      <c r="L46" s="253"/>
      <c r="M46" s="254"/>
    </row>
    <row r="47" spans="1:13" ht="45.75" customHeight="1">
      <c r="A47" s="235" t="s">
        <v>566</v>
      </c>
      <c r="B47" s="235"/>
      <c r="C47" s="235"/>
      <c r="D47" s="95" t="s">
        <v>425</v>
      </c>
      <c r="E47" s="74" t="s">
        <v>611</v>
      </c>
      <c r="F47" s="74" t="s">
        <v>612</v>
      </c>
      <c r="G47" s="96" t="s">
        <v>493</v>
      </c>
      <c r="H47" s="235" t="s">
        <v>468</v>
      </c>
      <c r="I47" s="235"/>
      <c r="J47" s="235"/>
      <c r="K47" s="235"/>
      <c r="L47" s="235"/>
      <c r="M47" s="235"/>
    </row>
    <row r="48" spans="1:13" ht="36" customHeight="1">
      <c r="A48" s="235" t="s">
        <v>620</v>
      </c>
      <c r="B48" s="235"/>
      <c r="C48" s="235"/>
      <c r="D48" s="235"/>
      <c r="E48" s="235" t="s">
        <v>613</v>
      </c>
      <c r="F48" s="235"/>
      <c r="G48" s="235"/>
      <c r="H48" s="237" t="s">
        <v>432</v>
      </c>
      <c r="I48" s="237"/>
      <c r="J48" s="74" t="s">
        <v>433</v>
      </c>
      <c r="K48" s="74" t="s">
        <v>434</v>
      </c>
      <c r="L48" s="74" t="s">
        <v>435</v>
      </c>
      <c r="M48" s="74" t="s">
        <v>436</v>
      </c>
    </row>
    <row r="49" spans="1:13" ht="26.25" customHeight="1">
      <c r="A49" s="234" t="s">
        <v>615</v>
      </c>
      <c r="B49" s="234"/>
      <c r="C49" s="234"/>
      <c r="D49" s="234"/>
      <c r="E49" s="234"/>
      <c r="F49" s="234" t="s">
        <v>614</v>
      </c>
      <c r="G49" s="226"/>
      <c r="H49" s="102">
        <v>1</v>
      </c>
      <c r="I49" s="97" t="s">
        <v>439</v>
      </c>
      <c r="J49" s="98"/>
      <c r="K49" s="99"/>
      <c r="L49" s="100"/>
      <c r="M49" s="100"/>
    </row>
    <row r="50" spans="1:13" ht="23.25" customHeight="1">
      <c r="A50" s="234"/>
      <c r="B50" s="234"/>
      <c r="C50" s="234"/>
      <c r="D50" s="234"/>
      <c r="E50" s="234"/>
      <c r="F50" s="226"/>
      <c r="G50" s="226"/>
      <c r="H50" s="102">
        <v>2</v>
      </c>
      <c r="I50" s="97" t="s">
        <v>440</v>
      </c>
      <c r="J50" s="98"/>
      <c r="K50" s="98" t="s">
        <v>441</v>
      </c>
      <c r="L50" s="98"/>
      <c r="M50" s="98"/>
    </row>
    <row r="51" spans="1:13" ht="27" customHeight="1">
      <c r="A51" s="98"/>
      <c r="B51" s="235" t="s">
        <v>442</v>
      </c>
      <c r="C51" s="235"/>
      <c r="D51" s="235"/>
      <c r="E51" s="235"/>
      <c r="F51" s="226"/>
      <c r="G51" s="226"/>
      <c r="H51" s="102">
        <v>3</v>
      </c>
      <c r="I51" s="97" t="s">
        <v>443</v>
      </c>
      <c r="J51" s="98"/>
      <c r="K51" s="3"/>
      <c r="L51" s="98"/>
      <c r="M51" s="106"/>
    </row>
    <row r="52" spans="1:13" ht="26.25">
      <c r="A52" s="98" t="s">
        <v>441</v>
      </c>
      <c r="B52" s="235" t="s">
        <v>616</v>
      </c>
      <c r="C52" s="235"/>
      <c r="D52" s="235"/>
      <c r="E52" s="235"/>
      <c r="F52" s="235"/>
      <c r="G52" s="235"/>
      <c r="H52" s="102">
        <v>4</v>
      </c>
      <c r="I52" s="97" t="s">
        <v>445</v>
      </c>
      <c r="J52" s="98"/>
      <c r="K52" s="3"/>
      <c r="L52" s="98"/>
      <c r="M52" s="106"/>
    </row>
    <row r="53" spans="1:13" ht="30" customHeight="1">
      <c r="A53" s="227" t="s">
        <v>471</v>
      </c>
      <c r="B53" s="227"/>
      <c r="C53" s="227"/>
      <c r="D53" s="227"/>
      <c r="E53" s="227"/>
      <c r="F53" s="227"/>
      <c r="G53" s="102" t="s">
        <v>446</v>
      </c>
      <c r="H53" s="102">
        <v>5</v>
      </c>
      <c r="I53" s="97" t="s">
        <v>447</v>
      </c>
      <c r="J53" s="103"/>
      <c r="K53" s="3"/>
      <c r="L53" s="103"/>
      <c r="M53" s="98"/>
    </row>
    <row r="54" spans="1:13" ht="27.75" customHeight="1">
      <c r="A54" s="227" t="s">
        <v>448</v>
      </c>
      <c r="B54" s="227"/>
      <c r="C54" s="227"/>
      <c r="D54" s="231" t="s">
        <v>617</v>
      </c>
      <c r="E54" s="232"/>
      <c r="F54" s="233"/>
      <c r="G54" s="105" t="s">
        <v>618</v>
      </c>
      <c r="H54" s="234" t="s">
        <v>514</v>
      </c>
      <c r="I54" s="226"/>
      <c r="J54" s="226"/>
      <c r="K54" s="226"/>
      <c r="L54" s="226"/>
      <c r="M54" s="226"/>
    </row>
    <row r="55" spans="1:13" ht="27.75" customHeight="1">
      <c r="A55" s="227" t="s">
        <v>451</v>
      </c>
      <c r="B55" s="227"/>
      <c r="C55" s="227"/>
      <c r="D55" s="228" t="str">
        <f>G54</f>
        <v>Screw not coming</v>
      </c>
      <c r="E55" s="228"/>
      <c r="F55" s="228"/>
      <c r="G55" s="105" t="s">
        <v>512</v>
      </c>
      <c r="H55" s="226"/>
      <c r="I55" s="226"/>
      <c r="J55" s="226"/>
      <c r="K55" s="226"/>
      <c r="L55" s="226"/>
      <c r="M55" s="226"/>
    </row>
    <row r="56" spans="1:13" ht="27.75" customHeight="1">
      <c r="A56" s="227" t="s">
        <v>453</v>
      </c>
      <c r="B56" s="227"/>
      <c r="C56" s="227"/>
      <c r="D56" s="228" t="str">
        <f>G55</f>
        <v>E07 alarm occurred</v>
      </c>
      <c r="E56" s="228"/>
      <c r="F56" s="228"/>
      <c r="G56" s="105" t="s">
        <v>513</v>
      </c>
      <c r="H56" s="226"/>
      <c r="I56" s="226"/>
      <c r="J56" s="226"/>
      <c r="K56" s="226"/>
      <c r="L56" s="226"/>
      <c r="M56" s="226"/>
    </row>
    <row r="57" spans="1:13" ht="27.75" customHeight="1">
      <c r="A57" s="227" t="s">
        <v>455</v>
      </c>
      <c r="B57" s="227"/>
      <c r="C57" s="227"/>
      <c r="D57" s="228" t="str">
        <f>G56</f>
        <v xml:space="preserve">E07 alarm triggered due to De-ionization </v>
      </c>
      <c r="E57" s="228"/>
      <c r="F57" s="228"/>
      <c r="G57" s="105"/>
      <c r="H57" s="226" t="s">
        <v>515</v>
      </c>
      <c r="I57" s="226"/>
      <c r="J57" s="226"/>
      <c r="K57" s="226"/>
      <c r="L57" s="226"/>
      <c r="M57" s="226"/>
    </row>
    <row r="58" spans="1:13" ht="27.75" customHeight="1">
      <c r="A58" s="227" t="s">
        <v>457</v>
      </c>
      <c r="B58" s="227"/>
      <c r="C58" s="227"/>
      <c r="D58" s="228"/>
      <c r="E58" s="228"/>
      <c r="F58" s="228"/>
      <c r="G58" s="105"/>
      <c r="H58" s="226"/>
      <c r="I58" s="226"/>
      <c r="J58" s="226"/>
      <c r="K58" s="226"/>
      <c r="L58" s="226"/>
      <c r="M58" s="226"/>
    </row>
    <row r="59" spans="1:13" ht="31.5" customHeight="1">
      <c r="A59" s="229" t="s">
        <v>458</v>
      </c>
      <c r="B59" s="229"/>
      <c r="C59" s="229"/>
      <c r="D59" s="286" t="s">
        <v>585</v>
      </c>
      <c r="E59" s="287"/>
      <c r="F59" s="288"/>
      <c r="G59" s="109" t="s">
        <v>460</v>
      </c>
      <c r="H59" s="289" t="s">
        <v>461</v>
      </c>
      <c r="I59" s="290"/>
      <c r="J59" s="290"/>
      <c r="K59" s="290"/>
      <c r="L59" s="290"/>
      <c r="M59" s="291"/>
    </row>
    <row r="60" spans="1:13" s="108" customFormat="1" ht="19.5" customHeight="1"/>
    <row r="61" spans="1:13" s="273" customFormat="1" ht="17.25" customHeight="1"/>
  </sheetData>
  <mergeCells count="112">
    <mergeCell ref="A4:E5"/>
    <mergeCell ref="F4:G6"/>
    <mergeCell ref="B6:E6"/>
    <mergeCell ref="B7:G7"/>
    <mergeCell ref="A8:F8"/>
    <mergeCell ref="A9:C9"/>
    <mergeCell ref="D9:F9"/>
    <mergeCell ref="B1:I1"/>
    <mergeCell ref="J1:M1"/>
    <mergeCell ref="A2:C2"/>
    <mergeCell ref="H2:M2"/>
    <mergeCell ref="A3:D3"/>
    <mergeCell ref="E3:G3"/>
    <mergeCell ref="H3:I3"/>
    <mergeCell ref="H9:M11"/>
    <mergeCell ref="A10:C10"/>
    <mergeCell ref="D10:F10"/>
    <mergeCell ref="A11:C11"/>
    <mergeCell ref="D11:F11"/>
    <mergeCell ref="A12:C12"/>
    <mergeCell ref="D12:F12"/>
    <mergeCell ref="H12:M13"/>
    <mergeCell ref="A13:C13"/>
    <mergeCell ref="D13:F13"/>
    <mergeCell ref="A17:C17"/>
    <mergeCell ref="H17:M17"/>
    <mergeCell ref="A18:D18"/>
    <mergeCell ref="E18:G18"/>
    <mergeCell ref="H18:I18"/>
    <mergeCell ref="A19:E20"/>
    <mergeCell ref="F19:G21"/>
    <mergeCell ref="B21:E21"/>
    <mergeCell ref="A14:C14"/>
    <mergeCell ref="D14:F14"/>
    <mergeCell ref="H14:M14"/>
    <mergeCell ref="A15:XFD15"/>
    <mergeCell ref="B16:I16"/>
    <mergeCell ref="J16:M16"/>
    <mergeCell ref="A27:C27"/>
    <mergeCell ref="D27:F27"/>
    <mergeCell ref="H27:M28"/>
    <mergeCell ref="A28:C28"/>
    <mergeCell ref="D28:F28"/>
    <mergeCell ref="A29:C29"/>
    <mergeCell ref="D29:F29"/>
    <mergeCell ref="H29:M29"/>
    <mergeCell ref="B22:G22"/>
    <mergeCell ref="A23:F23"/>
    <mergeCell ref="A24:C24"/>
    <mergeCell ref="D24:F24"/>
    <mergeCell ref="H24:M26"/>
    <mergeCell ref="A25:C25"/>
    <mergeCell ref="D25:F25"/>
    <mergeCell ref="A26:C26"/>
    <mergeCell ref="D26:F26"/>
    <mergeCell ref="A34:E35"/>
    <mergeCell ref="F34:G36"/>
    <mergeCell ref="B36:E36"/>
    <mergeCell ref="B37:G37"/>
    <mergeCell ref="A38:F38"/>
    <mergeCell ref="A39:C39"/>
    <mergeCell ref="D39:F39"/>
    <mergeCell ref="A30:XFD30"/>
    <mergeCell ref="B31:I31"/>
    <mergeCell ref="J31:M31"/>
    <mergeCell ref="A32:C32"/>
    <mergeCell ref="H32:M32"/>
    <mergeCell ref="A33:D33"/>
    <mergeCell ref="E33:G33"/>
    <mergeCell ref="H33:I33"/>
    <mergeCell ref="H39:M41"/>
    <mergeCell ref="A40:C40"/>
    <mergeCell ref="D40:F40"/>
    <mergeCell ref="A41:C41"/>
    <mergeCell ref="D41:F41"/>
    <mergeCell ref="A42:C42"/>
    <mergeCell ref="D42:F42"/>
    <mergeCell ref="H42:M43"/>
    <mergeCell ref="A43:C43"/>
    <mergeCell ref="D43:F43"/>
    <mergeCell ref="A48:D48"/>
    <mergeCell ref="E48:G48"/>
    <mergeCell ref="H48:I48"/>
    <mergeCell ref="A49:E50"/>
    <mergeCell ref="F49:G51"/>
    <mergeCell ref="B51:E51"/>
    <mergeCell ref="A44:C44"/>
    <mergeCell ref="D44:F44"/>
    <mergeCell ref="H44:M44"/>
    <mergeCell ref="B46:I46"/>
    <mergeCell ref="J46:M46"/>
    <mergeCell ref="A47:C47"/>
    <mergeCell ref="H47:M47"/>
    <mergeCell ref="A45:XFD45"/>
    <mergeCell ref="B52:G52"/>
    <mergeCell ref="A53:F53"/>
    <mergeCell ref="A54:C54"/>
    <mergeCell ref="D54:F54"/>
    <mergeCell ref="H54:M56"/>
    <mergeCell ref="A55:C55"/>
    <mergeCell ref="D55:F55"/>
    <mergeCell ref="A56:C56"/>
    <mergeCell ref="D56:F56"/>
    <mergeCell ref="A61:XFD61"/>
    <mergeCell ref="A57:C57"/>
    <mergeCell ref="D57:F57"/>
    <mergeCell ref="H57:M58"/>
    <mergeCell ref="A58:C58"/>
    <mergeCell ref="D58:F58"/>
    <mergeCell ref="A59:C59"/>
    <mergeCell ref="D59:F59"/>
    <mergeCell ref="H59:M5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Downtime Details</vt:lpstr>
      <vt:lpstr>Downtime Details 1</vt:lpstr>
      <vt:lpstr>Pivot</vt:lpstr>
      <vt:lpstr>Breakdowns</vt:lpstr>
      <vt:lpstr>29.01.2018</vt:lpstr>
      <vt:lpstr>Sheet1</vt:lpstr>
      <vt:lpstr>BREAK DOWN AFTER MARCH 2018</vt:lpstr>
      <vt:lpstr>Sheet2</vt:lpstr>
      <vt:lpstr>Old BD Card </vt:lpstr>
      <vt:lpstr>Total Downtime mx</vt:lpstr>
      <vt:lpstr>May_18</vt:lpstr>
      <vt:lpstr>June_18</vt:lpstr>
      <vt:lpstr>July_18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2025-10-04T09:00:59Z</dcterms:modified>
</cp:coreProperties>
</file>